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ta" sheetId="1" state="visible" r:id="rId3"/>
    <sheet name="Dashboard " sheetId="2" state="visible" r:id="rId4"/>
  </sheets>
  <definedNames>
    <definedName function="false" hidden="true" localSheetId="0" name="_xlnm._FilterDatabase" vbProcedure="false">Data!$I$1:$L$1268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<sst xmlns="http://schemas.openxmlformats.org/spreadsheetml/2006/main" count="5112" uniqueCount="2619">
  <si>
    <t xml:space="preserve">Receipt No</t>
  </si>
  <si>
    <t xml:space="preserve">Completion Time</t>
  </si>
  <si>
    <t xml:space="preserve">Details</t>
  </si>
  <si>
    <t xml:space="preserve">Transaction Status</t>
  </si>
  <si>
    <t xml:space="preserve">Paid In</t>
  </si>
  <si>
    <t xml:space="preserve">Withdrawn</t>
  </si>
  <si>
    <t xml:space="preserve">Balance</t>
  </si>
  <si>
    <t xml:space="preserve">Total Money IN</t>
  </si>
  <si>
    <t xml:space="preserve">Total Money Out</t>
  </si>
  <si>
    <t xml:space="preserve">Net</t>
  </si>
  <si>
    <t xml:space="preserve">Category</t>
  </si>
  <si>
    <t xml:space="preserve">Money Out</t>
  </si>
  <si>
    <t xml:space="preserve">Money in</t>
  </si>
  <si>
    <t xml:space="preserve">Investment</t>
  </si>
  <si>
    <t xml:space="preserve">Month</t>
  </si>
  <si>
    <t xml:space="preserve">Money In</t>
  </si>
  <si>
    <t xml:space="preserve">UABA93FB4E</t>
  </si>
  <si>
    <t xml:space="preserve">Customer Bundle Purchase to 826915Safaricom Offers by - 2547******109 NAOMI MUREITHI</t>
  </si>
  <si>
    <t xml:space="preserve">Completed</t>
  </si>
  <si>
    <t xml:space="preserve">Bundles</t>
  </si>
  <si>
    <t xml:space="preserve">UABA93HFN9</t>
  </si>
  <si>
    <t xml:space="preserve">Customer Payment to Small Business to - 2541******638 LEAH WAMBUGU</t>
  </si>
  <si>
    <t xml:space="preserve">Merchant Payment</t>
  </si>
  <si>
    <t xml:space="preserve">UABA93HFOK</t>
  </si>
  <si>
    <t xml:space="preserve">2026-01-11 19:53:39</t>
  </si>
  <si>
    <t xml:space="preserve">Customer Payment to Small Business to - 2547******122 SAMWEL OKUMBOH</t>
  </si>
  <si>
    <t xml:space="preserve">Paybill</t>
  </si>
  <si>
    <t xml:space="preserve">UACA93I2I5</t>
  </si>
  <si>
    <t xml:space="preserve">2026-01-12 07:15:58</t>
  </si>
  <si>
    <t xml:space="preserve">Customer Bundle Purchase to 4093441SAFARICOM DATA BUNDLES by - 2547******109 NAOMI MUREITHI</t>
  </si>
  <si>
    <t xml:space="preserve">UACA93IINZ</t>
  </si>
  <si>
    <t xml:space="preserve">2026-01-12 09:27:39</t>
  </si>
  <si>
    <t xml:space="preserve">Fees</t>
  </si>
  <si>
    <t xml:space="preserve">UACA93IOER</t>
  </si>
  <si>
    <t xml:space="preserve">2026-01-12 10:33:10</t>
  </si>
  <si>
    <t xml:space="preserve">Sent to Person</t>
  </si>
  <si>
    <t xml:space="preserve">Total </t>
  </si>
  <si>
    <t xml:space="preserve">UACA93JEPJ</t>
  </si>
  <si>
    <t xml:space="preserve">2026-01-12 13:56:16</t>
  </si>
  <si>
    <t xml:space="preserve">M-Shwari</t>
  </si>
  <si>
    <t xml:space="preserve">UACA93JGAR</t>
  </si>
  <si>
    <t xml:space="preserve">2026-01-12 13:59:22</t>
  </si>
  <si>
    <t xml:space="preserve">Asset</t>
  </si>
  <si>
    <t xml:space="preserve">UACA93K4N4</t>
  </si>
  <si>
    <t xml:space="preserve">2026-01-12 18:17:34</t>
  </si>
  <si>
    <t xml:space="preserve">Merchant Payment to 6682492 - OBI BAKERY</t>
  </si>
  <si>
    <t xml:space="preserve">Other</t>
  </si>
  <si>
    <t xml:space="preserve">UACA93K9LG</t>
  </si>
  <si>
    <t xml:space="preserve">2026-01-12 18:20:35</t>
  </si>
  <si>
    <t xml:space="preserve">Merchant Payment to 7327328 - Vincent  Otieno</t>
  </si>
  <si>
    <t xml:space="preserve">TOTAL</t>
  </si>
  <si>
    <t xml:space="preserve">UACA93K8JX</t>
  </si>
  <si>
    <t xml:space="preserve">2026-01-12 18:38:18</t>
  </si>
  <si>
    <t xml:space="preserve">UACA93KYWH</t>
  </si>
  <si>
    <t xml:space="preserve">2026-01-12 20:51:15</t>
  </si>
  <si>
    <t xml:space="preserve">UADA93LBQE</t>
  </si>
  <si>
    <t xml:space="preserve">2026-01-13 03:14:01</t>
  </si>
  <si>
    <t xml:space="preserve">Merchant Payment to 7225027 - NAKURU DRIVE INN HOTEL</t>
  </si>
  <si>
    <t xml:space="preserve">UADA93LRMF</t>
  </si>
  <si>
    <t xml:space="preserve">2026-01-13 08:45:54</t>
  </si>
  <si>
    <t xml:space="preserve">UADA93LQ7A</t>
  </si>
  <si>
    <t xml:space="preserve">2026-01-13 08:47:08</t>
  </si>
  <si>
    <t xml:space="preserve">UADA93MUBH</t>
  </si>
  <si>
    <t xml:space="preserve">2026-01-13 14:27:42</t>
  </si>
  <si>
    <t xml:space="preserve">UADA93NAPT</t>
  </si>
  <si>
    <t xml:space="preserve">2026-01-13 18:03:09</t>
  </si>
  <si>
    <t xml:space="preserve">UADA93NSWI</t>
  </si>
  <si>
    <t xml:space="preserve">2026-01-13 19:47:14</t>
  </si>
  <si>
    <t xml:space="preserve">UAEA93OZUW</t>
  </si>
  <si>
    <t xml:space="preserve">2026-01-14 09:08:44</t>
  </si>
  <si>
    <t xml:space="preserve">UAEA93PEPB</t>
  </si>
  <si>
    <t xml:space="preserve">2026-01-14 10:27:47</t>
  </si>
  <si>
    <t xml:space="preserve">UAEA93R22B</t>
  </si>
  <si>
    <t xml:space="preserve">2026-01-14 19:14:37</t>
  </si>
  <si>
    <t xml:space="preserve">UAFA93SXMQ</t>
  </si>
  <si>
    <t xml:space="preserve">2026-01-15 12:07:00</t>
  </si>
  <si>
    <t xml:space="preserve">UAFA93TILA</t>
  </si>
  <si>
    <t xml:space="preserve">2026-01-15 16:08:20</t>
  </si>
  <si>
    <t xml:space="preserve">UAFA93ULQZ</t>
  </si>
  <si>
    <t xml:space="preserve">2026-01-15 19:29:44</t>
  </si>
  <si>
    <t xml:space="preserve">UAFA93V31J</t>
  </si>
  <si>
    <t xml:space="preserve">2026-01-15 21:33:55</t>
  </si>
  <si>
    <t xml:space="preserve">UAGA93VFFB</t>
  </si>
  <si>
    <t xml:space="preserve">2026-01-16 03:03:48</t>
  </si>
  <si>
    <t xml:space="preserve">UAGA93X06J</t>
  </si>
  <si>
    <t xml:space="preserve">2026-01-16 15:14:25</t>
  </si>
  <si>
    <t xml:space="preserve">UAGA93XF01</t>
  </si>
  <si>
    <t xml:space="preserve">2026-01-16 18:19:45</t>
  </si>
  <si>
    <t xml:space="preserve">UAGA93XVXO</t>
  </si>
  <si>
    <t xml:space="preserve">2026-01-16 19:34:53</t>
  </si>
  <si>
    <t xml:space="preserve">Customer Bundle Purchase to</t>
  </si>
  <si>
    <t xml:space="preserve">UAGA93YOAJ</t>
  </si>
  <si>
    <t xml:space="preserve">2026-01-16 22:10:56</t>
  </si>
  <si>
    <t xml:space="preserve">UAHA93YTJ4</t>
  </si>
  <si>
    <t xml:space="preserve">2026-01-17 04:28:25</t>
  </si>
  <si>
    <t xml:space="preserve">UAHA940KSY</t>
  </si>
  <si>
    <t xml:space="preserve">2026-01-17 16:37:19</t>
  </si>
  <si>
    <t xml:space="preserve">UAHA94206V</t>
  </si>
  <si>
    <t xml:space="preserve">2026-01-17 21:18:00</t>
  </si>
  <si>
    <t xml:space="preserve">UAIA94510U</t>
  </si>
  <si>
    <t xml:space="preserve">2026-01-18 21:26:13</t>
  </si>
  <si>
    <t xml:space="preserve">UAIA9451BV</t>
  </si>
  <si>
    <t xml:space="preserve">2026-01-18 21:44:57</t>
  </si>
  <si>
    <t xml:space="preserve">UAJA945AIT</t>
  </si>
  <si>
    <t xml:space="preserve">2026-01-19 03:09:39</t>
  </si>
  <si>
    <t xml:space="preserve">UAJA946AB6</t>
  </si>
  <si>
    <t xml:space="preserve">2026-01-19 12:35:36</t>
  </si>
  <si>
    <t xml:space="preserve">UAJA946TB4</t>
  </si>
  <si>
    <t xml:space="preserve">2026-01-19 14:42:20</t>
  </si>
  <si>
    <t xml:space="preserve">UAJA947K9V</t>
  </si>
  <si>
    <t xml:space="preserve">2026-01-19 18:55:20</t>
  </si>
  <si>
    <t xml:space="preserve">UAJA947X46</t>
  </si>
  <si>
    <t xml:space="preserve">2026-01-19 20:38:20</t>
  </si>
  <si>
    <t xml:space="preserve">UAKA948JLQ</t>
  </si>
  <si>
    <t xml:space="preserve">2026-01-20 03:11:59</t>
  </si>
  <si>
    <t xml:space="preserve">UAKA949351</t>
  </si>
  <si>
    <t xml:space="preserve">2026-01-20 09:28:33</t>
  </si>
  <si>
    <t xml:space="preserve">UAKA949JW7</t>
  </si>
  <si>
    <t xml:space="preserve">2026-01-20 11:15:28</t>
  </si>
  <si>
    <t xml:space="preserve">UAKA94AN2P</t>
  </si>
  <si>
    <t xml:space="preserve">2026-01-20 18:12:23</t>
  </si>
  <si>
    <t xml:space="preserve">UAKA94AQAV</t>
  </si>
  <si>
    <t xml:space="preserve">2026-01-20 18:23:54</t>
  </si>
  <si>
    <t xml:space="preserve">UALA94BUJP</t>
  </si>
  <si>
    <t xml:space="preserve">2026-01-21 02:37:35</t>
  </si>
  <si>
    <t xml:space="preserve">UALA94CGAR</t>
  </si>
  <si>
    <t xml:space="preserve">2026-01-21 10:27:49</t>
  </si>
  <si>
    <t xml:space="preserve">UALA94DDAZ</t>
  </si>
  <si>
    <t xml:space="preserve">2026-01-21 14:43:56</t>
  </si>
  <si>
    <t xml:space="preserve">UAMA94FCFI</t>
  </si>
  <si>
    <t xml:space="preserve">2026-01-22 03:40:22</t>
  </si>
  <si>
    <t xml:space="preserve">UAMA94FQIZ</t>
  </si>
  <si>
    <t xml:space="preserve">2026-01-22 09:43:04</t>
  </si>
  <si>
    <t xml:space="preserve">UAMA94GCLX</t>
  </si>
  <si>
    <t xml:space="preserve">2026-01-22 13:46:57</t>
  </si>
  <si>
    <t xml:space="preserve">UAMA94GN5L</t>
  </si>
  <si>
    <t xml:space="preserve">2026-01-22 15:07:52</t>
  </si>
  <si>
    <t xml:space="preserve">UAMA94HIBF</t>
  </si>
  <si>
    <t xml:space="preserve">2026-01-22 19:25:32</t>
  </si>
  <si>
    <t xml:space="preserve">UAMA94I3X6</t>
  </si>
  <si>
    <t xml:space="preserve">2026-01-22 21:43:27</t>
  </si>
  <si>
    <t xml:space="preserve">UANA94IEN5</t>
  </si>
  <si>
    <t xml:space="preserve">2026-01-23 03:07:55</t>
  </si>
  <si>
    <t xml:space="preserve">UANA94JQNJ</t>
  </si>
  <si>
    <t xml:space="preserve">2026-01-23 14:09:59</t>
  </si>
  <si>
    <t xml:space="preserve">UANA94KO7P</t>
  </si>
  <si>
    <t xml:space="preserve">2026-01-23 18:24:56</t>
  </si>
  <si>
    <t xml:space="preserve">UANA94L7HF</t>
  </si>
  <si>
    <t xml:space="preserve">2026-01-23 20:41:22</t>
  </si>
  <si>
    <t xml:space="preserve">UAOA94LSSH</t>
  </si>
  <si>
    <t xml:space="preserve">2026-01-24 02:58:29</t>
  </si>
  <si>
    <t xml:space="preserve">UAOA94MOFU</t>
  </si>
  <si>
    <t xml:space="preserve">2026-01-24 11:28:38</t>
  </si>
  <si>
    <t xml:space="preserve">Airtime Purchase</t>
  </si>
  <si>
    <t xml:space="preserve">UAOA94NXBK</t>
  </si>
  <si>
    <t xml:space="preserve">2026-01-24 17:58:33</t>
  </si>
  <si>
    <t xml:space="preserve">UAPA94PUG4</t>
  </si>
  <si>
    <t xml:space="preserve">2026-01-25 10:12:54</t>
  </si>
  <si>
    <t xml:space="preserve">UAPA94PSF9</t>
  </si>
  <si>
    <t xml:space="preserve">2026-01-25 10:55:23</t>
  </si>
  <si>
    <t xml:space="preserve">UAPA94R9RL</t>
  </si>
  <si>
    <t xml:space="preserve">2026-01-25 18:14:51</t>
  </si>
  <si>
    <t xml:space="preserve">UAQA94SI0G</t>
  </si>
  <si>
    <t xml:space="preserve">2026-01-26 03:15:02</t>
  </si>
  <si>
    <t xml:space="preserve">UAQA94SCQF</t>
  </si>
  <si>
    <t xml:space="preserve">2026-01-26 03:16:40</t>
  </si>
  <si>
    <t xml:space="preserve">Pay Bill Online to 4114040 - SPOTIFY II Acc. 3526140</t>
  </si>
  <si>
    <t xml:space="preserve">UAQA94TDN6</t>
  </si>
  <si>
    <t xml:space="preserve">2026-01-26 12:22:34</t>
  </si>
  <si>
    <t xml:space="preserve">UAQA94US7U</t>
  </si>
  <si>
    <t xml:space="preserve">2026-01-26 19:13:57</t>
  </si>
  <si>
    <t xml:space="preserve">UAQA94UY5B</t>
  </si>
  <si>
    <t xml:space="preserve">2026-01-26 19:30:47</t>
  </si>
  <si>
    <t xml:space="preserve">UARA94W59J</t>
  </si>
  <si>
    <t xml:space="preserve">2026-01-27 08:34:18</t>
  </si>
  <si>
    <t xml:space="preserve">UAR4Q4X4LB</t>
  </si>
  <si>
    <t xml:space="preserve">2026-01-27 15:39:45</t>
  </si>
  <si>
    <t xml:space="preserve">Funds received from - 2547******442 PETER MAGANJO</t>
  </si>
  <si>
    <t xml:space="preserve">UARA94XL25</t>
  </si>
  <si>
    <t xml:space="preserve">2026-01-27 16:46:31</t>
  </si>
  <si>
    <t xml:space="preserve">UARA94XDOF</t>
  </si>
  <si>
    <t xml:space="preserve">2026-01-27 16:51:33</t>
  </si>
  <si>
    <t xml:space="preserve">Pay Bill Charge</t>
  </si>
  <si>
    <t xml:space="preserve">Pay Bill Online to 308900 - Guardian Coach Limited Acc. TMPX6Y</t>
  </si>
  <si>
    <t xml:space="preserve">UARA94Y7B3</t>
  </si>
  <si>
    <t xml:space="preserve">2026-01-27 18:36:25</t>
  </si>
  <si>
    <t xml:space="preserve">UARA94YPK4</t>
  </si>
  <si>
    <t xml:space="preserve">2026-01-27 21:35:45</t>
  </si>
  <si>
    <t xml:space="preserve">UASA94ZG6M</t>
  </si>
  <si>
    <t xml:space="preserve">2026-01-28 08:46:34</t>
  </si>
  <si>
    <t xml:space="preserve">UA4A92RUGU</t>
  </si>
  <si>
    <t xml:space="preserve">2026-01-04 09:07:23</t>
  </si>
  <si>
    <t xml:space="preserve">M-Shwari Withdraw</t>
  </si>
  <si>
    <t xml:space="preserve">UA4A92RNWW</t>
  </si>
  <si>
    <t xml:space="preserve">2026-01-04 09:09:29</t>
  </si>
  <si>
    <t xml:space="preserve">UA4A92RSFZ</t>
  </si>
  <si>
    <t xml:space="preserve">2026-01-04 10:20:32</t>
  </si>
  <si>
    <t xml:space="preserve">UA4A92SQU9</t>
  </si>
  <si>
    <t xml:space="preserve">2026-01-04 14:40:58</t>
  </si>
  <si>
    <t xml:space="preserve">UA4A92SPBK</t>
  </si>
  <si>
    <t xml:space="preserve">2026-01-04 14:41:25</t>
  </si>
  <si>
    <t xml:space="preserve">UA4A92SX7N</t>
  </si>
  <si>
    <t xml:space="preserve">2026-01-04 16:18:32</t>
  </si>
  <si>
    <t xml:space="preserve">UA5A92UL2N</t>
  </si>
  <si>
    <t xml:space="preserve">2026-01-05 00:41:21</t>
  </si>
  <si>
    <t xml:space="preserve">UA5A92UFFO</t>
  </si>
  <si>
    <t xml:space="preserve">2026-01-05 03:59:44</t>
  </si>
  <si>
    <t xml:space="preserve">UA5A92UIF4</t>
  </si>
  <si>
    <t xml:space="preserve">2026-01-05 05:00:43</t>
  </si>
  <si>
    <t xml:space="preserve">UA5A92V0PW</t>
  </si>
  <si>
    <t xml:space="preserve">2026-01-05 10:06:54</t>
  </si>
  <si>
    <t xml:space="preserve">UA5A92V7U2</t>
  </si>
  <si>
    <t xml:space="preserve">2026-01-05 11:22:34</t>
  </si>
  <si>
    <t xml:space="preserve">UA5A92W01W</t>
  </si>
  <si>
    <t xml:space="preserve">2026-01-05 14:44:17</t>
  </si>
  <si>
    <t xml:space="preserve">UA5A92W3PA</t>
  </si>
  <si>
    <t xml:space="preserve">2026-01-05 15:21:35</t>
  </si>
  <si>
    <t xml:space="preserve">Pay Bill Online to 4072222 - NABO CAPITAL LTD C2B Acc. PFCMKU</t>
  </si>
  <si>
    <t xml:space="preserve">UA5A92VZI0</t>
  </si>
  <si>
    <t xml:space="preserve">2026-01-05 15:42:58</t>
  </si>
  <si>
    <t xml:space="preserve">UA5A92VY5L</t>
  </si>
  <si>
    <t xml:space="preserve">2026-01-05 15:45:02</t>
  </si>
  <si>
    <t xml:space="preserve">Offnet C2B Transfer to 585555 - AIRTEL MONEY. for Mobile No. 254782822044</t>
  </si>
  <si>
    <t xml:space="preserve">UA5A92WQ98</t>
  </si>
  <si>
    <t xml:space="preserve">2026-01-05 17:49:26</t>
  </si>
  <si>
    <t xml:space="preserve">UA5A92WQD4</t>
  </si>
  <si>
    <t xml:space="preserve">2026-01-05 17:55:05</t>
  </si>
  <si>
    <t xml:space="preserve">UA6A92YAZT</t>
  </si>
  <si>
    <t xml:space="preserve">2026-01-06 10:12:01</t>
  </si>
  <si>
    <t xml:space="preserve">UA6A92YM5S</t>
  </si>
  <si>
    <t xml:space="preserve">2026-01-06 10:33:28</t>
  </si>
  <si>
    <t xml:space="preserve">UA7A931HL7</t>
  </si>
  <si>
    <t xml:space="preserve">2026-01-07 05:10:21</t>
  </si>
  <si>
    <t xml:space="preserve">UA7A932EUR</t>
  </si>
  <si>
    <t xml:space="preserve">2026-01-07 12:50:20</t>
  </si>
  <si>
    <t xml:space="preserve">UA7A932LWZ</t>
  </si>
  <si>
    <t xml:space="preserve">2026-01-07 13:41:01</t>
  </si>
  <si>
    <t xml:space="preserve">UA7A932KGE</t>
  </si>
  <si>
    <t xml:space="preserve">2026-01-07 13:41:42</t>
  </si>
  <si>
    <t xml:space="preserve">Customer Transfer of Funds Charge</t>
  </si>
  <si>
    <t xml:space="preserve">Customer Payment to Small Business to - 01******856 sadaty musa</t>
  </si>
  <si>
    <t xml:space="preserve">UA7A932HO5</t>
  </si>
  <si>
    <t xml:space="preserve">2026-01-07 13:43:16</t>
  </si>
  <si>
    <t xml:space="preserve">Customer Payment to Small Business to - 07******180 CONSOLATER ODUOR</t>
  </si>
  <si>
    <t xml:space="preserve">UA7A932KM5</t>
  </si>
  <si>
    <t xml:space="preserve">2026-01-07 13:51:37</t>
  </si>
  <si>
    <t xml:space="preserve">Customer Payment to Small Business to - 2541******999 YATINKUMAR PATEL</t>
  </si>
  <si>
    <t xml:space="preserve">UA7A932NSV</t>
  </si>
  <si>
    <t xml:space="preserve">2026-01-07 14:07:35</t>
  </si>
  <si>
    <t xml:space="preserve">UA7A932PWV</t>
  </si>
  <si>
    <t xml:space="preserve">2026-01-07 14:42:45</t>
  </si>
  <si>
    <t xml:space="preserve">UA7A9347YB</t>
  </si>
  <si>
    <t xml:space="preserve">2026-01-07 20:57:30</t>
  </si>
  <si>
    <t xml:space="preserve">UA7A9349XP</t>
  </si>
  <si>
    <t xml:space="preserve">2026-01-07 20:58:34</t>
  </si>
  <si>
    <t xml:space="preserve">UA8A934UD0</t>
  </si>
  <si>
    <t xml:space="preserve">2026-01-08 05:44:11</t>
  </si>
  <si>
    <t xml:space="preserve">UA8A935H1U</t>
  </si>
  <si>
    <t xml:space="preserve">2026-01-08 10:59:04</t>
  </si>
  <si>
    <t xml:space="preserve">UA8A935Z6W</t>
  </si>
  <si>
    <t xml:space="preserve">2026-01-08 14:18:13</t>
  </si>
  <si>
    <t xml:space="preserve">UA8A9360SJ</t>
  </si>
  <si>
    <t xml:space="preserve">2026-01-08 14:19:05</t>
  </si>
  <si>
    <t xml:space="preserve">Merchant Payment to 6275421 - MOSES MUNYALO KATANGA</t>
  </si>
  <si>
    <t xml:space="preserve">UA8A936AM1</t>
  </si>
  <si>
    <t xml:space="preserve">2026-01-08 14:58:33</t>
  </si>
  <si>
    <t xml:space="preserve">UA8A936SCE</t>
  </si>
  <si>
    <t xml:space="preserve">2026-01-08 18:29:35</t>
  </si>
  <si>
    <t xml:space="preserve">UA84Q3782Z</t>
  </si>
  <si>
    <t xml:space="preserve">2026-01-08 18:40:18</t>
  </si>
  <si>
    <t xml:space="preserve">UA8A937EV5</t>
  </si>
  <si>
    <t xml:space="preserve">2026-01-08 20:07:59</t>
  </si>
  <si>
    <t xml:space="preserve">UA8A937H3T</t>
  </si>
  <si>
    <t xml:space="preserve">2026-01-08 20:36:41</t>
  </si>
  <si>
    <t xml:space="preserve">UA9A937ZGF</t>
  </si>
  <si>
    <t xml:space="preserve">2026-01-09 05:48:25</t>
  </si>
  <si>
    <t xml:space="preserve">UA9A938DV8</t>
  </si>
  <si>
    <t xml:space="preserve">2026-01-09 07:28:54</t>
  </si>
  <si>
    <t xml:space="preserve">UA9A938ELB</t>
  </si>
  <si>
    <t xml:space="preserve">2026-01-09 08:29:44</t>
  </si>
  <si>
    <t xml:space="preserve">UA9A938QUD</t>
  </si>
  <si>
    <t xml:space="preserve">2026-01-09 10:37:45</t>
  </si>
  <si>
    <t xml:space="preserve">UA9A9398CJ</t>
  </si>
  <si>
    <t xml:space="preserve">2026-01-09 13:55:02</t>
  </si>
  <si>
    <t xml:space="preserve">UA9A939SJG</t>
  </si>
  <si>
    <t xml:space="preserve">2026-01-09 17:07:19</t>
  </si>
  <si>
    <t xml:space="preserve">UA9A93A1L2</t>
  </si>
  <si>
    <t xml:space="preserve">2026-01-09 18:14:10</t>
  </si>
  <si>
    <t xml:space="preserve">UA9A93A06C</t>
  </si>
  <si>
    <t xml:space="preserve">2026-01-09 18:17:00</t>
  </si>
  <si>
    <t xml:space="preserve">Pay Bill Online to 308900 - Guardian Coach Limited Acc. ZM4AUN</t>
  </si>
  <si>
    <t xml:space="preserve">UA9A93AT13</t>
  </si>
  <si>
    <t xml:space="preserve">2026-01-09 20:11:07</t>
  </si>
  <si>
    <t xml:space="preserve">UAAA93BN6V</t>
  </si>
  <si>
    <t xml:space="preserve">2026-01-10 06:59:30</t>
  </si>
  <si>
    <t xml:space="preserve">UAAA93BM84</t>
  </si>
  <si>
    <t xml:space="preserve">2026-01-10 07:59:12</t>
  </si>
  <si>
    <t xml:space="preserve">UAAA93BTOS</t>
  </si>
  <si>
    <t xml:space="preserve">2026-01-10 09:26:58</t>
  </si>
  <si>
    <t xml:space="preserve">UAAA93CCD4</t>
  </si>
  <si>
    <t xml:space="preserve">2026-01-10 11:58:36</t>
  </si>
  <si>
    <t xml:space="preserve">Receive International Transfer From 4130735 - REMITCORE MONEY TRANSFER LIMITED. Original conversation ID is 9de7af81-5d26-45ce-a193- b581136ea5da.</t>
  </si>
  <si>
    <t xml:space="preserve">UAA4Q3DO2G</t>
  </si>
  <si>
    <t xml:space="preserve">2026-01-10 17:49:56</t>
  </si>
  <si>
    <t xml:space="preserve">UAAA93DDVA</t>
  </si>
  <si>
    <t xml:space="preserve">2026-01-10 17:55:21</t>
  </si>
  <si>
    <t xml:space="preserve">Pay Bill Online to 4072222 - NABO CAPITAL LTD C2B Acc. PAZYWD</t>
  </si>
  <si>
    <t xml:space="preserve">UAAA93DFFF</t>
  </si>
  <si>
    <t xml:space="preserve">2026-01-10 17:56:04</t>
  </si>
  <si>
    <t xml:space="preserve">UAAA93DMNC</t>
  </si>
  <si>
    <t xml:space="preserve">2026-01-10 18:37:08</t>
  </si>
  <si>
    <t xml:space="preserve">Customer Transfer to - 07******549 YEMIMA NYONGESA</t>
  </si>
  <si>
    <t xml:space="preserve">UAAA93DO40</t>
  </si>
  <si>
    <t xml:space="preserve">2026-01-10 18:39:52</t>
  </si>
  <si>
    <t xml:space="preserve">UAAA93DTXK</t>
  </si>
  <si>
    <t xml:space="preserve">2026-01-10 18:43:52</t>
  </si>
  <si>
    <t xml:space="preserve">Merchant Payment to 6745584 - GRACE AYEKA</t>
  </si>
  <si>
    <t xml:space="preserve">UAAA93DUDH</t>
  </si>
  <si>
    <t xml:space="preserve">2026-01-10 19:00:06</t>
  </si>
  <si>
    <t xml:space="preserve">UB7A95YY4I</t>
  </si>
  <si>
    <t xml:space="preserve">2026-02-07 13:23:59</t>
  </si>
  <si>
    <t xml:space="preserve">UB7A95YVJ2</t>
  </si>
  <si>
    <t xml:space="preserve">2026-02-07 13:24:53</t>
  </si>
  <si>
    <t xml:space="preserve">Customer Transfer to - 2547******367 NAOMI MUREITHI</t>
  </si>
  <si>
    <t xml:space="preserve">UB7A95YZJG</t>
  </si>
  <si>
    <t xml:space="preserve">2026-02-07 13:37:27</t>
  </si>
  <si>
    <t xml:space="preserve">Pay Bill Online to 4072222 - NABO CAPITAL LTD C2B Acc. P456VX</t>
  </si>
  <si>
    <t xml:space="preserve">UB7A95ZFPE</t>
  </si>
  <si>
    <t xml:space="preserve">2026-02-07 16:16:19</t>
  </si>
  <si>
    <t xml:space="preserve">UB7A95ZYH4</t>
  </si>
  <si>
    <t xml:space="preserve">2026-02-07 18:45:09</t>
  </si>
  <si>
    <t xml:space="preserve">UB7A96047V</t>
  </si>
  <si>
    <t xml:space="preserve">2026-02-07 18:58:25</t>
  </si>
  <si>
    <t xml:space="preserve">Customer Transfer of Funds</t>
  </si>
  <si>
    <t xml:space="preserve">Customer Payment to Small Business to - 2547******541 AGNES ONYANGO</t>
  </si>
  <si>
    <t xml:space="preserve">UB7A960AGV</t>
  </si>
  <si>
    <t xml:space="preserve">2026-02-07 19:32:31</t>
  </si>
  <si>
    <t xml:space="preserve">UB8A962B4K</t>
  </si>
  <si>
    <t xml:space="preserve">2026-02-08 13:24:33</t>
  </si>
  <si>
    <t xml:space="preserve">UB8A962COC</t>
  </si>
  <si>
    <t xml:space="preserve">2026-02-08 13:38:58</t>
  </si>
  <si>
    <t xml:space="preserve">Merchant Payment to 7327328 -</t>
  </si>
  <si>
    <t xml:space="preserve">UB8A962E99</t>
  </si>
  <si>
    <t xml:space="preserve">2026-02-08 13:44:49</t>
  </si>
  <si>
    <t xml:space="preserve">Merchant Payment to 5594644 -</t>
  </si>
  <si>
    <t xml:space="preserve">UB9A964WTD</t>
  </si>
  <si>
    <t xml:space="preserve">2026-02-09 08:38:37</t>
  </si>
  <si>
    <t xml:space="preserve">UB9A9652CA</t>
  </si>
  <si>
    <t xml:space="preserve">2026-02-09 08:44:46</t>
  </si>
  <si>
    <t xml:space="preserve">UB9A9657XC</t>
  </si>
  <si>
    <t xml:space="preserve">2026-02-09 10:46:55</t>
  </si>
  <si>
    <t xml:space="preserve">UB9A965HJQ</t>
  </si>
  <si>
    <t xml:space="preserve">2026-02-09 12:33:16</t>
  </si>
  <si>
    <t xml:space="preserve">Merchant Payment to 5806496 -</t>
  </si>
  <si>
    <t xml:space="preserve">UB9A965J56</t>
  </si>
  <si>
    <t xml:space="preserve">2026-02-09 12:48:22</t>
  </si>
  <si>
    <t xml:space="preserve">Merchant Payment to 6576187 -</t>
  </si>
  <si>
    <t xml:space="preserve">UB9A966VZB</t>
  </si>
  <si>
    <t xml:space="preserve">2026-02-09 18:46:41</t>
  </si>
  <si>
    <t xml:space="preserve">Customer Payment to Small</t>
  </si>
  <si>
    <t xml:space="preserve">UB9A9673J5</t>
  </si>
  <si>
    <t xml:space="preserve">2026-02-09 19:32:20</t>
  </si>
  <si>
    <t xml:space="preserve">UBAA969O39</t>
  </si>
  <si>
    <t xml:space="preserve">2026-02-10 16:17:59</t>
  </si>
  <si>
    <t xml:space="preserve">UBAA969S3F</t>
  </si>
  <si>
    <t xml:space="preserve">2026-02-10 16:22:10</t>
  </si>
  <si>
    <t xml:space="preserve">Merchant Payment to 6745584 -</t>
  </si>
  <si>
    <t xml:space="preserve">UBAA969XAX</t>
  </si>
  <si>
    <t xml:space="preserve">2026-02-10 17:25:20</t>
  </si>
  <si>
    <t xml:space="preserve">UBBA96BKN3</t>
  </si>
  <si>
    <t xml:space="preserve">2026-02-11 08:17:08</t>
  </si>
  <si>
    <t xml:space="preserve">Merchant Payment to 538986 -</t>
  </si>
  <si>
    <t xml:space="preserve">UBBA96BYFN</t>
  </si>
  <si>
    <t xml:space="preserve">2026-02-11 10:35:06</t>
  </si>
  <si>
    <t xml:space="preserve">Merchant Payment to 6641502 -</t>
  </si>
  <si>
    <t xml:space="preserve">UBBA96CXNY</t>
  </si>
  <si>
    <t xml:space="preserve">2026-02-11 15:28:59</t>
  </si>
  <si>
    <t xml:space="preserve">UBBA96CYVX</t>
  </si>
  <si>
    <t xml:space="preserve">2026-02-11 15:30:58</t>
  </si>
  <si>
    <t xml:space="preserve">UBBA96CWET</t>
  </si>
  <si>
    <t xml:space="preserve">2026-02-11 15:44:50</t>
  </si>
  <si>
    <t xml:space="preserve">UBBA96CXYR</t>
  </si>
  <si>
    <t xml:space="preserve">2026-02-11 15:47:17</t>
  </si>
  <si>
    <t xml:space="preserve">UBBA96D308</t>
  </si>
  <si>
    <t xml:space="preserve">2026-02-11 15:48:05</t>
  </si>
  <si>
    <t xml:space="preserve">UBBA96D06Z</t>
  </si>
  <si>
    <t xml:space="preserve">2026-02-11 15:48:55</t>
  </si>
  <si>
    <t xml:space="preserve">Customer Transfer to -</t>
  </si>
  <si>
    <t xml:space="preserve">UBB246DUNT</t>
  </si>
  <si>
    <t xml:space="preserve">2026-02-11 16:08:10</t>
  </si>
  <si>
    <t xml:space="preserve">Funds received from -</t>
  </si>
  <si>
    <t xml:space="preserve">UBBA96DUBG</t>
  </si>
  <si>
    <t xml:space="preserve">2026-02-11 19:27:01</t>
  </si>
  <si>
    <t xml:space="preserve">UBBA96E7RQ</t>
  </si>
  <si>
    <t xml:space="preserve">2026-02-11 20:35:14</t>
  </si>
  <si>
    <t xml:space="preserve">UBBA96EDYC</t>
  </si>
  <si>
    <t xml:space="preserve">2026-02-11 21:07:30</t>
  </si>
  <si>
    <t xml:space="preserve">UBCA96ESBL</t>
  </si>
  <si>
    <t xml:space="preserve">2026-02-12 06:43:01</t>
  </si>
  <si>
    <t xml:space="preserve">UBCA96FLYQ</t>
  </si>
  <si>
    <t xml:space="preserve">2026-02-12 10:20:31</t>
  </si>
  <si>
    <t xml:space="preserve">Merchant Payment to 6831034 -</t>
  </si>
  <si>
    <t xml:space="preserve">UBCA96FP28</t>
  </si>
  <si>
    <t xml:space="preserve">2026-02-12 11:18:35</t>
  </si>
  <si>
    <t xml:space="preserve">UBCA96FNRE</t>
  </si>
  <si>
    <t xml:space="preserve">2026-02-12 11:22:04</t>
  </si>
  <si>
    <t xml:space="preserve">UBCA96G621</t>
  </si>
  <si>
    <t xml:space="preserve">2026-02-12 13:41:08</t>
  </si>
  <si>
    <t xml:space="preserve">UBCA96FZS7</t>
  </si>
  <si>
    <t xml:space="preserve">2026-02-12 14:23:11</t>
  </si>
  <si>
    <t xml:space="preserve">UBCA96G3YR</t>
  </si>
  <si>
    <t xml:space="preserve">2026-02-12 14:27:57</t>
  </si>
  <si>
    <t xml:space="preserve">Merchant Payment to 5119112 - Goodlife Pharmacy- Beauty Click</t>
  </si>
  <si>
    <t xml:space="preserve">UBCA96H42K</t>
  </si>
  <si>
    <t xml:space="preserve">2026-02-12 18:23:24</t>
  </si>
  <si>
    <t xml:space="preserve">Merchant Payment to 5296344 - EZEKIEL  MULUCHI</t>
  </si>
  <si>
    <t xml:space="preserve">UBCA96GZT1</t>
  </si>
  <si>
    <t xml:space="preserve">2026-02-12 18:26:02</t>
  </si>
  <si>
    <t xml:space="preserve">UBCA96HQTL</t>
  </si>
  <si>
    <t xml:space="preserve">2026-02-12 21:13:54</t>
  </si>
  <si>
    <t xml:space="preserve">UBCA96HWWH</t>
  </si>
  <si>
    <t xml:space="preserve">2026-02-12 22:25:08</t>
  </si>
  <si>
    <t xml:space="preserve">UBDA96IUXK</t>
  </si>
  <si>
    <t xml:space="preserve">2026-02-13 10:56:28</t>
  </si>
  <si>
    <t xml:space="preserve">UBDA96K7CZ</t>
  </si>
  <si>
    <t xml:space="preserve">2026-02-13 17:13:33</t>
  </si>
  <si>
    <t xml:space="preserve">UBEA96M2P4</t>
  </si>
  <si>
    <t xml:space="preserve">2026-02-14 09:54:18</t>
  </si>
  <si>
    <t xml:space="preserve">UBEE06QGSW</t>
  </si>
  <si>
    <t xml:space="preserve">2026-02-14 14:06:33</t>
  </si>
  <si>
    <t xml:space="preserve">Funds received from - 2547******440 CAROLYNE WANJIRU</t>
  </si>
  <si>
    <t xml:space="preserve">UBEA96NH3U</t>
  </si>
  <si>
    <t xml:space="preserve">2026-02-14 16:21:22</t>
  </si>
  <si>
    <t xml:space="preserve">UBEA96OEQ2</t>
  </si>
  <si>
    <t xml:space="preserve">2026-02-14 19:38:55</t>
  </si>
  <si>
    <t xml:space="preserve">Merchant Payment to 7553685 - Rodicks Onyango Asave</t>
  </si>
  <si>
    <t xml:space="preserve">UBFA96PY79</t>
  </si>
  <si>
    <t xml:space="preserve">2026-02-15 11:23:07</t>
  </si>
  <si>
    <t xml:space="preserve">UBFA96PYEG</t>
  </si>
  <si>
    <t xml:space="preserve">2026-02-15 11:37:40</t>
  </si>
  <si>
    <t xml:space="preserve">Customer Payment to Small Business to - 2547******239 NAJAVI OBISA</t>
  </si>
  <si>
    <t xml:space="preserve">UBFA96QKHA</t>
  </si>
  <si>
    <t xml:space="preserve">2026-02-15 15:26:44</t>
  </si>
  <si>
    <t xml:space="preserve">UBFQL6SHWN</t>
  </si>
  <si>
    <t xml:space="preserve">2026-02-15 19:03:39</t>
  </si>
  <si>
    <t xml:space="preserve">Funds received from - 2547******976 SCHOLASTICA WAMBUI</t>
  </si>
  <si>
    <t xml:space="preserve">UBFA96RSM3</t>
  </si>
  <si>
    <t xml:space="preserve">2026-02-15 20:04:35</t>
  </si>
  <si>
    <t xml:space="preserve">UBFA96RVJ0</t>
  </si>
  <si>
    <t xml:space="preserve">2026-02-15 20:24:36</t>
  </si>
  <si>
    <t xml:space="preserve">Merchant Payment to 3579543 - PESH SHOPPE</t>
  </si>
  <si>
    <t xml:space="preserve">UBFA96RXCN</t>
  </si>
  <si>
    <t xml:space="preserve">2026-02-15 20:46:20</t>
  </si>
  <si>
    <t xml:space="preserve">UBFA96S3KC</t>
  </si>
  <si>
    <t xml:space="preserve">2026-02-15 21:33:33</t>
  </si>
  <si>
    <t xml:space="preserve">UBGA96SMAA</t>
  </si>
  <si>
    <t xml:space="preserve">2026-02-16 08:10:58</t>
  </si>
  <si>
    <t xml:space="preserve">UBGA96SNJ8</t>
  </si>
  <si>
    <t xml:space="preserve">2026-02-16 08:20:43</t>
  </si>
  <si>
    <t xml:space="preserve">Merchant Payment to 538986 - EVANSON MUTURI NJUGUNA VIA SIDIAN BANK.</t>
  </si>
  <si>
    <t xml:space="preserve">UBGA96T0ZA</t>
  </si>
  <si>
    <t xml:space="preserve">2026-02-16 11:29:15</t>
  </si>
  <si>
    <t xml:space="preserve">Customer Transfer to - 07******602 CLARA OGOLA</t>
  </si>
  <si>
    <t xml:space="preserve">UBGA96T6GH</t>
  </si>
  <si>
    <t xml:space="preserve">2026-02-16 11:43:23</t>
  </si>
  <si>
    <t xml:space="preserve">UBGA96T5K7</t>
  </si>
  <si>
    <t xml:space="preserve">2026-02-16 12:28:55</t>
  </si>
  <si>
    <t xml:space="preserve">Merchant Payment to 5806496 - SHAMIM AWUOR RAMADHAN</t>
  </si>
  <si>
    <t xml:space="preserve">UBGA96T8NI</t>
  </si>
  <si>
    <t xml:space="preserve">2026-02-16 12:38:40</t>
  </si>
  <si>
    <t xml:space="preserve">Customer Transfer to - 07******163 Lynne Shanyisa</t>
  </si>
  <si>
    <t xml:space="preserve">UBGA96TL6S</t>
  </si>
  <si>
    <t xml:space="preserve">2026-02-16 13:23:43</t>
  </si>
  <si>
    <t xml:space="preserve">UBGA96TXJQ</t>
  </si>
  <si>
    <t xml:space="preserve">2026-02-16 14:59:27</t>
  </si>
  <si>
    <t xml:space="preserve">UBGA96TX7I</t>
  </si>
  <si>
    <t xml:space="preserve">2026-02-16 16:16:24</t>
  </si>
  <si>
    <t xml:space="preserve">UBGA96U0ZD</t>
  </si>
  <si>
    <t xml:space="preserve">2026-02-16 16:18:10</t>
  </si>
  <si>
    <t xml:space="preserve">Pay Bill to 400200 - Co-operative Bank Money Transfer Acc. 1063710</t>
  </si>
  <si>
    <t xml:space="preserve">UBGA96U10K</t>
  </si>
  <si>
    <t xml:space="preserve">2026-02-16 16:20:36</t>
  </si>
  <si>
    <t xml:space="preserve">UBHA96VMV3</t>
  </si>
  <si>
    <t xml:space="preserve">2026-02-17 05:31:04</t>
  </si>
  <si>
    <t xml:space="preserve">UASA94ZKAT</t>
  </si>
  <si>
    <t xml:space="preserve">2026-01-28 10:05:40</t>
  </si>
  <si>
    <t xml:space="preserve">UASA94ZWLX</t>
  </si>
  <si>
    <t xml:space="preserve">2026-01-28 11:52:09</t>
  </si>
  <si>
    <t xml:space="preserve">Pay Bill to 765244 - Bingwa Sacco Society Ltd C2B Acc. 261423</t>
  </si>
  <si>
    <t xml:space="preserve">UASA9503HA</t>
  </si>
  <si>
    <t xml:space="preserve">2026-01-28 12:38:40</t>
  </si>
  <si>
    <t xml:space="preserve">Pay Bill to 852648 - FORTUNE SACCO C2B Acc. 115979</t>
  </si>
  <si>
    <t xml:space="preserve">UASA950271</t>
  </si>
  <si>
    <t xml:space="preserve">2026-01-28 12:47:39</t>
  </si>
  <si>
    <t xml:space="preserve">Customer Payment to Small Business to - 2547******759 JEMIMAH JOHN</t>
  </si>
  <si>
    <t xml:space="preserve">UASA9502CG</t>
  </si>
  <si>
    <t xml:space="preserve">2026-01-28 12:57:08</t>
  </si>
  <si>
    <t xml:space="preserve">UASA9508B2</t>
  </si>
  <si>
    <t xml:space="preserve">2026-01-28 12:58:00</t>
  </si>
  <si>
    <t xml:space="preserve">UASA950JEJ</t>
  </si>
  <si>
    <t xml:space="preserve">2026-01-28 14:52:36</t>
  </si>
  <si>
    <t xml:space="preserve">UASA9527KM</t>
  </si>
  <si>
    <t xml:space="preserve">2026-01-28 22:34:34</t>
  </si>
  <si>
    <t xml:space="preserve">UATA952Y9L</t>
  </si>
  <si>
    <t xml:space="preserve">2026-01-29 10:04:42</t>
  </si>
  <si>
    <t xml:space="preserve">UATA953B59</t>
  </si>
  <si>
    <t xml:space="preserve">2026-01-29 11:05:14</t>
  </si>
  <si>
    <t xml:space="preserve">UATA953U9L</t>
  </si>
  <si>
    <t xml:space="preserve">2026-01-29 14:55:00</t>
  </si>
  <si>
    <t xml:space="preserve">UATA954E7Q</t>
  </si>
  <si>
    <t xml:space="preserve">2026-01-29 17:52:34</t>
  </si>
  <si>
    <t xml:space="preserve">UATA954SSU</t>
  </si>
  <si>
    <t xml:space="preserve">2026-01-29 18:43:02</t>
  </si>
  <si>
    <t xml:space="preserve">UAUA956486</t>
  </si>
  <si>
    <t xml:space="preserve">2026-01-30 09:42:27</t>
  </si>
  <si>
    <t xml:space="preserve">UAUA9564GM</t>
  </si>
  <si>
    <t xml:space="preserve">2026-01-30 09:59:05</t>
  </si>
  <si>
    <t xml:space="preserve">UAUA956RRW</t>
  </si>
  <si>
    <t xml:space="preserve">2026-01-30 12:03:54</t>
  </si>
  <si>
    <t xml:space="preserve">UAU4Q56960</t>
  </si>
  <si>
    <t xml:space="preserve">2026-01-30 12:11:23</t>
  </si>
  <si>
    <t xml:space="preserve">UAUA957PXB</t>
  </si>
  <si>
    <t xml:space="preserve">2026-01-30 17:02:15</t>
  </si>
  <si>
    <t xml:space="preserve">UAU4Q57KJO</t>
  </si>
  <si>
    <t xml:space="preserve">2026-01-30 18:44:40</t>
  </si>
  <si>
    <t xml:space="preserve">UAUA95892V</t>
  </si>
  <si>
    <t xml:space="preserve">2026-01-30 19:32:40</t>
  </si>
  <si>
    <t xml:space="preserve">UAUA958ET5</t>
  </si>
  <si>
    <t xml:space="preserve">2026-01-30 19:34:53</t>
  </si>
  <si>
    <t xml:space="preserve">UAUE05BN50</t>
  </si>
  <si>
    <t xml:space="preserve">2026-01-30 20:45:17</t>
  </si>
  <si>
    <t xml:space="preserve">UAUA959526</t>
  </si>
  <si>
    <t xml:space="preserve">2026-01-30 23:22:58</t>
  </si>
  <si>
    <t xml:space="preserve">UAVA9592WH</t>
  </si>
  <si>
    <t xml:space="preserve">2026-01-31 04:01:44</t>
  </si>
  <si>
    <t xml:space="preserve">UAVA9594CZ</t>
  </si>
  <si>
    <t xml:space="preserve">2026-01-31 04:50:24</t>
  </si>
  <si>
    <t xml:space="preserve">UAVA959H7F</t>
  </si>
  <si>
    <t xml:space="preserve">2026-01-31 07:35:25</t>
  </si>
  <si>
    <t xml:space="preserve">UAVA959QMO</t>
  </si>
  <si>
    <t xml:space="preserve">2026-01-31 09:35:01</t>
  </si>
  <si>
    <t xml:space="preserve">Customer Transfer to - 07******286 SANDRA MUSYOKA</t>
  </si>
  <si>
    <t xml:space="preserve">UAVA959UZX</t>
  </si>
  <si>
    <t xml:space="preserve">2026-01-31 09:38:53</t>
  </si>
  <si>
    <t xml:space="preserve">UAVA959NUV</t>
  </si>
  <si>
    <t xml:space="preserve">2026-01-31 09:41:58</t>
  </si>
  <si>
    <t xml:space="preserve">UAVA95AFI1</t>
  </si>
  <si>
    <t xml:space="preserve">2026-01-31 13:18:38</t>
  </si>
  <si>
    <t xml:space="preserve">UAVA95AO4Q</t>
  </si>
  <si>
    <t xml:space="preserve">2026-01-31 15:25:41</t>
  </si>
  <si>
    <t xml:space="preserve">UAVA95APPZ</t>
  </si>
  <si>
    <t xml:space="preserve">2026-01-31 15:30:26</t>
  </si>
  <si>
    <t xml:space="preserve">UAVA95B3TT</t>
  </si>
  <si>
    <t xml:space="preserve">2026-01-31 16:01:28</t>
  </si>
  <si>
    <t xml:space="preserve">UAVA95B6XL</t>
  </si>
  <si>
    <t xml:space="preserve">2026-01-31 17:04:04</t>
  </si>
  <si>
    <t xml:space="preserve">UAVA95BPYN</t>
  </si>
  <si>
    <t xml:space="preserve">2026-01-31 18:57:56</t>
  </si>
  <si>
    <t xml:space="preserve">UAVA95BP0S</t>
  </si>
  <si>
    <t xml:space="preserve">2026-01-31 19:17:06</t>
  </si>
  <si>
    <t xml:space="preserve">UAVA95BUXV</t>
  </si>
  <si>
    <t xml:space="preserve">2026-01-31 19:47:21</t>
  </si>
  <si>
    <t xml:space="preserve">UAVA95BXTH</t>
  </si>
  <si>
    <t xml:space="preserve">2026-01-31 19:49:47</t>
  </si>
  <si>
    <t xml:space="preserve">Customer Transfer to - 2547******898 PAULINE AMBIYO</t>
  </si>
  <si>
    <t xml:space="preserve">UAVA95C271</t>
  </si>
  <si>
    <t xml:space="preserve">2026-01-31 20:13:37</t>
  </si>
  <si>
    <t xml:space="preserve">UAVA95C8C4</t>
  </si>
  <si>
    <t xml:space="preserve">2026-01-31 20:34:35</t>
  </si>
  <si>
    <t xml:space="preserve">UB1A95D4J1</t>
  </si>
  <si>
    <t xml:space="preserve">2026-02-01 08:25:37</t>
  </si>
  <si>
    <t xml:space="preserve">UB1A95CZ3P</t>
  </si>
  <si>
    <t xml:space="preserve">2026-02-01 08:33:07</t>
  </si>
  <si>
    <t xml:space="preserve">UB1QL5EAND</t>
  </si>
  <si>
    <t xml:space="preserve">2026-02-01 09:25:36</t>
  </si>
  <si>
    <t xml:space="preserve">UB1A95D71V</t>
  </si>
  <si>
    <t xml:space="preserve">2026-02-01 09:49:30</t>
  </si>
  <si>
    <t xml:space="preserve">UB1A95DCF5</t>
  </si>
  <si>
    <t xml:space="preserve">2026-02-01 10:03:34</t>
  </si>
  <si>
    <t xml:space="preserve">UB1A95DDX0</t>
  </si>
  <si>
    <t xml:space="preserve">2026-02-01 10:04:52</t>
  </si>
  <si>
    <t xml:space="preserve">UB1A95DYO7</t>
  </si>
  <si>
    <t xml:space="preserve">2026-02-01 14:21:58</t>
  </si>
  <si>
    <t xml:space="preserve">UB1A95ENBQ</t>
  </si>
  <si>
    <t xml:space="preserve">2026-02-01 17:32:19</t>
  </si>
  <si>
    <t xml:space="preserve">UB1A95F45Z</t>
  </si>
  <si>
    <t xml:space="preserve">2026-02-01 19:25:03</t>
  </si>
  <si>
    <t xml:space="preserve">UB1A95F616</t>
  </si>
  <si>
    <t xml:space="preserve">2026-02-01 19:35:25</t>
  </si>
  <si>
    <t xml:space="preserve">UB1A95F94Z</t>
  </si>
  <si>
    <t xml:space="preserve">2026-02-01 19:53:56</t>
  </si>
  <si>
    <t xml:space="preserve">Merchant Payment to 8634743 - FELIX  KIBET</t>
  </si>
  <si>
    <t xml:space="preserve">UB1A95FOWY</t>
  </si>
  <si>
    <t xml:space="preserve">2026-02-01 20:53:16</t>
  </si>
  <si>
    <t xml:space="preserve">Pay Bill Online to 4187661 - DIRECT PAY 02 Acc. ATL1606022543</t>
  </si>
  <si>
    <t xml:space="preserve">UB2A95GXN9</t>
  </si>
  <si>
    <t xml:space="preserve">2026-02-02 11:03:52</t>
  </si>
  <si>
    <t xml:space="preserve">UB2A95GSTE</t>
  </si>
  <si>
    <t xml:space="preserve">2026-02-02 11:24:29</t>
  </si>
  <si>
    <t xml:space="preserve">UB3A95KW2Q</t>
  </si>
  <si>
    <t xml:space="preserve">2026-02-03 14:18:07</t>
  </si>
  <si>
    <t xml:space="preserve">UB3A95LEJ3</t>
  </si>
  <si>
    <t xml:space="preserve">2026-02-03 17:06:03</t>
  </si>
  <si>
    <t xml:space="preserve">UB3A95LRM5</t>
  </si>
  <si>
    <t xml:space="preserve">2026-02-03 18:53:03</t>
  </si>
  <si>
    <t xml:space="preserve">UB3A95LT6D</t>
  </si>
  <si>
    <t xml:space="preserve">2026-02-03 19:01:14</t>
  </si>
  <si>
    <t xml:space="preserve">UB3A95M16D</t>
  </si>
  <si>
    <t xml:space="preserve">2026-02-03 19:05:15</t>
  </si>
  <si>
    <t xml:space="preserve">UB3A95LYT7</t>
  </si>
  <si>
    <t xml:space="preserve">2026-02-03 19:08:27</t>
  </si>
  <si>
    <t xml:space="preserve">UB3A95M2P8</t>
  </si>
  <si>
    <t xml:space="preserve">2026-02-03 19:11:11</t>
  </si>
  <si>
    <t xml:space="preserve">Merchant Payment to 8434143 - PERUCE AYIEMBA OMONGO</t>
  </si>
  <si>
    <t xml:space="preserve">UB3A95MG1H</t>
  </si>
  <si>
    <t xml:space="preserve">2026-02-03 20:57:20</t>
  </si>
  <si>
    <t xml:space="preserve">UB4255LMLZ</t>
  </si>
  <si>
    <t xml:space="preserve">2026-02-04 10:14:36</t>
  </si>
  <si>
    <t xml:space="preserve">Funds received from - 2547******427 MONICA WAMBUI</t>
  </si>
  <si>
    <t xml:space="preserve">UB4A95O4YU</t>
  </si>
  <si>
    <t xml:space="preserve">2026-02-04 12:52:15</t>
  </si>
  <si>
    <t xml:space="preserve">M-Shwari Deposit</t>
  </si>
  <si>
    <t xml:space="preserve">UB4A95OVOH</t>
  </si>
  <si>
    <t xml:space="preserve">2026-02-04 17:14:21</t>
  </si>
  <si>
    <t xml:space="preserve">UB4A95PT0D</t>
  </si>
  <si>
    <t xml:space="preserve">2026-02-04 19:57:51</t>
  </si>
  <si>
    <t xml:space="preserve">UB4A95PYGY</t>
  </si>
  <si>
    <t xml:space="preserve">2026-02-04 21:00:04</t>
  </si>
  <si>
    <t xml:space="preserve">Pay Bill Online to 4072222 - NABO CAPITAL LTD C2B Acc. P3B4GY</t>
  </si>
  <si>
    <t xml:space="preserve">UB5A95R0X2</t>
  </si>
  <si>
    <t xml:space="preserve">2026-02-05 09:41:22</t>
  </si>
  <si>
    <t xml:space="preserve">UB5A95R87G</t>
  </si>
  <si>
    <t xml:space="preserve">2026-02-05 10:31:01</t>
  </si>
  <si>
    <t xml:space="preserve">UB5A95T46C</t>
  </si>
  <si>
    <t xml:space="preserve">2026-02-05 19:20:49</t>
  </si>
  <si>
    <t xml:space="preserve">Customer Payment to Small Business to - 2547******898 Maurine Auma</t>
  </si>
  <si>
    <t xml:space="preserve">UB7A95YSJ9</t>
  </si>
  <si>
    <t xml:space="preserve">2026-02-07 13:20:53</t>
  </si>
  <si>
    <t xml:space="preserve">UB7A95YSK0</t>
  </si>
  <si>
    <t xml:space="preserve">2026-02-07 13:22:05</t>
  </si>
  <si>
    <t xml:space="preserve">Business Payment from 200998 - POSTBANK BULK PAYMENT via API. Original conversation ID is 2F0D382BA133.</t>
  </si>
  <si>
    <t xml:space="preserve">Customer Transfer to - 2547******970 REGINA MUHIA</t>
  </si>
  <si>
    <t xml:space="preserve">UBHA96W2WU</t>
  </si>
  <si>
    <t xml:space="preserve">2026-02-17 08:56:39</t>
  </si>
  <si>
    <t xml:space="preserve">UBHA96WIFQ</t>
  </si>
  <si>
    <t xml:space="preserve">2026-02-17 11:12:40</t>
  </si>
  <si>
    <t xml:space="preserve">Customer Payment to Small Business to - 07******570 Abdulrahman Kundu</t>
  </si>
  <si>
    <t xml:space="preserve">UBHA96WXH1</t>
  </si>
  <si>
    <t xml:space="preserve">2026-02-17 13:02:06</t>
  </si>
  <si>
    <t xml:space="preserve">UBHA96WV07</t>
  </si>
  <si>
    <t xml:space="preserve">2026-02-17 13:31:51</t>
  </si>
  <si>
    <t xml:space="preserve">UBHA96XHH3</t>
  </si>
  <si>
    <t xml:space="preserve">2026-02-17 17:27:40</t>
  </si>
  <si>
    <t xml:space="preserve">UBHA96YB40</t>
  </si>
  <si>
    <t xml:space="preserve">2026-02-17 19:39:39</t>
  </si>
  <si>
    <t xml:space="preserve">UBIA96ZVN3</t>
  </si>
  <si>
    <t xml:space="preserve">2026-02-18 12:31:26</t>
  </si>
  <si>
    <t xml:space="preserve">UBIA970V1F</t>
  </si>
  <si>
    <t xml:space="preserve">2026-02-18 17:27:33</t>
  </si>
  <si>
    <t xml:space="preserve">UBIA9719XS</t>
  </si>
  <si>
    <t xml:space="preserve">2026-02-18 18:52:09</t>
  </si>
  <si>
    <t xml:space="preserve">Merchant Payment to 7249450 - HIGHWAY BUTCHERY   3</t>
  </si>
  <si>
    <t xml:space="preserve">UBIA971CLX</t>
  </si>
  <si>
    <t xml:space="preserve">2026-02-18 18:55:10</t>
  </si>
  <si>
    <t xml:space="preserve">UBIA971EA7</t>
  </si>
  <si>
    <t xml:space="preserve">2026-02-18 19:01:49</t>
  </si>
  <si>
    <t xml:space="preserve">Customer Payment to Small Business to - 2547******227 RUTH AMONDE</t>
  </si>
  <si>
    <t xml:space="preserve">UBIA971A8P</t>
  </si>
  <si>
    <t xml:space="preserve">2026-02-18 19:03:18</t>
  </si>
  <si>
    <t xml:space="preserve">UBIA971CY1</t>
  </si>
  <si>
    <t xml:space="preserve">2026-02-18 19:07:52</t>
  </si>
  <si>
    <t xml:space="preserve">UBJA972I36</t>
  </si>
  <si>
    <t xml:space="preserve">2026-02-19 06:57:34</t>
  </si>
  <si>
    <t xml:space="preserve">UBJA972MD6</t>
  </si>
  <si>
    <t xml:space="preserve">2026-02-19 09:01:50</t>
  </si>
  <si>
    <t xml:space="preserve">Merchant Payment to 6641502 - ELIZABETH ATIENO NDINGA</t>
  </si>
  <si>
    <t xml:space="preserve">UBJA972YE1</t>
  </si>
  <si>
    <t xml:space="preserve">2026-02-19 10:35:37</t>
  </si>
  <si>
    <t xml:space="preserve">UBJA973256</t>
  </si>
  <si>
    <t xml:space="preserve">2026-02-19 10:36:30</t>
  </si>
  <si>
    <t xml:space="preserve">UBJA974QRP</t>
  </si>
  <si>
    <t xml:space="preserve">2026-02-19 19:19:41</t>
  </si>
  <si>
    <t xml:space="preserve">UBKA975MOP</t>
  </si>
  <si>
    <t xml:space="preserve">2026-02-20 06:59:50</t>
  </si>
  <si>
    <t xml:space="preserve">UBKA976DF0</t>
  </si>
  <si>
    <t xml:space="preserve">2026-02-20 11:03:12</t>
  </si>
  <si>
    <t xml:space="preserve">Customer Payment to Small Business to - 2547******891 EDWARD JOHNSTONE</t>
  </si>
  <si>
    <t xml:space="preserve">UBKA976DN0</t>
  </si>
  <si>
    <t xml:space="preserve">2026-02-20 11:18:05</t>
  </si>
  <si>
    <t xml:space="preserve">Pay Bill to 756756 - SASA PAY Acc. 544119</t>
  </si>
  <si>
    <t xml:space="preserve">UBKA976HV9</t>
  </si>
  <si>
    <t xml:space="preserve">2026-02-20 11:21:07</t>
  </si>
  <si>
    <t xml:space="preserve">UBKA976EW9</t>
  </si>
  <si>
    <t xml:space="preserve">2026-02-20 11:22:03</t>
  </si>
  <si>
    <t xml:space="preserve">UBKA976YZW</t>
  </si>
  <si>
    <t xml:space="preserve">2026-02-20 14:15:38</t>
  </si>
  <si>
    <t xml:space="preserve">UBKA9775BF</t>
  </si>
  <si>
    <t xml:space="preserve">2026-02-20 15:14:10</t>
  </si>
  <si>
    <t xml:space="preserve">UBKA97742Y</t>
  </si>
  <si>
    <t xml:space="preserve">2026-02-20 15:16:13</t>
  </si>
  <si>
    <t xml:space="preserve">UBKA9775DL</t>
  </si>
  <si>
    <t xml:space="preserve">2026-02-20 15:17:57</t>
  </si>
  <si>
    <t xml:space="preserve">UBLA97APEC</t>
  </si>
  <si>
    <t xml:space="preserve">2026-02-21 16:08:53</t>
  </si>
  <si>
    <t xml:space="preserve">Business Payment from 4072221 - NABO CAPITAL LTD via API. Original conversation ID is 6ecf- 4d61-ab9e- 38e880289a5a23186.</t>
  </si>
  <si>
    <t xml:space="preserve">UBLP77BM7J</t>
  </si>
  <si>
    <t xml:space="preserve">2026-02-21 17:40:33</t>
  </si>
  <si>
    <t xml:space="preserve">Funds received from - 2547******367 NAOMI MUREITHI</t>
  </si>
  <si>
    <t xml:space="preserve">UBLA97B1L8</t>
  </si>
  <si>
    <t xml:space="preserve">2026-02-21 17:45:42</t>
  </si>
  <si>
    <t xml:space="preserve">UBLA97BFD5</t>
  </si>
  <si>
    <t xml:space="preserve">2026-02-21 19:11:56</t>
  </si>
  <si>
    <t xml:space="preserve">UBLA97BKCT</t>
  </si>
  <si>
    <t xml:space="preserve">2026-02-21 19:38:41</t>
  </si>
  <si>
    <t xml:space="preserve">UBMA97CWXQ</t>
  </si>
  <si>
    <t xml:space="preserve">2026-02-22 11:36:43</t>
  </si>
  <si>
    <t xml:space="preserve">UBMA97D10P</t>
  </si>
  <si>
    <t xml:space="preserve">2026-02-22 11:40:30</t>
  </si>
  <si>
    <t xml:space="preserve">Customer Transfer to - 07******206 Lina Ndolo</t>
  </si>
  <si>
    <t xml:space="preserve">UBMA97D4WP</t>
  </si>
  <si>
    <t xml:space="preserve">2026-02-22 11:41:39</t>
  </si>
  <si>
    <t xml:space="preserve">UBMA97D4XH</t>
  </si>
  <si>
    <t xml:space="preserve">2026-02-22 11:43:14</t>
  </si>
  <si>
    <t xml:space="preserve">UBMA97DSMG</t>
  </si>
  <si>
    <t xml:space="preserve">2026-02-22 16:01:35</t>
  </si>
  <si>
    <t xml:space="preserve">UBMA97EIF8</t>
  </si>
  <si>
    <t xml:space="preserve">2026-02-22 18:46:52</t>
  </si>
  <si>
    <t xml:space="preserve">UBMA97F2MJ</t>
  </si>
  <si>
    <t xml:space="preserve">2026-02-22 21:24:57</t>
  </si>
  <si>
    <t xml:space="preserve">UBNA97G4C1</t>
  </si>
  <si>
    <t xml:space="preserve">2026-02-23 11:35:21</t>
  </si>
  <si>
    <t xml:space="preserve">UBNA97GQ32</t>
  </si>
  <si>
    <t xml:space="preserve">2026-02-23 15:07:57</t>
  </si>
  <si>
    <t xml:space="preserve">UBNA97HGSS</t>
  </si>
  <si>
    <t xml:space="preserve">2026-02-23 18:08:16</t>
  </si>
  <si>
    <t xml:space="preserve">UBNA97HECN</t>
  </si>
  <si>
    <t xml:space="preserve">2026-02-23 18:21:11</t>
  </si>
  <si>
    <t xml:space="preserve">Customer Payment to Small Business to - 2547******892 samuel nduyi</t>
  </si>
  <si>
    <t xml:space="preserve">UBNA97HULD</t>
  </si>
  <si>
    <t xml:space="preserve">2026-02-23 19:11:06</t>
  </si>
  <si>
    <t xml:space="preserve">UBOA97IZCB</t>
  </si>
  <si>
    <t xml:space="preserve">2026-02-24 08:57:58</t>
  </si>
  <si>
    <t xml:space="preserve">UBOA97IZWO</t>
  </si>
  <si>
    <t xml:space="preserve">2026-02-24 09:38:34</t>
  </si>
  <si>
    <t xml:space="preserve">UBOA97J2VP</t>
  </si>
  <si>
    <t xml:space="preserve">2026-02-24 09:40:06</t>
  </si>
  <si>
    <t xml:space="preserve">UBOA97J2ZA</t>
  </si>
  <si>
    <t xml:space="preserve">2026-02-24 09:47:22</t>
  </si>
  <si>
    <t xml:space="preserve">UBOA97JUNG</t>
  </si>
  <si>
    <t xml:space="preserve">2026-02-24 14:32:56</t>
  </si>
  <si>
    <t xml:space="preserve">UBOA97JXO9</t>
  </si>
  <si>
    <t xml:space="preserve">2026-02-24 14:33:43</t>
  </si>
  <si>
    <t xml:space="preserve">UBOA97K3CJ</t>
  </si>
  <si>
    <t xml:space="preserve">2026-02-24 15:30:41</t>
  </si>
  <si>
    <t xml:space="preserve">UBOA97KLD5</t>
  </si>
  <si>
    <t xml:space="preserve">2026-02-24 17:14:29</t>
  </si>
  <si>
    <t xml:space="preserve">Customer Transfer to - 2547******603 FESTO ANYULA</t>
  </si>
  <si>
    <t xml:space="preserve">UBPA97LZS8</t>
  </si>
  <si>
    <t xml:space="preserve">2026-02-25 06:59:37</t>
  </si>
  <si>
    <t xml:space="preserve">UBPA97NQG3</t>
  </si>
  <si>
    <t xml:space="preserve">2026-02-25 16:38:10</t>
  </si>
  <si>
    <t xml:space="preserve">Offnet B2C Transfer by 966888AIRTEL MONEY via API to - 2547******109 NAOMI MUREITHI</t>
  </si>
  <si>
    <t xml:space="preserve">UBPA97NW0T</t>
  </si>
  <si>
    <t xml:space="preserve">2026-02-25 17:36:26</t>
  </si>
  <si>
    <t xml:space="preserve">UBPA97OQZ8</t>
  </si>
  <si>
    <t xml:space="preserve">2026-02-25 19:45:51</t>
  </si>
  <si>
    <t xml:space="preserve">UBQMZ7SR9X</t>
  </si>
  <si>
    <t xml:space="preserve">2026-02-26 12:53:35</t>
  </si>
  <si>
    <t xml:space="preserve">Funds received from - 2547******446 NANCY WACHIRA</t>
  </si>
  <si>
    <t xml:space="preserve">UBQA97QUW8</t>
  </si>
  <si>
    <t xml:space="preserve">2026-02-26 13:52:46</t>
  </si>
  <si>
    <t xml:space="preserve">UBQA97RW9M</t>
  </si>
  <si>
    <t xml:space="preserve">2026-02-26 19:27:11</t>
  </si>
  <si>
    <t xml:space="preserve">UBQE07W44N</t>
  </si>
  <si>
    <t xml:space="preserve">2026-02-26 19:49:01</t>
  </si>
  <si>
    <t xml:space="preserve">UBQA97SCRU</t>
  </si>
  <si>
    <t xml:space="preserve">2026-02-26 20:13:53</t>
  </si>
  <si>
    <t xml:space="preserve">UBQA97SKKM</t>
  </si>
  <si>
    <t xml:space="preserve">2026-02-26 21:29:11</t>
  </si>
  <si>
    <t xml:space="preserve">UBQA97SHMR</t>
  </si>
  <si>
    <t xml:space="preserve">2026-02-26 21:35:56</t>
  </si>
  <si>
    <t xml:space="preserve">UBRA97U62U</t>
  </si>
  <si>
    <t xml:space="preserve">2026-02-27 14:05:13</t>
  </si>
  <si>
    <t xml:space="preserve">UBRA97U097</t>
  </si>
  <si>
    <t xml:space="preserve">2026-02-27 14:10:11</t>
  </si>
  <si>
    <t xml:space="preserve">UBRA97TYRW</t>
  </si>
  <si>
    <t xml:space="preserve">2026-02-27 14:15:29</t>
  </si>
  <si>
    <t xml:space="preserve">Customer Payment to Small Business to - 2547******500 YATINKUMAR PATEL</t>
  </si>
  <si>
    <t xml:space="preserve">UBRA97U3DZ</t>
  </si>
  <si>
    <t xml:space="preserve">2026-02-27 14:17:27</t>
  </si>
  <si>
    <t xml:space="preserve">Customer Payment to Small Business to - 07******552 JOICE ONGOCHE</t>
  </si>
  <si>
    <t xml:space="preserve">UBRA97U26X</t>
  </si>
  <si>
    <t xml:space="preserve">2026-02-27 14:37:32</t>
  </si>
  <si>
    <t xml:space="preserve">UBRA97UCTO</t>
  </si>
  <si>
    <t xml:space="preserve">2026-02-27 15:55:10</t>
  </si>
  <si>
    <t xml:space="preserve">UBRA97UTEC</t>
  </si>
  <si>
    <t xml:space="preserve">2026-02-27 18:03:11</t>
  </si>
  <si>
    <t xml:space="preserve">UBSP77XTEB</t>
  </si>
  <si>
    <t xml:space="preserve">2026-02-28 11:15:42</t>
  </si>
  <si>
    <t xml:space="preserve">UBSA97X0AK</t>
  </si>
  <si>
    <t xml:space="preserve">2026-02-28 11:18:40</t>
  </si>
  <si>
    <t xml:space="preserve">UBSA97X0IZ</t>
  </si>
  <si>
    <t xml:space="preserve">2026-02-28 11:33:47</t>
  </si>
  <si>
    <t xml:space="preserve">UC1A980NRK</t>
  </si>
  <si>
    <t xml:space="preserve">2026-03-01 12:39:12</t>
  </si>
  <si>
    <t xml:space="preserve">UC1A981S6W</t>
  </si>
  <si>
    <t xml:space="preserve">2026-03-01 17:01:59</t>
  </si>
  <si>
    <t xml:space="preserve">UC1A98215F</t>
  </si>
  <si>
    <t xml:space="preserve">2026-03-01 19:04:03</t>
  </si>
  <si>
    <t xml:space="preserve">UC1A982TQV</t>
  </si>
  <si>
    <t xml:space="preserve">2026-03-01 21:14:39</t>
  </si>
  <si>
    <t xml:space="preserve">UC2A9837Z2</t>
  </si>
  <si>
    <t xml:space="preserve">2026-03-02 07:25:33</t>
  </si>
  <si>
    <t xml:space="preserve">Pay Bill Online to 4027701 - SPOTIFY Acc. Spotify</t>
  </si>
  <si>
    <t xml:space="preserve">UC2A983W2N</t>
  </si>
  <si>
    <t xml:space="preserve">2026-03-02 10:28:12</t>
  </si>
  <si>
    <t xml:space="preserve">UC2A9841AE</t>
  </si>
  <si>
    <t xml:space="preserve">2026-03-02 11:25:21</t>
  </si>
  <si>
    <t xml:space="preserve">Merchant Payment to 5594644 - REUMA PHARMACITICAL</t>
  </si>
  <si>
    <t xml:space="preserve">UC2A983ZYU</t>
  </si>
  <si>
    <t xml:space="preserve">2026-03-02 11:41:56</t>
  </si>
  <si>
    <t xml:space="preserve">UC2A984569</t>
  </si>
  <si>
    <t xml:space="preserve">2026-03-02 11:48:27</t>
  </si>
  <si>
    <t xml:space="preserve">UC2A984OUZ</t>
  </si>
  <si>
    <t xml:space="preserve">2026-03-02 15:00:07</t>
  </si>
  <si>
    <t xml:space="preserve">UC2A984OYI</t>
  </si>
  <si>
    <t xml:space="preserve">2026-03-02 15:06:20</t>
  </si>
  <si>
    <t xml:space="preserve">UC2A984R24</t>
  </si>
  <si>
    <t xml:space="preserve">2026-03-02 15:06:43</t>
  </si>
  <si>
    <t xml:space="preserve">UC2A9856Q8</t>
  </si>
  <si>
    <t xml:space="preserve">2026-03-02 17:08:58</t>
  </si>
  <si>
    <t xml:space="preserve">Customer Transfer to - 07******180 CONSOLATER ODUOR</t>
  </si>
  <si>
    <t xml:space="preserve">UC2A9854BN</t>
  </si>
  <si>
    <t xml:space="preserve">2026-03-02 17:26:27</t>
  </si>
  <si>
    <t xml:space="preserve">Customer Payment to Small Business to - 07******732 christabel ayilo</t>
  </si>
  <si>
    <t xml:space="preserve">UC2A985AWR</t>
  </si>
  <si>
    <t xml:space="preserve">2026-03-02 17:32:43</t>
  </si>
  <si>
    <t xml:space="preserve">Merchant Payment to 5190870 - MILLICENT  ATIENO OIGO</t>
  </si>
  <si>
    <t xml:space="preserve">UC2A985E5F</t>
  </si>
  <si>
    <t xml:space="preserve">2026-03-02 17:52:04</t>
  </si>
  <si>
    <t xml:space="preserve">UC2A985XKH</t>
  </si>
  <si>
    <t xml:space="preserve">2026-03-02 20:09:56</t>
  </si>
  <si>
    <t xml:space="preserve">UC2A9868MZ</t>
  </si>
  <si>
    <t xml:space="preserve">2026-03-02 20:30:52</t>
  </si>
  <si>
    <t xml:space="preserve">UC3A986W55</t>
  </si>
  <si>
    <t xml:space="preserve">2026-03-03 06:55:01</t>
  </si>
  <si>
    <t xml:space="preserve">UC3A988LLQ</t>
  </si>
  <si>
    <t xml:space="preserve">2026-03-03 16:10:10</t>
  </si>
  <si>
    <t xml:space="preserve">UC3A988DI9</t>
  </si>
  <si>
    <t xml:space="preserve">2026-03-03 16:11:47</t>
  </si>
  <si>
    <t xml:space="preserve">UC3A988GNQ</t>
  </si>
  <si>
    <t xml:space="preserve">2026-03-03 16:17:32</t>
  </si>
  <si>
    <t xml:space="preserve">UC3A988GSN</t>
  </si>
  <si>
    <t xml:space="preserve">2026-03-03 16:24:59</t>
  </si>
  <si>
    <t xml:space="preserve">Customer Payment to Small Business to - 2547******953 SHEILLA RUNALO</t>
  </si>
  <si>
    <t xml:space="preserve">UC3A988KY1</t>
  </si>
  <si>
    <t xml:space="preserve">2026-03-03 16:30:52</t>
  </si>
  <si>
    <t xml:space="preserve">Merchant Payment to 6729544 - Eugene Akinyi Otieno .</t>
  </si>
  <si>
    <t xml:space="preserve">UC3A988I3O</t>
  </si>
  <si>
    <t xml:space="preserve">2026-03-03 16:32:49</t>
  </si>
  <si>
    <t xml:space="preserve">Merchant Payment to 6102168 - WISE CHOICE KENYA BAKERIES 2 HQ</t>
  </si>
  <si>
    <t xml:space="preserve">UC3A988IAL</t>
  </si>
  <si>
    <t xml:space="preserve">2026-03-03 16:44:17</t>
  </si>
  <si>
    <t xml:space="preserve">UC3A988ZEJ</t>
  </si>
  <si>
    <t xml:space="preserve">2026-03-03 17:46:49</t>
  </si>
  <si>
    <t xml:space="preserve">UC3A989Y86</t>
  </si>
  <si>
    <t xml:space="preserve">2026-03-03 21:36:48</t>
  </si>
  <si>
    <t xml:space="preserve">UC4A98ASYA</t>
  </si>
  <si>
    <t xml:space="preserve">2026-03-04 09:58:39</t>
  </si>
  <si>
    <t xml:space="preserve">UC4A98AZ7A</t>
  </si>
  <si>
    <t xml:space="preserve">2026-03-04 10:47:45</t>
  </si>
  <si>
    <t xml:space="preserve">UC4A98BBM6</t>
  </si>
  <si>
    <t xml:space="preserve">2026-03-04 12:52:10</t>
  </si>
  <si>
    <t xml:space="preserve">UC4A98BWGY</t>
  </si>
  <si>
    <t xml:space="preserve">2026-03-04 15:14:57</t>
  </si>
  <si>
    <t xml:space="preserve">UC4A98BY6F</t>
  </si>
  <si>
    <t xml:space="preserve">2026-03-04 15:56:02</t>
  </si>
  <si>
    <t xml:space="preserve">UC4A98C5Y4</t>
  </si>
  <si>
    <t xml:space="preserve">2026-03-04 16:42:14</t>
  </si>
  <si>
    <t xml:space="preserve">UC4A98C4PQ</t>
  </si>
  <si>
    <t xml:space="preserve">2026-03-04 16:49:36</t>
  </si>
  <si>
    <t xml:space="preserve">UC4A98CFZN</t>
  </si>
  <si>
    <t xml:space="preserve">2026-03-04 18:23:35</t>
  </si>
  <si>
    <t xml:space="preserve">UC4A98CPPD</t>
  </si>
  <si>
    <t xml:space="preserve">2026-03-04 18:40:08</t>
  </si>
  <si>
    <t xml:space="preserve">UC4A98CR9L</t>
  </si>
  <si>
    <t xml:space="preserve">2026-03-04 18:46:02</t>
  </si>
  <si>
    <t xml:space="preserve">UC4A98CKEG</t>
  </si>
  <si>
    <t xml:space="preserve">2026-03-04 18:48:52</t>
  </si>
  <si>
    <t xml:space="preserve">UC4A98COON</t>
  </si>
  <si>
    <t xml:space="preserve">2026-03-04 18:55:24</t>
  </si>
  <si>
    <t xml:space="preserve">UC5A98E974</t>
  </si>
  <si>
    <t xml:space="preserve">2026-03-05 08:47:28</t>
  </si>
  <si>
    <t xml:space="preserve">UC5A98EKCX</t>
  </si>
  <si>
    <t xml:space="preserve">2026-03-05 10:52:13</t>
  </si>
  <si>
    <t xml:space="preserve">UC5A98FCZ1</t>
  </si>
  <si>
    <t xml:space="preserve">2026-03-05 16:08:47</t>
  </si>
  <si>
    <t xml:space="preserve">Business Payment from 4072221 - NABO CAPITAL LTD via API. Original conversation ID is 01ca- 49a1-bf44-f9e2218dfcc125438.</t>
  </si>
  <si>
    <t xml:space="preserve">UC5A98FLOM</t>
  </si>
  <si>
    <t xml:space="preserve">2026-03-05 16:49:42</t>
  </si>
  <si>
    <t xml:space="preserve">UC5A98FPRR</t>
  </si>
  <si>
    <t xml:space="preserve">2026-03-05 16:50:43</t>
  </si>
  <si>
    <t xml:space="preserve">UC5A98FOJM</t>
  </si>
  <si>
    <t xml:space="preserve">2026-03-05 16:54:35</t>
  </si>
  <si>
    <t xml:space="preserve">UC5A98G8HE</t>
  </si>
  <si>
    <t xml:space="preserve">2026-03-05 18:59:01</t>
  </si>
  <si>
    <t xml:space="preserve">UC5A98G633</t>
  </si>
  <si>
    <t xml:space="preserve">2026-03-05 19:14:45</t>
  </si>
  <si>
    <t xml:space="preserve">Merchant Payment to 8446109 - BEATRICE NAKHUMICHA KHAEMBA</t>
  </si>
  <si>
    <t xml:space="preserve">UC5A98GG0A</t>
  </si>
  <si>
    <t xml:space="preserve">2026-03-05 19:38:29</t>
  </si>
  <si>
    <t xml:space="preserve">UC6A98HER7</t>
  </si>
  <si>
    <t xml:space="preserve">2026-03-06 08:29:57</t>
  </si>
  <si>
    <t xml:space="preserve">UC6A98HSRZ</t>
  </si>
  <si>
    <t xml:space="preserve">2026-03-06 10:49:59</t>
  </si>
  <si>
    <t xml:space="preserve">UC6A98I70R</t>
  </si>
  <si>
    <t xml:space="preserve">2026-03-06 13:04:16</t>
  </si>
  <si>
    <t xml:space="preserve">UC6A98IO7O</t>
  </si>
  <si>
    <t xml:space="preserve">2026-03-06 14:35:15</t>
  </si>
  <si>
    <t xml:space="preserve">UC6A98IWRS</t>
  </si>
  <si>
    <t xml:space="preserve">2026-03-06 16:34:27</t>
  </si>
  <si>
    <t xml:space="preserve">UC6QL8K3JR</t>
  </si>
  <si>
    <t xml:space="preserve">2026-03-06 16:39:46</t>
  </si>
  <si>
    <t xml:space="preserve">UC6A98J3YV</t>
  </si>
  <si>
    <t xml:space="preserve">2026-03-06 17:05:45</t>
  </si>
  <si>
    <t xml:space="preserve">UC6A98JF2T</t>
  </si>
  <si>
    <t xml:space="preserve">2026-03-06 18:27:42</t>
  </si>
  <si>
    <t xml:space="preserve">UC6A98JKRV</t>
  </si>
  <si>
    <t xml:space="preserve">2026-03-06 18:34:49</t>
  </si>
  <si>
    <t xml:space="preserve">UC6A98JGOL</t>
  </si>
  <si>
    <t xml:space="preserve">2026-03-06 18:42:06</t>
  </si>
  <si>
    <t xml:space="preserve">Pay Bill to 247247 - Equity Paybill Account Acc. 0790034418</t>
  </si>
  <si>
    <t xml:space="preserve">UC7A98L7IA</t>
  </si>
  <si>
    <t xml:space="preserve">2026-03-07 10:30:20</t>
  </si>
  <si>
    <t xml:space="preserve">UC7A98M29V</t>
  </si>
  <si>
    <t xml:space="preserve">2026-03-07 14:20:18</t>
  </si>
  <si>
    <t xml:space="preserve">UC7A98LY5Q</t>
  </si>
  <si>
    <t xml:space="preserve">2026-03-07 14:25:19</t>
  </si>
  <si>
    <t xml:space="preserve">Customer Payment to Small Business to - 2547******714 Dorcas Ambale</t>
  </si>
  <si>
    <t xml:space="preserve">UC7A98LZP3</t>
  </si>
  <si>
    <t xml:space="preserve">2026-03-07 14:32:02</t>
  </si>
  <si>
    <t xml:space="preserve">UC7A98MRMF</t>
  </si>
  <si>
    <t xml:space="preserve">2026-03-07 18:28:12</t>
  </si>
  <si>
    <t xml:space="preserve">UC7A98MQJR</t>
  </si>
  <si>
    <t xml:space="preserve">2026-03-07 18:31:29</t>
  </si>
  <si>
    <t xml:space="preserve">UC7A98MRQL</t>
  </si>
  <si>
    <t xml:space="preserve">2026-03-07 18:33:39</t>
  </si>
  <si>
    <t xml:space="preserve">UC7A98MRTJ</t>
  </si>
  <si>
    <t xml:space="preserve">2026-03-07 18:37:23</t>
  </si>
  <si>
    <t xml:space="preserve">UC7A98N4RY</t>
  </si>
  <si>
    <t xml:space="preserve">2026-03-07 19:02:22</t>
  </si>
  <si>
    <t xml:space="preserve">UC7A98N2US</t>
  </si>
  <si>
    <t xml:space="preserve">2026-03-07 19:43:51</t>
  </si>
  <si>
    <t xml:space="preserve">UC8A98OW8Y</t>
  </si>
  <si>
    <t xml:space="preserve">2026-03-08 11:59:44</t>
  </si>
  <si>
    <t xml:space="preserve">UC8A98PW3N</t>
  </si>
  <si>
    <t xml:space="preserve">2026-03-08 17:02:17</t>
  </si>
  <si>
    <t xml:space="preserve">UC8A98QCL0</t>
  </si>
  <si>
    <t xml:space="preserve">2026-03-08 18:56:28</t>
  </si>
  <si>
    <t xml:space="preserve">UC8A98QE32</t>
  </si>
  <si>
    <t xml:space="preserve">2026-03-08 19:00:15</t>
  </si>
  <si>
    <t xml:space="preserve">UC9A98ROYX</t>
  </si>
  <si>
    <t xml:space="preserve">2026-03-09 08:47:15</t>
  </si>
  <si>
    <t xml:space="preserve">UC9A98S5FV</t>
  </si>
  <si>
    <t xml:space="preserve">2026-03-09 11:23:25</t>
  </si>
  <si>
    <t xml:space="preserve">UC9A98S5MK</t>
  </si>
  <si>
    <t xml:space="preserve">2026-03-09 11:36:45</t>
  </si>
  <si>
    <t xml:space="preserve">UC9A98SU6Q</t>
  </si>
  <si>
    <t xml:space="preserve">2026-03-09 15:01:19</t>
  </si>
  <si>
    <t xml:space="preserve">UC9A98SYC0</t>
  </si>
  <si>
    <t xml:space="preserve">2026-03-09 16:25:48</t>
  </si>
  <si>
    <t xml:space="preserve">UC9A98T8T1</t>
  </si>
  <si>
    <t xml:space="preserve">2026-03-09 17:33:24</t>
  </si>
  <si>
    <t xml:space="preserve">UC9A98T7KY</t>
  </si>
  <si>
    <t xml:space="preserve">2026-03-09 17:34:11</t>
  </si>
  <si>
    <t xml:space="preserve">UC9A98T7N8</t>
  </si>
  <si>
    <t xml:space="preserve">2026-03-09 17:36:49</t>
  </si>
  <si>
    <t xml:space="preserve">UC9A98TBOJ</t>
  </si>
  <si>
    <t xml:space="preserve">2026-03-09 17:46:50</t>
  </si>
  <si>
    <t xml:space="preserve">UC9258Q8QS</t>
  </si>
  <si>
    <t xml:space="preserve">2026-03-09 18:55:28</t>
  </si>
  <si>
    <t xml:space="preserve">UCAA98UVDG</t>
  </si>
  <si>
    <t xml:space="preserve">2026-03-10 08:07:14</t>
  </si>
  <si>
    <t xml:space="preserve">UCAA98UYO5</t>
  </si>
  <si>
    <t xml:space="preserve">2026-03-10 08:39:15</t>
  </si>
  <si>
    <t xml:space="preserve">UCAA98V5J5</t>
  </si>
  <si>
    <t xml:space="preserve">2026-03-10 09:13:34</t>
  </si>
  <si>
    <t xml:space="preserve">UCAA98V6VD</t>
  </si>
  <si>
    <t xml:space="preserve">2026-03-10 09:14:00</t>
  </si>
  <si>
    <t xml:space="preserve">Pay Bill Online to 4040305 - SPEEDAF LOGISTICS  KENYA LTD Acc. KE0001446133</t>
  </si>
  <si>
    <t xml:space="preserve">UCAA98VDWP</t>
  </si>
  <si>
    <t xml:space="preserve">2026-03-10 10:50:04</t>
  </si>
  <si>
    <t xml:space="preserve">UCAA98WVJK</t>
  </si>
  <si>
    <t xml:space="preserve">2026-03-10 18:15:19</t>
  </si>
  <si>
    <t xml:space="preserve">UCAA98WSXE</t>
  </si>
  <si>
    <t xml:space="preserve">2026-03-10 18:16:58</t>
  </si>
  <si>
    <t xml:space="preserve">UCAA98X2EX</t>
  </si>
  <si>
    <t xml:space="preserve">2026-03-10 19:22:13</t>
  </si>
  <si>
    <t xml:space="preserve">UCBA98YMKK</t>
  </si>
  <si>
    <t xml:space="preserve">2026-03-11 09:14:15</t>
  </si>
  <si>
    <t xml:space="preserve">UCBA98YL92</t>
  </si>
  <si>
    <t xml:space="preserve">2026-03-11 09:25:02</t>
  </si>
  <si>
    <t xml:space="preserve">UCBA98YFMN</t>
  </si>
  <si>
    <t xml:space="preserve">2026-03-11 09:25:29</t>
  </si>
  <si>
    <t xml:space="preserve">UCBA98ZBG2</t>
  </si>
  <si>
    <t xml:space="preserve">2026-03-11 13:57:10</t>
  </si>
  <si>
    <t xml:space="preserve">UCBA98ZSR7</t>
  </si>
  <si>
    <t xml:space="preserve">2026-03-11 16:31:57</t>
  </si>
  <si>
    <t xml:space="preserve">UCBA98ZXVZ</t>
  </si>
  <si>
    <t xml:space="preserve">2026-03-11 17:48:56</t>
  </si>
  <si>
    <t xml:space="preserve">Customer Payment to Small Business to - 2541******889 Josephine Okumu</t>
  </si>
  <si>
    <t xml:space="preserve">UCBA99053M</t>
  </si>
  <si>
    <t xml:space="preserve">2026-03-11 17:50:48</t>
  </si>
  <si>
    <t xml:space="preserve">Customer Transfer to - 2541******715 Rose Lipuka</t>
  </si>
  <si>
    <t xml:space="preserve">UCCA9921BW</t>
  </si>
  <si>
    <t xml:space="preserve">2026-03-12 10:31:54</t>
  </si>
  <si>
    <t xml:space="preserve">UCCA992F1S</t>
  </si>
  <si>
    <t xml:space="preserve">2026-03-12 12:36:53</t>
  </si>
  <si>
    <t xml:space="preserve">UCCA992KMG</t>
  </si>
  <si>
    <t xml:space="preserve">2026-03-12 12:37:34</t>
  </si>
  <si>
    <t xml:space="preserve">UCCA992DZB</t>
  </si>
  <si>
    <t xml:space="preserve">2026-03-12 12:46:10</t>
  </si>
  <si>
    <t xml:space="preserve">UCCA99384J</t>
  </si>
  <si>
    <t xml:space="preserve">2026-03-12 16:45:36</t>
  </si>
  <si>
    <t xml:space="preserve">UCC4Q91JG5</t>
  </si>
  <si>
    <t xml:space="preserve">2026-03-12 18:30:46</t>
  </si>
  <si>
    <t xml:space="preserve">UCCA9943UZ</t>
  </si>
  <si>
    <t xml:space="preserve">2026-03-12 19:35:30</t>
  </si>
  <si>
    <t xml:space="preserve">UCDA995DLZ</t>
  </si>
  <si>
    <t xml:space="preserve">2026-03-13 09:30:30</t>
  </si>
  <si>
    <t xml:space="preserve">UCDA995CDN</t>
  </si>
  <si>
    <t xml:space="preserve">2026-03-13 09:52:25</t>
  </si>
  <si>
    <t xml:space="preserve">UCDA996UQE</t>
  </si>
  <si>
    <t xml:space="preserve">2026-03-13 16:45:43</t>
  </si>
  <si>
    <t xml:space="preserve">Customer Payment to Small Business to - 07******869 Ruth ojonyo</t>
  </si>
  <si>
    <t xml:space="preserve">UCDA996Y09</t>
  </si>
  <si>
    <t xml:space="preserve">2026-03-13 17:00:12</t>
  </si>
  <si>
    <t xml:space="preserve">UCDA997Q06</t>
  </si>
  <si>
    <t xml:space="preserve">2026-03-13 20:11:45</t>
  </si>
  <si>
    <t xml:space="preserve">UCEA99936E</t>
  </si>
  <si>
    <t xml:space="preserve">2026-03-14 09:48:53</t>
  </si>
  <si>
    <t xml:space="preserve">UCEA999QOV</t>
  </si>
  <si>
    <t xml:space="preserve">2026-03-14 13:45:57</t>
  </si>
  <si>
    <t xml:space="preserve">UCEA999R0M</t>
  </si>
  <si>
    <t xml:space="preserve">2026-03-14 14:06:05</t>
  </si>
  <si>
    <t xml:space="preserve">UCEA999R1K</t>
  </si>
  <si>
    <t xml:space="preserve">2026-03-14 14:07:28</t>
  </si>
  <si>
    <t xml:space="preserve">UCEA999O6L</t>
  </si>
  <si>
    <t xml:space="preserve">2026-03-14 14:11:01</t>
  </si>
  <si>
    <t xml:space="preserve">UCEA99A6HI</t>
  </si>
  <si>
    <t xml:space="preserve">2026-03-14 16:48:20</t>
  </si>
  <si>
    <t xml:space="preserve">UCEA99A9V6</t>
  </si>
  <si>
    <t xml:space="preserve">2026-03-14 17:14:04</t>
  </si>
  <si>
    <t xml:space="preserve">UCEA99ACV9</t>
  </si>
  <si>
    <t xml:space="preserve">2026-03-14 17:14:53</t>
  </si>
  <si>
    <t xml:space="preserve">UCEA99AU63</t>
  </si>
  <si>
    <t xml:space="preserve">2026-03-14 18:34:50</t>
  </si>
  <si>
    <t xml:space="preserve">UCEA99B5FP</t>
  </si>
  <si>
    <t xml:space="preserve">2026-03-14 19:57:11</t>
  </si>
  <si>
    <t xml:space="preserve">Customer Payment to Small Business to - 2547******381 DAVID NGIGI</t>
  </si>
  <si>
    <t xml:space="preserve">UCEA99B8QK</t>
  </si>
  <si>
    <t xml:space="preserve">2026-03-14 20:08:25</t>
  </si>
  <si>
    <t xml:space="preserve">Customer Transfer to - 07******332 Mercy Ochieng</t>
  </si>
  <si>
    <t xml:space="preserve">UCF4Q99XJ6</t>
  </si>
  <si>
    <t xml:space="preserve">2026-03-15 09:00:41</t>
  </si>
  <si>
    <t xml:space="preserve">UCFA99CNIA</t>
  </si>
  <si>
    <t xml:space="preserve">2026-03-15 11:09:15</t>
  </si>
  <si>
    <t xml:space="preserve">UCFA99CR5H</t>
  </si>
  <si>
    <t xml:space="preserve">2026-03-15 11:56:54</t>
  </si>
  <si>
    <t xml:space="preserve">UCFA99DI62</t>
  </si>
  <si>
    <t xml:space="preserve">2026-03-15 15:27:58</t>
  </si>
  <si>
    <t xml:space="preserve">UCFA99DO7M</t>
  </si>
  <si>
    <t xml:space="preserve">2026-03-15 15:31:04</t>
  </si>
  <si>
    <t xml:space="preserve">Customer Payment to Small Business to - 2547******921 JANE MUNALA</t>
  </si>
  <si>
    <t xml:space="preserve">UCFA99DLAH</t>
  </si>
  <si>
    <t xml:space="preserve">2026-03-15 15:35:25</t>
  </si>
  <si>
    <t xml:space="preserve">UCFA99DFDJ</t>
  </si>
  <si>
    <t xml:space="preserve">2026-03-15 15:38:37</t>
  </si>
  <si>
    <t xml:space="preserve">UCGA99G9S6</t>
  </si>
  <si>
    <t xml:space="preserve">2026-03-16 11:12:37</t>
  </si>
  <si>
    <t xml:space="preserve">UCGA99GK5H</t>
  </si>
  <si>
    <t xml:space="preserve">2026-03-16 12:20:55</t>
  </si>
  <si>
    <t xml:space="preserve">UCGA99HAQR</t>
  </si>
  <si>
    <t xml:space="preserve">2026-03-16 16:12:19</t>
  </si>
  <si>
    <t xml:space="preserve">UCGA99HIK0</t>
  </si>
  <si>
    <t xml:space="preserve">2026-03-16 17:07:07</t>
  </si>
  <si>
    <t xml:space="preserve">Customer Transfer to - 2547******572 Virginia Opiyo</t>
  </si>
  <si>
    <t xml:space="preserve">UCGA99HE3T</t>
  </si>
  <si>
    <t xml:space="preserve">2026-03-16 17:09:09</t>
  </si>
  <si>
    <t xml:space="preserve">UCGA99HSFN</t>
  </si>
  <si>
    <t xml:space="preserve">2026-03-16 17:33:47</t>
  </si>
  <si>
    <t xml:space="preserve">UCGA99J1H1</t>
  </si>
  <si>
    <t xml:space="preserve">2026-03-16 21:26:12</t>
  </si>
  <si>
    <t xml:space="preserve">UCHA99K4OY</t>
  </si>
  <si>
    <t xml:space="preserve">2026-03-17 11:27:20</t>
  </si>
  <si>
    <t xml:space="preserve">UCHA99KDP7</t>
  </si>
  <si>
    <t xml:space="preserve">2026-03-17 12:39:47</t>
  </si>
  <si>
    <t xml:space="preserve">UCHA99LIWM</t>
  </si>
  <si>
    <t xml:space="preserve">2026-03-17 17:38:15</t>
  </si>
  <si>
    <t xml:space="preserve">UCHA99M1IT</t>
  </si>
  <si>
    <t xml:space="preserve">2026-03-17 18:46:22</t>
  </si>
  <si>
    <t xml:space="preserve">UCHA99LYRO</t>
  </si>
  <si>
    <t xml:space="preserve">2026-03-17 18:54:02</t>
  </si>
  <si>
    <t xml:space="preserve">UCHA99M0DU</t>
  </si>
  <si>
    <t xml:space="preserve">2026-03-17 18:56:38</t>
  </si>
  <si>
    <t xml:space="preserve">Customer Transfer to - 2541******276 Kainde Syengo</t>
  </si>
  <si>
    <t xml:space="preserve">UCHA99MLPW</t>
  </si>
  <si>
    <t xml:space="preserve">2026-03-17 20:25:31</t>
  </si>
  <si>
    <t xml:space="preserve">UCIA99O1UL</t>
  </si>
  <si>
    <t xml:space="preserve">2026-03-18 10:38:16</t>
  </si>
  <si>
    <t xml:space="preserve">UCIA99O4RY</t>
  </si>
  <si>
    <t xml:space="preserve">2026-03-18 10:40:39</t>
  </si>
  <si>
    <t xml:space="preserve">UCIA99ODZJ</t>
  </si>
  <si>
    <t xml:space="preserve">2026-03-18 11:58:41</t>
  </si>
  <si>
    <t xml:space="preserve">Merchant Payment to 6831034 - Vincent Otieno</t>
  </si>
  <si>
    <t xml:space="preserve">UCIA99OA9T</t>
  </si>
  <si>
    <t xml:space="preserve">2026-03-18 12:47:55</t>
  </si>
  <si>
    <t xml:space="preserve">UCIA99OSWD</t>
  </si>
  <si>
    <t xml:space="preserve">2026-03-18 14:48:50</t>
  </si>
  <si>
    <t xml:space="preserve">UCIA99PD75</t>
  </si>
  <si>
    <t xml:space="preserve">2026-03-18 16:25:30</t>
  </si>
  <si>
    <t xml:space="preserve">UCIQL9QT2Y</t>
  </si>
  <si>
    <t xml:space="preserve">2026-03-18 17:56:12</t>
  </si>
  <si>
    <t xml:space="preserve">UCIA99PSRU</t>
  </si>
  <si>
    <t xml:space="preserve">2026-03-18 18:18:21</t>
  </si>
  <si>
    <t xml:space="preserve">UCJA99RTRV</t>
  </si>
  <si>
    <t xml:space="preserve">2026-03-19 10:32:00</t>
  </si>
  <si>
    <t xml:space="preserve">UCJA99SW0Z</t>
  </si>
  <si>
    <t xml:space="preserve">2026-03-19 15:14:38</t>
  </si>
  <si>
    <t xml:space="preserve">UCJA99U6N6</t>
  </si>
  <si>
    <t xml:space="preserve">2026-03-19 19:45:10</t>
  </si>
  <si>
    <t xml:space="preserve">Customer Transfer to - 2547******572 MUNYIVA KOMU</t>
  </si>
  <si>
    <t xml:space="preserve">UCJA99U7TV</t>
  </si>
  <si>
    <t xml:space="preserve">2026-03-19 19:46:25</t>
  </si>
  <si>
    <t xml:space="preserve">UCJA99U2V9</t>
  </si>
  <si>
    <t xml:space="preserve">2026-03-19 19:51:09</t>
  </si>
  <si>
    <t xml:space="preserve">UCJA99UFF2</t>
  </si>
  <si>
    <t xml:space="preserve">2026-03-19 20:08:09</t>
  </si>
  <si>
    <t xml:space="preserve">UCJA99UCNP</t>
  </si>
  <si>
    <t xml:space="preserve">2026-03-19 20:10:09</t>
  </si>
  <si>
    <t xml:space="preserve">Recharge for Customer to 4093441SAFARICOM DATA BUNDLES by - 2547******109 NAOMI MUREITHI</t>
  </si>
  <si>
    <t xml:space="preserve">UCJA9JK9OX</t>
  </si>
  <si>
    <t xml:space="preserve">2026-03-20 07:10:00</t>
  </si>
  <si>
    <t xml:space="preserve">Send Money Reversal via API from - 2547******572 MUNYIVA KOMU</t>
  </si>
  <si>
    <t xml:space="preserve">UCKA99V4ZF</t>
  </si>
  <si>
    <t xml:space="preserve">2026-03-20 07:25:10</t>
  </si>
  <si>
    <t xml:space="preserve">UCKA99VBD6</t>
  </si>
  <si>
    <t xml:space="preserve">2026-03-20 08:32:09</t>
  </si>
  <si>
    <t xml:space="preserve">UCKA99VUUR</t>
  </si>
  <si>
    <t xml:space="preserve">2026-03-20 10:51:27</t>
  </si>
  <si>
    <t xml:space="preserve">UCKKK9P69Q</t>
  </si>
  <si>
    <t xml:space="preserve">2026-03-20 11:26:31</t>
  </si>
  <si>
    <t xml:space="preserve">Funds received from - 2547******706 ANASTASIA MURITHI</t>
  </si>
  <si>
    <t xml:space="preserve">UCKA99VZP8</t>
  </si>
  <si>
    <t xml:space="preserve">2026-03-20 11:38:08</t>
  </si>
  <si>
    <t xml:space="preserve">UCK4Q9UAEC</t>
  </si>
  <si>
    <t xml:space="preserve">2026-03-20 15:59:46</t>
  </si>
  <si>
    <t xml:space="preserve">UCKA99XHJX</t>
  </si>
  <si>
    <t xml:space="preserve">2026-03-20 18:00:22</t>
  </si>
  <si>
    <t xml:space="preserve">UCKA99Y9VI</t>
  </si>
  <si>
    <t xml:space="preserve">2026-03-20 20:54:40</t>
  </si>
  <si>
    <t xml:space="preserve">UCLA99ZE06</t>
  </si>
  <si>
    <t xml:space="preserve">2026-03-21 10:18:34</t>
  </si>
  <si>
    <t xml:space="preserve">UCLA9A0VCM</t>
  </si>
  <si>
    <t xml:space="preserve">2026-03-21 16:33:25</t>
  </si>
  <si>
    <t xml:space="preserve">UCLA9A0ZLO</t>
  </si>
  <si>
    <t xml:space="preserve">2026-03-21 16:41:39</t>
  </si>
  <si>
    <t xml:space="preserve">UCLA9A0ZOR</t>
  </si>
  <si>
    <t xml:space="preserve">2026-03-21 16:46:09</t>
  </si>
  <si>
    <t xml:space="preserve">Customer Transfer to - 2547******921 JANE MUNALA</t>
  </si>
  <si>
    <t xml:space="preserve">UCLA9A0SYY</t>
  </si>
  <si>
    <t xml:space="preserve">2026-03-21 16:51:35</t>
  </si>
  <si>
    <t xml:space="preserve">Pay Bill Online to 769866 - Co- operative Bank of Kenya. Acc. POS95985</t>
  </si>
  <si>
    <t xml:space="preserve">UCLA9A0X6W</t>
  </si>
  <si>
    <t xml:space="preserve">2026-03-21 16:54:33</t>
  </si>
  <si>
    <t xml:space="preserve">UCLA9A29PO</t>
  </si>
  <si>
    <t xml:space="preserve">2026-03-21 20:33:58</t>
  </si>
  <si>
    <t xml:space="preserve">UCMA9A2UTE</t>
  </si>
  <si>
    <t xml:space="preserve">2026-03-22 07:22:49</t>
  </si>
  <si>
    <t xml:space="preserve">UCMA9A3D6R</t>
  </si>
  <si>
    <t xml:space="preserve">2026-03-22 10:30:29</t>
  </si>
  <si>
    <t xml:space="preserve">UCMA9A3F0X</t>
  </si>
  <si>
    <t xml:space="preserve">2026-03-22 11:04:49</t>
  </si>
  <si>
    <t xml:space="preserve">UCMA9A3ND3</t>
  </si>
  <si>
    <t xml:space="preserve">2026-03-22 11:31:08</t>
  </si>
  <si>
    <t xml:space="preserve">UCMA9A4SBG</t>
  </si>
  <si>
    <t xml:space="preserve">2026-03-22 17:29:29</t>
  </si>
  <si>
    <t xml:space="preserve">UCMA9A4XV8</t>
  </si>
  <si>
    <t xml:space="preserve">2026-03-22 17:33:27</t>
  </si>
  <si>
    <t xml:space="preserve">UCMA9A59JF</t>
  </si>
  <si>
    <t xml:space="preserve">2026-03-22 19:06:31</t>
  </si>
  <si>
    <t xml:space="preserve">UCNA9A6WK7</t>
  </si>
  <si>
    <t xml:space="preserve">2026-03-23 09:05:34</t>
  </si>
  <si>
    <t xml:space="preserve">UCNA9A77CC</t>
  </si>
  <si>
    <t xml:space="preserve">2026-03-23 10:36:16</t>
  </si>
  <si>
    <t xml:space="preserve">UCNA9A7ICM</t>
  </si>
  <si>
    <t xml:space="preserve">2026-03-23 12:16:09</t>
  </si>
  <si>
    <t xml:space="preserve">UCNA9A7JQV</t>
  </si>
  <si>
    <t xml:space="preserve">2026-03-23 12:27:02</t>
  </si>
  <si>
    <t xml:space="preserve">UCNA9A7IMK</t>
  </si>
  <si>
    <t xml:space="preserve">2026-03-23 12:32:08</t>
  </si>
  <si>
    <t xml:space="preserve">UCNA9A7MSG</t>
  </si>
  <si>
    <t xml:space="preserve">2026-03-23 12:48:37</t>
  </si>
  <si>
    <t xml:space="preserve">Merchant Payment to 6576187 - EVANS OPIYO OYUGI</t>
  </si>
  <si>
    <t xml:space="preserve">UCNA9A7OB0</t>
  </si>
  <si>
    <t xml:space="preserve">2026-03-23 13:02:23</t>
  </si>
  <si>
    <t xml:space="preserve">Customer Transfer to - 2547******058 Evans Nyariancha</t>
  </si>
  <si>
    <t xml:space="preserve">UCNA9A7M0F</t>
  </si>
  <si>
    <t xml:space="preserve">2026-03-23 13:23:40</t>
  </si>
  <si>
    <t xml:space="preserve">UCNA9A8EH6</t>
  </si>
  <si>
    <t xml:space="preserve">2026-03-23 16:16:04</t>
  </si>
  <si>
    <t xml:space="preserve">UCNA9A8AIY</t>
  </si>
  <si>
    <t xml:space="preserve">2026-03-23 16:23:12</t>
  </si>
  <si>
    <t xml:space="preserve">UCNA9A87V6</t>
  </si>
  <si>
    <t xml:space="preserve">2026-03-23 16:24:25</t>
  </si>
  <si>
    <t xml:space="preserve">UCNA9A8GBO</t>
  </si>
  <si>
    <t xml:space="preserve">2026-03-23 16:49:00</t>
  </si>
  <si>
    <t xml:space="preserve">UCNA9A8JPM</t>
  </si>
  <si>
    <t xml:space="preserve">2026-03-23 17:20:40</t>
  </si>
  <si>
    <t xml:space="preserve">UCNA9A8T4M</t>
  </si>
  <si>
    <t xml:space="preserve">2026-03-23 18:21:41</t>
  </si>
  <si>
    <t xml:space="preserve">UCNA9A94G1</t>
  </si>
  <si>
    <t xml:space="preserve">2026-03-23 19:26:22</t>
  </si>
  <si>
    <t xml:space="preserve">UCOA9AANX9</t>
  </si>
  <si>
    <t xml:space="preserve">2026-03-24 10:10:28</t>
  </si>
  <si>
    <t xml:space="preserve">UCOA9AAY05</t>
  </si>
  <si>
    <t xml:space="preserve">2026-03-24 11:01:00</t>
  </si>
  <si>
    <t xml:space="preserve">UCOA9AAY1K</t>
  </si>
  <si>
    <t xml:space="preserve">2026-03-24 11:03:58</t>
  </si>
  <si>
    <t xml:space="preserve">Ziidi Trader Customer Buying Shares to 4157363 - ZIIDI TRADER Acc.</t>
  </si>
  <si>
    <t xml:space="preserve">UCOA9AB0TY</t>
  </si>
  <si>
    <t xml:space="preserve">2026-03-24 11:07:52</t>
  </si>
  <si>
    <t xml:space="preserve">UCOA9AC2JS</t>
  </si>
  <si>
    <t xml:space="preserve">2026-03-24 16:46:57</t>
  </si>
  <si>
    <t xml:space="preserve">UCOA9ACYME</t>
  </si>
  <si>
    <t xml:space="preserve">2026-03-24 19:20:15</t>
  </si>
  <si>
    <t xml:space="preserve">UCOA9ACYNL</t>
  </si>
  <si>
    <t xml:space="preserve">2026-03-24 19:21:15</t>
  </si>
  <si>
    <t xml:space="preserve">UCPA9AEEQY</t>
  </si>
  <si>
    <t xml:space="preserve">2026-03-25 08:49:00</t>
  </si>
  <si>
    <t xml:space="preserve">UCPA9AF3UN</t>
  </si>
  <si>
    <t xml:space="preserve">2026-03-25 12:39:38</t>
  </si>
  <si>
    <t xml:space="preserve">UCPA9AF3WO</t>
  </si>
  <si>
    <t xml:space="preserve">2026-03-25 12:42:04</t>
  </si>
  <si>
    <t xml:space="preserve">UCPA9AF16H</t>
  </si>
  <si>
    <t xml:space="preserve">2026-03-25 12:42:41</t>
  </si>
  <si>
    <t xml:space="preserve">UCPA9AF2NW</t>
  </si>
  <si>
    <t xml:space="preserve">2026-03-25 12:54:40</t>
  </si>
  <si>
    <t xml:space="preserve">UCPA9AF7HC</t>
  </si>
  <si>
    <t xml:space="preserve">2026-03-25 13:41:06</t>
  </si>
  <si>
    <t xml:space="preserve">UCPA9AFW7V</t>
  </si>
  <si>
    <t xml:space="preserve">2026-03-25 16:42:58</t>
  </si>
  <si>
    <t xml:space="preserve">UCPA9AG1J1</t>
  </si>
  <si>
    <t xml:space="preserve">2026-03-25 16:59:03</t>
  </si>
  <si>
    <t xml:space="preserve">UCPA9AGSGP</t>
  </si>
  <si>
    <t xml:space="preserve">2026-03-25 19:20:09</t>
  </si>
  <si>
    <t xml:space="preserve">UCPA9AH676</t>
  </si>
  <si>
    <t xml:space="preserve">2026-03-25 20:27:57</t>
  </si>
  <si>
    <t xml:space="preserve">UCQA9AINFD</t>
  </si>
  <si>
    <t xml:space="preserve">2026-03-26 10:22:17</t>
  </si>
  <si>
    <t xml:space="preserve">UCQA9AIJOS</t>
  </si>
  <si>
    <t xml:space="preserve">2026-03-26 10:24:02</t>
  </si>
  <si>
    <t xml:space="preserve">Customer Transfer to - 2547******843 ZAINAB MOHAMED</t>
  </si>
  <si>
    <t xml:space="preserve">UCQA9AJMCX</t>
  </si>
  <si>
    <t xml:space="preserve">2026-03-26 15:32:13</t>
  </si>
  <si>
    <t xml:space="preserve">UCQA9AJUSQ</t>
  </si>
  <si>
    <t xml:space="preserve">2026-03-26 16:09:49</t>
  </si>
  <si>
    <t xml:space="preserve">UCQA9AJO6R</t>
  </si>
  <si>
    <t xml:space="preserve">2026-03-26 16:11:09</t>
  </si>
  <si>
    <t xml:space="preserve">UCQA9AKJAF</t>
  </si>
  <si>
    <t xml:space="preserve">2026-03-26 18:25:24</t>
  </si>
  <si>
    <t xml:space="preserve">UCQA9AKFOF</t>
  </si>
  <si>
    <t xml:space="preserve">2026-03-26 18:41:04</t>
  </si>
  <si>
    <t xml:space="preserve">Merchant Payment to 669092 - GODFREY NJIHIA</t>
  </si>
  <si>
    <t xml:space="preserve">UCQA9AKMR0</t>
  </si>
  <si>
    <t xml:space="preserve">2026-03-26 18:45:25</t>
  </si>
  <si>
    <t xml:space="preserve">UCQA9AKJZB</t>
  </si>
  <si>
    <t xml:space="preserve">2026-03-26 18:47:48</t>
  </si>
  <si>
    <t xml:space="preserve">UCQA9AKK3A</t>
  </si>
  <si>
    <t xml:space="preserve">2026-03-26 18:50:58</t>
  </si>
  <si>
    <t xml:space="preserve">UCQA9AKJ10</t>
  </si>
  <si>
    <t xml:space="preserve">2026-03-26 18:55:39</t>
  </si>
  <si>
    <t xml:space="preserve">UCQA9AKJ2D</t>
  </si>
  <si>
    <t xml:space="preserve">2026-03-26 18:56:50</t>
  </si>
  <si>
    <t xml:space="preserve">UCRA9AMOBG</t>
  </si>
  <si>
    <t xml:space="preserve">2026-03-27 10:07:00</t>
  </si>
  <si>
    <t xml:space="preserve">UCRA9AMLT1</t>
  </si>
  <si>
    <t xml:space="preserve">2026-03-27 10:19:56</t>
  </si>
  <si>
    <t xml:space="preserve">UCRA9AMVA6</t>
  </si>
  <si>
    <t xml:space="preserve">2026-03-27 11:45:11</t>
  </si>
  <si>
    <t xml:space="preserve">UCRA9AMVEN</t>
  </si>
  <si>
    <t xml:space="preserve">2026-03-27 11:51:39</t>
  </si>
  <si>
    <t xml:space="preserve">UCRA9ANMGA</t>
  </si>
  <si>
    <t xml:space="preserve">2026-03-27 14:32:40</t>
  </si>
  <si>
    <t xml:space="preserve">UCRA9ANVII</t>
  </si>
  <si>
    <t xml:space="preserve">2026-03-27 15:32:41</t>
  </si>
  <si>
    <t xml:space="preserve">UCRA9AOVJY</t>
  </si>
  <si>
    <t xml:space="preserve">2026-03-27 19:05:40</t>
  </si>
  <si>
    <t xml:space="preserve">UCRA9AOY1Q</t>
  </si>
  <si>
    <t xml:space="preserve">2026-03-27 19:08:04</t>
  </si>
  <si>
    <t xml:space="preserve">UCRA9AOZA0</t>
  </si>
  <si>
    <t xml:space="preserve">2026-03-27 19:43:16</t>
  </si>
  <si>
    <t xml:space="preserve">UCSA9AQGMK</t>
  </si>
  <si>
    <t xml:space="preserve">2026-03-28 09:04:36</t>
  </si>
  <si>
    <t xml:space="preserve">UCSA9AQQXD</t>
  </si>
  <si>
    <t xml:space="preserve">2026-03-28 10:09:39</t>
  </si>
  <si>
    <t xml:space="preserve">UCSA9AQT82</t>
  </si>
  <si>
    <t xml:space="preserve">2026-03-28 11:11:42</t>
  </si>
  <si>
    <t xml:space="preserve">UCSA9AQYWA</t>
  </si>
  <si>
    <t xml:space="preserve">2026-03-28 11:12:48</t>
  </si>
  <si>
    <t xml:space="preserve">UCSA9AS0BW</t>
  </si>
  <si>
    <t xml:space="preserve">2026-03-28 16:22:31</t>
  </si>
  <si>
    <t xml:space="preserve">UCSA9AT3N3</t>
  </si>
  <si>
    <t xml:space="preserve">2026-03-28 19:46:15</t>
  </si>
  <si>
    <t xml:space="preserve">UCSE0AY1HV</t>
  </si>
  <si>
    <t xml:space="preserve">2026-03-28 19:51:21</t>
  </si>
  <si>
    <t xml:space="preserve">UCTA9AUN6F</t>
  </si>
  <si>
    <t xml:space="preserve">2026-03-29 10:22:31</t>
  </si>
  <si>
    <t xml:space="preserve">UCTA9AURTY</t>
  </si>
  <si>
    <t xml:space="preserve">2026-03-29 11:08:30</t>
  </si>
  <si>
    <t xml:space="preserve">UCTA9AVSGB</t>
  </si>
  <si>
    <t xml:space="preserve">2026-03-29 15:17:03</t>
  </si>
  <si>
    <t xml:space="preserve">UCTA9AVUAU</t>
  </si>
  <si>
    <t xml:space="preserve">2026-03-29 16:04:16</t>
  </si>
  <si>
    <t xml:space="preserve">Business Payment from 4072221 - NABO CAPITAL LTD via API. Original conversation ID is 22b0- 44b4-9b30-565cbef4cc232236.</t>
  </si>
  <si>
    <t xml:space="preserve">UCTA9AW4R7</t>
  </si>
  <si>
    <t xml:space="preserve">2026-03-29 17:03:07</t>
  </si>
  <si>
    <t xml:space="preserve">UCTA9AWCB2</t>
  </si>
  <si>
    <t xml:space="preserve">2026-03-29 17:33:44</t>
  </si>
  <si>
    <t xml:space="preserve">UCTA9AWJTJ</t>
  </si>
  <si>
    <t xml:space="preserve">2026-03-29 18:24:38</t>
  </si>
  <si>
    <t xml:space="preserve">UCTA9AWFWG</t>
  </si>
  <si>
    <t xml:space="preserve">2026-03-29 18:29:14</t>
  </si>
  <si>
    <t xml:space="preserve">UCTA9AWJZK</t>
  </si>
  <si>
    <t xml:space="preserve">2026-03-29 18:31:31</t>
  </si>
  <si>
    <t xml:space="preserve">UCTA9AWOE2</t>
  </si>
  <si>
    <t xml:space="preserve">2026-03-29 18:38:39</t>
  </si>
  <si>
    <t xml:space="preserve">UCTA9AWOOZ</t>
  </si>
  <si>
    <t xml:space="preserve">2026-03-29 18:49:01</t>
  </si>
  <si>
    <t xml:space="preserve">UCTA9AWNH7</t>
  </si>
  <si>
    <t xml:space="preserve">2026-03-29 18:51:41</t>
  </si>
  <si>
    <t xml:space="preserve">Customer Payment to Small Business to - 2547******730 Lilian Ambiche</t>
  </si>
  <si>
    <t xml:space="preserve">UCTA9AX7C0</t>
  </si>
  <si>
    <t xml:space="preserve">2026-03-29 20:28:48</t>
  </si>
  <si>
    <t xml:space="preserve">UCUA9AYSZE</t>
  </si>
  <si>
    <t xml:space="preserve">2026-03-30 10:45:06</t>
  </si>
  <si>
    <t xml:space="preserve">UCUA9AZ3YM</t>
  </si>
  <si>
    <t xml:space="preserve">2026-03-30 12:15:37</t>
  </si>
  <si>
    <t xml:space="preserve">UCUA9AZ5D0</t>
  </si>
  <si>
    <t xml:space="preserve">2026-03-30 12:24:16</t>
  </si>
  <si>
    <t xml:space="preserve">UCUA9AZBQZ</t>
  </si>
  <si>
    <t xml:space="preserve">2026-03-30 13:09:29</t>
  </si>
  <si>
    <t xml:space="preserve">UCUA9AZJQ8</t>
  </si>
  <si>
    <t xml:space="preserve">2026-03-30 14:32:10</t>
  </si>
  <si>
    <t xml:space="preserve">UCUA9AZRN1</t>
  </si>
  <si>
    <t xml:space="preserve">2026-03-30 15:40:56</t>
  </si>
  <si>
    <t xml:space="preserve">UCUA9AZYDS</t>
  </si>
  <si>
    <t xml:space="preserve">2026-03-30 16:33:40</t>
  </si>
  <si>
    <t xml:space="preserve">UCUA9B06ZO</t>
  </si>
  <si>
    <t xml:space="preserve">2026-03-30 17:11:52</t>
  </si>
  <si>
    <t xml:space="preserve">UCUA9B0JFT</t>
  </si>
  <si>
    <t xml:space="preserve">2026-03-30 18:17:40</t>
  </si>
  <si>
    <t xml:space="preserve">UCUA9B13TE</t>
  </si>
  <si>
    <t xml:space="preserve">2026-03-30 19:55:05</t>
  </si>
  <si>
    <t xml:space="preserve">UCUA9B190G</t>
  </si>
  <si>
    <t xml:space="preserve">2026-03-30 19:59:57</t>
  </si>
  <si>
    <t xml:space="preserve">UCUA9B10YY</t>
  </si>
  <si>
    <t xml:space="preserve">2026-03-30 20:01:26</t>
  </si>
  <si>
    <t xml:space="preserve">UCUA9B1FW2</t>
  </si>
  <si>
    <t xml:space="preserve">2026-03-30 20:40:53</t>
  </si>
  <si>
    <t xml:space="preserve">UCVA9B2I1R</t>
  </si>
  <si>
    <t xml:space="preserve">2026-03-31 09:19:28</t>
  </si>
  <si>
    <t xml:space="preserve">UD1A9B6J9Z</t>
  </si>
  <si>
    <t xml:space="preserve">2026-04-01 08:10:55</t>
  </si>
  <si>
    <t xml:space="preserve">UD1A9B6FF3</t>
  </si>
  <si>
    <t xml:space="preserve">2026-04-01 08:46:57</t>
  </si>
  <si>
    <t xml:space="preserve">Merchant Payment to 5154548 - Justine Bule Namararo</t>
  </si>
  <si>
    <t xml:space="preserve">UD1A9B6MTT</t>
  </si>
  <si>
    <t xml:space="preserve">2026-04-01 09:22:44</t>
  </si>
  <si>
    <t xml:space="preserve">UD1A9B7A05</t>
  </si>
  <si>
    <t xml:space="preserve">2026-04-01 12:24:20</t>
  </si>
  <si>
    <t xml:space="preserve">UD1A9B7CUY</t>
  </si>
  <si>
    <t xml:space="preserve">2026-04-01 12:34:27</t>
  </si>
  <si>
    <t xml:space="preserve">UD1A9B84Q7</t>
  </si>
  <si>
    <t xml:space="preserve">2026-04-01 15:57:10</t>
  </si>
  <si>
    <t xml:space="preserve">UD2A9BAD68</t>
  </si>
  <si>
    <t xml:space="preserve">2026-04-02 06:31:07</t>
  </si>
  <si>
    <t xml:space="preserve">Customer Transfer to - 2547******911 SIMON CHEGE</t>
  </si>
  <si>
    <t xml:space="preserve">UD2A9BAU3X</t>
  </si>
  <si>
    <t xml:space="preserve">2026-04-02 09:22:35</t>
  </si>
  <si>
    <t xml:space="preserve">UD2A9BAW04</t>
  </si>
  <si>
    <t xml:space="preserve">2026-04-02 09:56:02</t>
  </si>
  <si>
    <t xml:space="preserve">UD2A9BAXO4</t>
  </si>
  <si>
    <t xml:space="preserve">2026-04-02 10:08:02</t>
  </si>
  <si>
    <t xml:space="preserve">UD2A9BB4G5</t>
  </si>
  <si>
    <t xml:space="preserve">2026-04-02 10:19:47</t>
  </si>
  <si>
    <t xml:space="preserve">UD2A9BBKKK</t>
  </si>
  <si>
    <t xml:space="preserve">2026-04-02 12:43:06</t>
  </si>
  <si>
    <t xml:space="preserve">UD2KKB4D1Q</t>
  </si>
  <si>
    <t xml:space="preserve">2026-04-02 13:51:17</t>
  </si>
  <si>
    <t xml:space="preserve">UD2A9BCGR8</t>
  </si>
  <si>
    <t xml:space="preserve">2026-04-02 16:03:05</t>
  </si>
  <si>
    <t xml:space="preserve">UD2A9BCK4Y</t>
  </si>
  <si>
    <t xml:space="preserve">2026-04-02 16:26:15</t>
  </si>
  <si>
    <t xml:space="preserve">UD2A9BCSDQ</t>
  </si>
  <si>
    <t xml:space="preserve">2026-04-02 16:46:33</t>
  </si>
  <si>
    <t xml:space="preserve">Customer Transfer to - 2547******048 MOSES ODHIAMBO</t>
  </si>
  <si>
    <t xml:space="preserve">UD2A9BD1OJ</t>
  </si>
  <si>
    <t xml:space="preserve">2026-04-02 17:41:52</t>
  </si>
  <si>
    <t xml:space="preserve">UD2A9BD7B0</t>
  </si>
  <si>
    <t xml:space="preserve">2026-04-02 18:41:59</t>
  </si>
  <si>
    <t xml:space="preserve">UD2A9BDLEG</t>
  </si>
  <si>
    <t xml:space="preserve">2026-04-02 19:10:22</t>
  </si>
  <si>
    <t xml:space="preserve">UD3A9BFB1H</t>
  </si>
  <si>
    <t xml:space="preserve">2026-04-03 10:01:33</t>
  </si>
  <si>
    <t xml:space="preserve">UD3A9BG7MG</t>
  </si>
  <si>
    <t xml:space="preserve">2026-04-03 12:57:53</t>
  </si>
  <si>
    <t xml:space="preserve">UD3A9BG6FA</t>
  </si>
  <si>
    <t xml:space="preserve">2026-04-03 13:01:50</t>
  </si>
  <si>
    <t xml:space="preserve">UD325BBV2Q</t>
  </si>
  <si>
    <t xml:space="preserve">2026-04-03 13:31:56</t>
  </si>
  <si>
    <t xml:space="preserve">UD3A9BHOGI</t>
  </si>
  <si>
    <t xml:space="preserve">2026-04-03 18:49:36</t>
  </si>
  <si>
    <t xml:space="preserve">UD3A9BHR7X</t>
  </si>
  <si>
    <t xml:space="preserve">2026-04-03 18:53:27</t>
  </si>
  <si>
    <t xml:space="preserve">UD3A9BHQCQ</t>
  </si>
  <si>
    <t xml:space="preserve">2026-04-03 19:00:34</t>
  </si>
  <si>
    <t xml:space="preserve">UD3A9BHWLA</t>
  </si>
  <si>
    <t xml:space="preserve">2026-04-03 19:25:23</t>
  </si>
  <si>
    <t xml:space="preserve">UD3A9BI9SI</t>
  </si>
  <si>
    <t xml:space="preserve">2026-04-03 20:11:43</t>
  </si>
  <si>
    <t xml:space="preserve">UD3A9BIMTW</t>
  </si>
  <si>
    <t xml:space="preserve">2026-04-03 21:50:37</t>
  </si>
  <si>
    <t xml:space="preserve">UD4A9BJIKX</t>
  </si>
  <si>
    <t xml:space="preserve">2026-04-04 08:58:52</t>
  </si>
  <si>
    <t xml:space="preserve">UD4A9BJR0V</t>
  </si>
  <si>
    <t xml:space="preserve">2026-04-04 10:25:00</t>
  </si>
  <si>
    <t xml:space="preserve">UD4A9BL2QU</t>
  </si>
  <si>
    <t xml:space="preserve">2026-04-04 16:25:56</t>
  </si>
  <si>
    <t xml:space="preserve">UD43R07T3Q</t>
  </si>
  <si>
    <t xml:space="preserve">2026-04-04 18:41:28</t>
  </si>
  <si>
    <t xml:space="preserve">Funds received from - 07******897 ANTHONY NJUGUNA</t>
  </si>
  <si>
    <t xml:space="preserve">UD4A9BMN1M</t>
  </si>
  <si>
    <t xml:space="preserve">2026-04-04 20:30:29</t>
  </si>
  <si>
    <t xml:space="preserve">Pay Bill Online to 4039243 - DALTON TECH  Acc. MASENO- Monthly</t>
  </si>
  <si>
    <t xml:space="preserve">UD4A9BMZSK</t>
  </si>
  <si>
    <t xml:space="preserve">2026-04-04 22:00:55</t>
  </si>
  <si>
    <t xml:space="preserve">UD5A9BNWG3</t>
  </si>
  <si>
    <t xml:space="preserve">2026-04-05 10:16:12</t>
  </si>
  <si>
    <t xml:space="preserve">UD532BQX8N</t>
  </si>
  <si>
    <t xml:space="preserve">2026-04-05 10:59:31</t>
  </si>
  <si>
    <t xml:space="preserve">Funds received from - 2547******057 SYLVIA KURIA</t>
  </si>
  <si>
    <t xml:space="preserve">UD5A9BNX8B</t>
  </si>
  <si>
    <t xml:space="preserve">2026-04-05 11:02:10</t>
  </si>
  <si>
    <t xml:space="preserve">UD5A9BPEOW</t>
  </si>
  <si>
    <t xml:space="preserve">2026-04-05 17:13:42</t>
  </si>
  <si>
    <t xml:space="preserve">UD5A9BPD95</t>
  </si>
  <si>
    <t xml:space="preserve">2026-04-05 17:17:59</t>
  </si>
  <si>
    <t xml:space="preserve">Customer Transfer to - 2547******098 JANET NDEEYI</t>
  </si>
  <si>
    <t xml:space="preserve">UD5A9BPABN</t>
  </si>
  <si>
    <t xml:space="preserve">2026-04-05 17:19:41</t>
  </si>
  <si>
    <t xml:space="preserve">Customer Payment to Small Business to - 2547******634 MOGUSU ROBERT</t>
  </si>
  <si>
    <t xml:space="preserve">UD5A9BQ0ZU</t>
  </si>
  <si>
    <t xml:space="preserve">2026-04-05 18:52:40</t>
  </si>
  <si>
    <t xml:space="preserve">UD5QLBRTT4</t>
  </si>
  <si>
    <t xml:space="preserve">2026-04-05 20:26:34</t>
  </si>
  <si>
    <t xml:space="preserve">UD6A9BR9EW</t>
  </si>
  <si>
    <t xml:space="preserve">2026-04-06 08:19:39</t>
  </si>
  <si>
    <t xml:space="preserve">UD6A9BSSQR</t>
  </si>
  <si>
    <t xml:space="preserve">2026-04-06 15:21:49</t>
  </si>
  <si>
    <t xml:space="preserve">UD6A9BTMFI</t>
  </si>
  <si>
    <t xml:space="preserve">2026-04-06 18:31:33</t>
  </si>
  <si>
    <t xml:space="preserve">Pay Bill to 247247 - Equity Paybill Account Acc. 0714282070</t>
  </si>
  <si>
    <t xml:space="preserve">UD6A9BTNXK</t>
  </si>
  <si>
    <t xml:space="preserve">2026-04-06 18:39:38</t>
  </si>
  <si>
    <t xml:space="preserve">UD6A9BTXUG</t>
  </si>
  <si>
    <t xml:space="preserve">2026-04-06 18:59:56</t>
  </si>
  <si>
    <t xml:space="preserve">UD6A9BUL4A</t>
  </si>
  <si>
    <t xml:space="preserve">2026-04-06 20:57:07</t>
  </si>
  <si>
    <t xml:space="preserve">UD6A9K5JTT</t>
  </si>
  <si>
    <t xml:space="preserve">2026-04-06 22:41:12</t>
  </si>
  <si>
    <t xml:space="preserve">Pay Utility Reversal by M-PESA - FKimani</t>
  </si>
  <si>
    <t xml:space="preserve">UD7A9BV6LY</t>
  </si>
  <si>
    <t xml:space="preserve">2026-04-07 06:53:03</t>
  </si>
  <si>
    <t xml:space="preserve">UD7A9BVQ15</t>
  </si>
  <si>
    <t xml:space="preserve">2026-04-07 10:30:04</t>
  </si>
  <si>
    <t xml:space="preserve">UD7A9007UI</t>
  </si>
  <si>
    <t xml:space="preserve">2026-04-07 14:42:10</t>
  </si>
  <si>
    <t xml:space="preserve">UD7A9006BJ</t>
  </si>
  <si>
    <t xml:space="preserve">2026-04-07 14:43:16</t>
  </si>
  <si>
    <t xml:space="preserve">UD7A900S80</t>
  </si>
  <si>
    <t xml:space="preserve">2026-04-07 17:22:53</t>
  </si>
  <si>
    <t xml:space="preserve">UD7A900TV1</t>
  </si>
  <si>
    <t xml:space="preserve">2026-04-07 17:24:57</t>
  </si>
  <si>
    <t xml:space="preserve">Pay Bill to 522533 - Lipa na KCB Acc. 8069449</t>
  </si>
  <si>
    <t xml:space="preserve">UD7A900R5F</t>
  </si>
  <si>
    <t xml:space="preserve">2026-04-07 17:33:50</t>
  </si>
  <si>
    <t xml:space="preserve">Customer Payment to Small Business to - 2547******784 PHEOBE RABUOGI</t>
  </si>
  <si>
    <t xml:space="preserve">UD7A900WRA</t>
  </si>
  <si>
    <t xml:space="preserve">2026-04-07 17:37:36</t>
  </si>
  <si>
    <t xml:space="preserve">UD7A900RCZ</t>
  </si>
  <si>
    <t xml:space="preserve">2026-04-07 17:42:56</t>
  </si>
  <si>
    <t xml:space="preserve">UD7A901623</t>
  </si>
  <si>
    <t xml:space="preserve">2026-04-07 18:29:32</t>
  </si>
  <si>
    <t xml:space="preserve">UD7A900Z43</t>
  </si>
  <si>
    <t xml:space="preserve">2026-04-07 18:30:24</t>
  </si>
  <si>
    <t xml:space="preserve">UD8A903U51</t>
  </si>
  <si>
    <t xml:space="preserve">2026-04-08 12:46:50</t>
  </si>
  <si>
    <t xml:space="preserve">UD8A903RDK</t>
  </si>
  <si>
    <t xml:space="preserve">2026-04-08 12:47:37</t>
  </si>
  <si>
    <t xml:space="preserve">UD8A904BHC</t>
  </si>
  <si>
    <t xml:space="preserve">2026-04-08 15:22:04</t>
  </si>
  <si>
    <t xml:space="preserve">UD8A904EBX</t>
  </si>
  <si>
    <t xml:space="preserve">2026-04-08 15:26:20</t>
  </si>
  <si>
    <t xml:space="preserve">UD8A904ZAL</t>
  </si>
  <si>
    <t xml:space="preserve">2026-04-08 17:24:26</t>
  </si>
  <si>
    <t xml:space="preserve">UD8A904Y15</t>
  </si>
  <si>
    <t xml:space="preserve">2026-04-08 17:27:28</t>
  </si>
  <si>
    <t xml:space="preserve">UD8A904WL0</t>
  </si>
  <si>
    <t xml:space="preserve">2026-04-08 17:28:16</t>
  </si>
  <si>
    <t xml:space="preserve">UD8A904ZZS</t>
  </si>
  <si>
    <t xml:space="preserve">2026-04-08 17:50:21</t>
  </si>
  <si>
    <t xml:space="preserve">UD9A9081PY</t>
  </si>
  <si>
    <t xml:space="preserve">2026-04-09 13:20:01</t>
  </si>
  <si>
    <t xml:space="preserve">UD9A9088B5</t>
  </si>
  <si>
    <t xml:space="preserve">2026-04-09 13:31:30</t>
  </si>
  <si>
    <t xml:space="preserve">UD9A90837P</t>
  </si>
  <si>
    <t xml:space="preserve">2026-04-09 13:32:08</t>
  </si>
  <si>
    <t xml:space="preserve">UD9A9088DQ</t>
  </si>
  <si>
    <t xml:space="preserve">2026-04-09 13:35:15</t>
  </si>
  <si>
    <t xml:space="preserve">Customer Payment to Small Business to - 2547******730 Florence Onyango</t>
  </si>
  <si>
    <t xml:space="preserve">UD9A9085VM</t>
  </si>
  <si>
    <t xml:space="preserve">2026-04-09 13:37:53</t>
  </si>
  <si>
    <t xml:space="preserve">Withdrawal Charge</t>
  </si>
  <si>
    <t xml:space="preserve">Customer Withdrawal At Agent Till 2006418 - Petyln ltd Shalom beauty shop maseno university agg</t>
  </si>
  <si>
    <t xml:space="preserve">UD9A9083ML</t>
  </si>
  <si>
    <t xml:space="preserve">2026-04-09 13:51:24</t>
  </si>
  <si>
    <t xml:space="preserve">UD9A9097N4</t>
  </si>
  <si>
    <t xml:space="preserve">2026-04-09 18:12:59</t>
  </si>
  <si>
    <t xml:space="preserve">UDAA90BDVP</t>
  </si>
  <si>
    <t xml:space="preserve">2026-04-10 09:22:03</t>
  </si>
  <si>
    <t xml:space="preserve">UDAA90C21A</t>
  </si>
  <si>
    <t xml:space="preserve">2026-04-10 12:06:04</t>
  </si>
  <si>
    <t xml:space="preserve">UDAA90BXZA</t>
  </si>
  <si>
    <t xml:space="preserve">2026-04-10 12:06:40</t>
  </si>
  <si>
    <t xml:space="preserve">UDAA90DHGU</t>
  </si>
  <si>
    <t xml:space="preserve">2026-04-10 18:02:22</t>
  </si>
  <si>
    <t xml:space="preserve">UDAA90DJZO</t>
  </si>
  <si>
    <t xml:space="preserve">2026-04-10 18:04:14</t>
  </si>
  <si>
    <t xml:space="preserve">Merchant Payment to 9573620 - Mary Akinyi Ngode</t>
  </si>
  <si>
    <t xml:space="preserve">UDAA90DDEM</t>
  </si>
  <si>
    <t xml:space="preserve">2026-04-10 18:07:26</t>
  </si>
  <si>
    <t xml:space="preserve">Customer Transfer to - 2547******363 SIMON OMWONYI</t>
  </si>
  <si>
    <t xml:space="preserve">UDAA90DLA8</t>
  </si>
  <si>
    <t xml:space="preserve">2026-04-10 18:12:32</t>
  </si>
  <si>
    <t xml:space="preserve">UDAA90DK9X</t>
  </si>
  <si>
    <t xml:space="preserve">2026-04-10 18:13:22</t>
  </si>
  <si>
    <t xml:space="preserve">Customer Payment to Small Business to - 2547******922 ANYANGO OGUK</t>
  </si>
  <si>
    <t xml:space="preserve">UDAA90DN7P</t>
  </si>
  <si>
    <t xml:space="preserve">2026-04-10 18:27:46</t>
  </si>
  <si>
    <t xml:space="preserve">UDAA90DJBI</t>
  </si>
  <si>
    <t xml:space="preserve">2026-04-10 18:28:19</t>
  </si>
  <si>
    <t xml:space="preserve">UDAA90DLZS</t>
  </si>
  <si>
    <t xml:space="preserve">2026-04-10 18:37:17</t>
  </si>
  <si>
    <t xml:space="preserve">Merchant Payment to 9657575 - SALIM MBEKI ODUOR</t>
  </si>
  <si>
    <t xml:space="preserve">UDAA90DR7D</t>
  </si>
  <si>
    <t xml:space="preserve">2026-04-10 19:07:10</t>
  </si>
  <si>
    <t xml:space="preserve">UDBA90FOSH</t>
  </si>
  <si>
    <t xml:space="preserve">2026-04-11 10:22:06</t>
  </si>
  <si>
    <t xml:space="preserve">UDBA90GCED</t>
  </si>
  <si>
    <t xml:space="preserve">2026-04-11 12:34:06</t>
  </si>
  <si>
    <t xml:space="preserve">UDBA90GCEX</t>
  </si>
  <si>
    <t xml:space="preserve">2026-04-11 12:34:40</t>
  </si>
  <si>
    <t xml:space="preserve">UDBA90GEBV</t>
  </si>
  <si>
    <t xml:space="preserve">2026-04-11 12:56:30</t>
  </si>
  <si>
    <t xml:space="preserve">UDBA90GBYG</t>
  </si>
  <si>
    <t xml:space="preserve">2026-04-11 13:20:39</t>
  </si>
  <si>
    <t xml:space="preserve">UDBA90GOL5</t>
  </si>
  <si>
    <t xml:space="preserve">2026-04-11 13:46:37</t>
  </si>
  <si>
    <t xml:space="preserve">UDBA90H0KB</t>
  </si>
  <si>
    <t xml:space="preserve">2026-04-11 16:01:42</t>
  </si>
  <si>
    <t xml:space="preserve">UDBA90HSUI</t>
  </si>
  <si>
    <t xml:space="preserve">2026-04-11 18:17:58</t>
  </si>
  <si>
    <t xml:space="preserve">Customer Payment to Small Business to - 2547******552 JOICE ONGOCHE</t>
  </si>
  <si>
    <t xml:space="preserve">UDBA90HROV</t>
  </si>
  <si>
    <t xml:space="preserve">2026-04-11 18:22:10</t>
  </si>
  <si>
    <t xml:space="preserve">UDBA90HQRH</t>
  </si>
  <si>
    <t xml:space="preserve">2026-04-11 18:26:26</t>
  </si>
  <si>
    <t xml:space="preserve">UDBA90HT4C</t>
  </si>
  <si>
    <t xml:space="preserve">2026-04-11 18:28:04</t>
  </si>
  <si>
    <t xml:space="preserve">UDBA90HYWN</t>
  </si>
  <si>
    <t xml:space="preserve">2026-04-11 18:31:56</t>
  </si>
  <si>
    <t xml:space="preserve">UDBA90HXJ7</t>
  </si>
  <si>
    <t xml:space="preserve">2026-04-11 18:32:38</t>
  </si>
  <si>
    <t xml:space="preserve">UDCA90LEZA</t>
  </si>
  <si>
    <t xml:space="preserve">2026-04-12 17:13:27</t>
  </si>
  <si>
    <t xml:space="preserve">UDCA90LSNZ</t>
  </si>
  <si>
    <t xml:space="preserve">2026-04-12 18:18:14</t>
  </si>
  <si>
    <t xml:space="preserve">Customer Payment to Small Business to - 07******904 Mary Ngode</t>
  </si>
  <si>
    <t xml:space="preserve">UDCA90LWX7</t>
  </si>
  <si>
    <t xml:space="preserve">2026-04-12 18:20:18</t>
  </si>
  <si>
    <t xml:space="preserve">UDCA90LWYV</t>
  </si>
  <si>
    <t xml:space="preserve">2026-04-12 18:21:57</t>
  </si>
  <si>
    <t xml:space="preserve">UDCA90LWZI</t>
  </si>
  <si>
    <t xml:space="preserve">2026-04-12 18:22:35</t>
  </si>
  <si>
    <t xml:space="preserve">UDDA90P91G</t>
  </si>
  <si>
    <t xml:space="preserve">2026-04-13 16:12:12</t>
  </si>
  <si>
    <t xml:space="preserve">UDEA90SZ9V</t>
  </si>
  <si>
    <t xml:space="preserve">2026-04-14 14:39:30</t>
  </si>
  <si>
    <t xml:space="preserve">UDEA90TTMD</t>
  </si>
  <si>
    <t xml:space="preserve">2026-04-14 18:32:56</t>
  </si>
  <si>
    <t xml:space="preserve">UDEA90TXIH</t>
  </si>
  <si>
    <t xml:space="preserve">2026-04-14 18:33:27</t>
  </si>
  <si>
    <t xml:space="preserve">Customer Transfer to - 2547******730 Florence Onyango</t>
  </si>
  <si>
    <t xml:space="preserve">UDEA90TTRT</t>
  </si>
  <si>
    <t xml:space="preserve">2026-04-14 18:37:15</t>
  </si>
  <si>
    <t xml:space="preserve">UDEA90TTYD</t>
  </si>
  <si>
    <t xml:space="preserve">2026-04-14 18:42:52</t>
  </si>
  <si>
    <t xml:space="preserve">UDEA90U0SD</t>
  </si>
  <si>
    <t xml:space="preserve">2026-04-14 18:44:45</t>
  </si>
  <si>
    <t xml:space="preserve">UDEA90TWND</t>
  </si>
  <si>
    <t xml:space="preserve">2026-04-14 18:47:07</t>
  </si>
  <si>
    <t xml:space="preserve">UDEA90U3EZ</t>
  </si>
  <si>
    <t xml:space="preserve">2026-04-14 18:48:35</t>
  </si>
  <si>
    <t xml:space="preserve">UDEA90UD15</t>
  </si>
  <si>
    <t xml:space="preserve">2026-04-14 19:31:40</t>
  </si>
  <si>
    <t xml:space="preserve">UDEA90UX0L</t>
  </si>
  <si>
    <t xml:space="preserve">2026-04-14 21:10:06</t>
  </si>
  <si>
    <t xml:space="preserve">UDFA90WUZP</t>
  </si>
  <si>
    <t xml:space="preserve">2026-04-15 14:46:29</t>
  </si>
  <si>
    <t xml:space="preserve">UDFA90X0R2</t>
  </si>
  <si>
    <t xml:space="preserve">2026-04-15 14:59:37</t>
  </si>
  <si>
    <t xml:space="preserve">UDFA90WXY5</t>
  </si>
  <si>
    <t xml:space="preserve">2026-04-15 15:01:26</t>
  </si>
  <si>
    <t xml:space="preserve">Customer Withdrawal At Agent Till 336642 - Sajjels Comms Kisumu 4</t>
  </si>
  <si>
    <t xml:space="preserve">UDFA90X2LD</t>
  </si>
  <si>
    <t xml:space="preserve">2026-04-15 15:24:56</t>
  </si>
  <si>
    <t xml:space="preserve">UDGA910BOG</t>
  </si>
  <si>
    <t xml:space="preserve">2026-04-16 11:12:08</t>
  </si>
  <si>
    <t xml:space="preserve">UDGA911B70</t>
  </si>
  <si>
    <t xml:space="preserve">2026-04-16 15:38:51</t>
  </si>
  <si>
    <t xml:space="preserve">UDGA911CFL</t>
  </si>
  <si>
    <t xml:space="preserve">2026-04-16 15:39:37</t>
  </si>
  <si>
    <t xml:space="preserve">UDGA91172T</t>
  </si>
  <si>
    <t xml:space="preserve">2026-04-16 15:43:41</t>
  </si>
  <si>
    <t xml:space="preserve">UDGA911D0D</t>
  </si>
  <si>
    <t xml:space="preserve">2026-04-16 16:10:54</t>
  </si>
  <si>
    <t xml:space="preserve">UDGA91272V</t>
  </si>
  <si>
    <t xml:space="preserve">2026-04-16 18:29:23</t>
  </si>
  <si>
    <t xml:space="preserve">UDGA9120P1</t>
  </si>
  <si>
    <t xml:space="preserve">2026-04-16 18:46:15</t>
  </si>
  <si>
    <t xml:space="preserve">UDGA9120R5</t>
  </si>
  <si>
    <t xml:space="preserve">2026-04-16 18:47:56</t>
  </si>
  <si>
    <t xml:space="preserve">UDGA9127TW</t>
  </si>
  <si>
    <t xml:space="preserve">2026-04-16 18:51:37</t>
  </si>
  <si>
    <t xml:space="preserve">UDGA912JDM</t>
  </si>
  <si>
    <t xml:space="preserve">2026-04-16 19:21:47</t>
  </si>
  <si>
    <t xml:space="preserve">UDHA914B57</t>
  </si>
  <si>
    <t xml:space="preserve">2026-04-17 10:50:26</t>
  </si>
  <si>
    <t xml:space="preserve">UDHA914AA6</t>
  </si>
  <si>
    <t xml:space="preserve">2026-04-17 11:18:25</t>
  </si>
  <si>
    <t xml:space="preserve">UDHA914CPS</t>
  </si>
  <si>
    <t xml:space="preserve">2026-04-17 11:19:45</t>
  </si>
  <si>
    <t xml:space="preserve">Merchant Payment to 6516136 - Fredrick Odhiambo Odipo 7</t>
  </si>
  <si>
    <t xml:space="preserve">UDHA914DAY</t>
  </si>
  <si>
    <t xml:space="preserve">2026-04-17 11:52:24</t>
  </si>
  <si>
    <t xml:space="preserve">UDHA914GEL</t>
  </si>
  <si>
    <t xml:space="preserve">2026-04-17 12:27:50</t>
  </si>
  <si>
    <t xml:space="preserve">UDHA914OO1</t>
  </si>
  <si>
    <t xml:space="preserve">2026-04-17 12:31:32</t>
  </si>
  <si>
    <t xml:space="preserve">Customer Payment to Small Business to - 2547******544 DAVID JABUYA</t>
  </si>
  <si>
    <t xml:space="preserve">UDHA914LAZ</t>
  </si>
  <si>
    <t xml:space="preserve">2026-04-17 12:57:21</t>
  </si>
  <si>
    <t xml:space="preserve">UDHA914QZH</t>
  </si>
  <si>
    <t xml:space="preserve">2026-04-17 13:37:08</t>
  </si>
  <si>
    <t xml:space="preserve">UDHA91664R</t>
  </si>
  <si>
    <t xml:space="preserve">2026-04-17 18:44:15</t>
  </si>
  <si>
    <t xml:space="preserve">UDHA91665I</t>
  </si>
  <si>
    <t xml:space="preserve">2026-04-17 18:44:55</t>
  </si>
  <si>
    <t xml:space="preserve">Customer Transfer to - 07******969 ALICE LUVINZU</t>
  </si>
  <si>
    <t xml:space="preserve">UDHA9168PU</t>
  </si>
  <si>
    <t xml:space="preserve">2026-04-17 18:49:57</t>
  </si>
  <si>
    <t xml:space="preserve">UDHA916ZZ2</t>
  </si>
  <si>
    <t xml:space="preserve">2026-04-17 20:28:39</t>
  </si>
  <si>
    <t xml:space="preserve">UDHA917CBI</t>
  </si>
  <si>
    <t xml:space="preserve">2026-04-17 21:44:14</t>
  </si>
  <si>
    <t xml:space="preserve">UDIA918GGG</t>
  </si>
  <si>
    <t xml:space="preserve">2026-04-18 11:03:03</t>
  </si>
  <si>
    <t xml:space="preserve">UDIA918B16</t>
  </si>
  <si>
    <t xml:space="preserve">2026-04-18 11:03:35</t>
  </si>
  <si>
    <t xml:space="preserve">UDIA918JRZ</t>
  </si>
  <si>
    <t xml:space="preserve">2026-04-18 11:29:02</t>
  </si>
  <si>
    <t xml:space="preserve">UDIA91A202</t>
  </si>
  <si>
    <t xml:space="preserve">2026-04-18 17:56:28</t>
  </si>
  <si>
    <t xml:space="preserve">UDIA91A29J</t>
  </si>
  <si>
    <t xml:space="preserve">2026-04-18 18:06:16</t>
  </si>
  <si>
    <t xml:space="preserve">UDIA91A68W</t>
  </si>
  <si>
    <t xml:space="preserve">2026-04-18 18:09:25</t>
  </si>
  <si>
    <t xml:space="preserve">UDIA91A2EP</t>
  </si>
  <si>
    <t xml:space="preserve">2026-04-18 18:11:51</t>
  </si>
  <si>
    <t xml:space="preserve">Customer Transfer to - 2547******249 AGNESS ADERO</t>
  </si>
  <si>
    <t xml:space="preserve">UDIA91A7WE</t>
  </si>
  <si>
    <t xml:space="preserve">2026-04-18 18:16:37</t>
  </si>
  <si>
    <t xml:space="preserve">UDIA91A800</t>
  </si>
  <si>
    <t xml:space="preserve">2026-04-18 18:20:46</t>
  </si>
  <si>
    <t xml:space="preserve">UDIA91A5OS</t>
  </si>
  <si>
    <t xml:space="preserve">2026-04-18 18:40:35</t>
  </si>
  <si>
    <t xml:space="preserve">UDIA91A8TE</t>
  </si>
  <si>
    <t xml:space="preserve">2026-04-18 18:47:29</t>
  </si>
  <si>
    <t xml:space="preserve">UDIA91B4W9</t>
  </si>
  <si>
    <t xml:space="preserve">2026-04-18 21:07:33</t>
  </si>
  <si>
    <t xml:space="preserve">UDJA91CKHG</t>
  </si>
  <si>
    <t xml:space="preserve">2026-04-19 11:19:08</t>
  </si>
  <si>
    <t xml:space="preserve">UDJA91CP16</t>
  </si>
  <si>
    <t xml:space="preserve">2026-04-19 13:03:48</t>
  </si>
  <si>
    <t xml:space="preserve">UDJA91DEBM</t>
  </si>
  <si>
    <t xml:space="preserve">2026-04-19 15:44:17</t>
  </si>
  <si>
    <t xml:space="preserve">UDJA91DWH9</t>
  </si>
  <si>
    <t xml:space="preserve">2026-04-19 17:22:37</t>
  </si>
  <si>
    <t xml:space="preserve">UDKA91G4A3</t>
  </si>
  <si>
    <t xml:space="preserve">2026-04-20 10:57:29</t>
  </si>
  <si>
    <t xml:space="preserve">UDKA91G8E3</t>
  </si>
  <si>
    <t xml:space="preserve">2026-04-20 10:58:43</t>
  </si>
  <si>
    <t xml:space="preserve">UDKA91I3G7</t>
  </si>
  <si>
    <t xml:space="preserve">2026-04-20 18:47:59</t>
  </si>
  <si>
    <t xml:space="preserve">UDKA91I8BT</t>
  </si>
  <si>
    <t xml:space="preserve">2026-04-20 18:48:33</t>
  </si>
  <si>
    <t xml:space="preserve">Customer Payment to Small Business to - 2547******220 BENTER ORAO</t>
  </si>
  <si>
    <t xml:space="preserve">UDKA91I9XZ</t>
  </si>
  <si>
    <t xml:space="preserve">2026-04-20 18:52:01</t>
  </si>
  <si>
    <t xml:space="preserve">UDKA91ICVZ</t>
  </si>
  <si>
    <t xml:space="preserve">2026-04-20 18:53:33</t>
  </si>
  <si>
    <t xml:space="preserve">Customer Transfer to - 2547******510 Phanice Omusinde</t>
  </si>
  <si>
    <t xml:space="preserve">UDLA91JZFF</t>
  </si>
  <si>
    <t xml:space="preserve">2026-04-21 10:09:22</t>
  </si>
  <si>
    <t xml:space="preserve">UDLA91K7E8</t>
  </si>
  <si>
    <t xml:space="preserve">2026-04-21 10:09:50</t>
  </si>
  <si>
    <t xml:space="preserve">UDLA91LFI5</t>
  </si>
  <si>
    <t xml:space="preserve">2026-04-21 16:27:11</t>
  </si>
  <si>
    <t xml:space="preserve">UDLA91LYB6</t>
  </si>
  <si>
    <t xml:space="preserve">2026-04-21 18:34:22</t>
  </si>
  <si>
    <t xml:space="preserve">UDLA91M6BH</t>
  </si>
  <si>
    <t xml:space="preserve">2026-04-21 18:42:13</t>
  </si>
  <si>
    <t xml:space="preserve">UDLA91MAZC</t>
  </si>
  <si>
    <t xml:space="preserve">2026-04-21 18:48:21</t>
  </si>
  <si>
    <t xml:space="preserve">UDMA91O7B9</t>
  </si>
  <si>
    <t xml:space="preserve">2026-04-22 10:47:45</t>
  </si>
  <si>
    <t xml:space="preserve">UDMA91Q3LD</t>
  </si>
  <si>
    <t xml:space="preserve">2026-04-22 18:42:10</t>
  </si>
  <si>
    <t xml:space="preserve">Customer Transfer to - 2547******419 Janet Ndeeyi</t>
  </si>
  <si>
    <t xml:space="preserve">UDMA91Q0Z5</t>
  </si>
  <si>
    <t xml:space="preserve">2026-04-22 18:44:20</t>
  </si>
  <si>
    <t xml:space="preserve">UDMA91Q8MZ</t>
  </si>
  <si>
    <t xml:space="preserve">2026-04-22 18:59:36</t>
  </si>
  <si>
    <t xml:space="preserve">UDNA91S759</t>
  </si>
  <si>
    <t xml:space="preserve">2026-04-23 10:42:28</t>
  </si>
  <si>
    <t xml:space="preserve">UDNA91SA5O</t>
  </si>
  <si>
    <t xml:space="preserve">2026-04-23 10:43:17</t>
  </si>
  <si>
    <t xml:space="preserve">UDNA91TLQ3</t>
  </si>
  <si>
    <t xml:space="preserve">2026-04-23 16:53:13</t>
  </si>
  <si>
    <t xml:space="preserve">UDNA91U1Q6</t>
  </si>
  <si>
    <t xml:space="preserve">2026-04-23 18:27:51</t>
  </si>
  <si>
    <t xml:space="preserve">UDNA91U098</t>
  </si>
  <si>
    <t xml:space="preserve">2026-04-23 18:28:43</t>
  </si>
  <si>
    <t xml:space="preserve">UDNA91U0CA</t>
  </si>
  <si>
    <t xml:space="preserve">2026-04-23 18:31:13</t>
  </si>
  <si>
    <t xml:space="preserve">UDNA91U0CV</t>
  </si>
  <si>
    <t xml:space="preserve">2026-04-23 18:31:40</t>
  </si>
  <si>
    <t xml:space="preserve">UDO4Q1U0UY</t>
  </si>
  <si>
    <t xml:space="preserve">2026-04-24 17:50:16</t>
  </si>
  <si>
    <t xml:space="preserve">UDOA91YCRQ</t>
  </si>
  <si>
    <t xml:space="preserve">2026-04-24 18:36:15</t>
  </si>
  <si>
    <t xml:space="preserve">UDOA91YADT</t>
  </si>
  <si>
    <t xml:space="preserve">2026-04-24 18:38:48</t>
  </si>
  <si>
    <t xml:space="preserve">Merchant Payment to 5560148 - Oxygen Chips and Chicken</t>
  </si>
  <si>
    <t xml:space="preserve">UDOA91YH28</t>
  </si>
  <si>
    <t xml:space="preserve">2026-04-24 18:43:42</t>
  </si>
  <si>
    <t xml:space="preserve">UDOA91YEHU</t>
  </si>
  <si>
    <t xml:space="preserve">2026-04-24 18:51:31</t>
  </si>
  <si>
    <t xml:space="preserve">UDOA91YNZZ</t>
  </si>
  <si>
    <t xml:space="preserve">2026-04-24 19:29:54</t>
  </si>
  <si>
    <t xml:space="preserve">UDPA920FU7</t>
  </si>
  <si>
    <t xml:space="preserve">2026-04-25 10:35:48</t>
  </si>
  <si>
    <t xml:space="preserve">UDPA9225XL</t>
  </si>
  <si>
    <t xml:space="preserve">2026-04-25 17:03:57</t>
  </si>
  <si>
    <t xml:space="preserve">UDPA922EQ0</t>
  </si>
  <si>
    <t xml:space="preserve">2026-04-25 18:32:52</t>
  </si>
  <si>
    <t xml:space="preserve">UDPA922K1T</t>
  </si>
  <si>
    <t xml:space="preserve">2026-04-25 18:37:25</t>
  </si>
  <si>
    <t xml:space="preserve">UDPA922XS5</t>
  </si>
  <si>
    <t xml:space="preserve">2026-04-25 19:24:46</t>
  </si>
  <si>
    <t xml:space="preserve">UDQA924GYL</t>
  </si>
  <si>
    <t xml:space="preserve">2026-04-26 10:15:50</t>
  </si>
  <si>
    <t xml:space="preserve">UDQA925MS7</t>
  </si>
  <si>
    <t xml:space="preserve">2026-04-26 14:42:50</t>
  </si>
  <si>
    <t xml:space="preserve">UDQA926PKQ</t>
  </si>
  <si>
    <t xml:space="preserve">2026-04-26 18:35:13</t>
  </si>
  <si>
    <t xml:space="preserve">UDQA926PMX</t>
  </si>
  <si>
    <t xml:space="preserve">2026-04-26 18:37:36</t>
  </si>
  <si>
    <t xml:space="preserve">UDQA926O99</t>
  </si>
  <si>
    <t xml:space="preserve">2026-04-26 18:41:01</t>
  </si>
  <si>
    <t xml:space="preserve">UDQA926OBT</t>
  </si>
  <si>
    <t xml:space="preserve">2026-04-26 18:43:23</t>
  </si>
  <si>
    <t xml:space="preserve">UDQA926LMN</t>
  </si>
  <si>
    <t xml:space="preserve">2026-04-26 18:45:35</t>
  </si>
  <si>
    <t xml:space="preserve">UDQA926KDI</t>
  </si>
  <si>
    <t xml:space="preserve">2026-04-26 18:48:43</t>
  </si>
  <si>
    <t xml:space="preserve">UDRA928KCI</t>
  </si>
  <si>
    <t xml:space="preserve">2026-04-27 10:33:27</t>
  </si>
  <si>
    <t xml:space="preserve">UDRA92A5M2</t>
  </si>
  <si>
    <t xml:space="preserve">2026-04-27 17:18:27</t>
  </si>
  <si>
    <t xml:space="preserve">UDRA92A76D</t>
  </si>
  <si>
    <t xml:space="preserve">2026-04-27 17:20:49</t>
  </si>
  <si>
    <t xml:space="preserve">UDRA92AAEE</t>
  </si>
  <si>
    <t xml:space="preserve">2026-04-27 17:36:20</t>
  </si>
  <si>
    <t xml:space="preserve">UDRA92A63U</t>
  </si>
  <si>
    <t xml:space="preserve">2026-04-27 17:38:37</t>
  </si>
  <si>
    <t xml:space="preserve">UDRA92AFZQ</t>
  </si>
  <si>
    <t xml:space="preserve">2026-04-27 18:00:15</t>
  </si>
  <si>
    <t xml:space="preserve">UDSA92CK6M</t>
  </si>
  <si>
    <t xml:space="preserve">2026-04-28 09:55:26</t>
  </si>
  <si>
    <t xml:space="preserve">UDSA92DQR0</t>
  </si>
  <si>
    <t xml:space="preserve">2026-04-28 14:30:58</t>
  </si>
  <si>
    <t xml:space="preserve">UDSA92EIR7</t>
  </si>
  <si>
    <t xml:space="preserve">2026-04-28 17:24:33</t>
  </si>
  <si>
    <t xml:space="preserve">UDSA92EJ2R</t>
  </si>
  <si>
    <t xml:space="preserve">2026-04-28 17:35:43</t>
  </si>
  <si>
    <t xml:space="preserve">Customer Payment to Small Business to - 2547******016 maseline munala</t>
  </si>
  <si>
    <t xml:space="preserve">UDSA92ELTC</t>
  </si>
  <si>
    <t xml:space="preserve">2026-04-28 17:51:30</t>
  </si>
  <si>
    <t xml:space="preserve">UDSA92EGNE</t>
  </si>
  <si>
    <t xml:space="preserve">2026-04-28 17:52:57</t>
  </si>
  <si>
    <t xml:space="preserve">UDT4Q2DPOI</t>
  </si>
  <si>
    <t xml:space="preserve">2026-04-29 15:48:16</t>
  </si>
  <si>
    <t xml:space="preserve">UDTA92IECJ</t>
  </si>
  <si>
    <t xml:space="preserve">2026-04-29 16:17:43</t>
  </si>
  <si>
    <t xml:space="preserve">UDTA92IH4L</t>
  </si>
  <si>
    <t xml:space="preserve">2026-04-29 17:05:39</t>
  </si>
  <si>
    <t xml:space="preserve">UDTA92IZD1</t>
  </si>
  <si>
    <t xml:space="preserve">2026-04-29 18:02:21</t>
  </si>
  <si>
    <t xml:space="preserve">Customer Payment to Small Business to - 2547******572 Virginia Opiyo</t>
  </si>
  <si>
    <t xml:space="preserve">UDTA92IWK5</t>
  </si>
  <si>
    <t xml:space="preserve">2026-04-29 18:10:10</t>
  </si>
  <si>
    <t xml:space="preserve">UDTA92J9VH</t>
  </si>
  <si>
    <t xml:space="preserve">2026-04-29 18:45:27</t>
  </si>
  <si>
    <t xml:space="preserve">UDUA92KQH4</t>
  </si>
  <si>
    <t xml:space="preserve">2026-04-30 07:42:25</t>
  </si>
  <si>
    <t xml:space="preserve">UDUA92LBZK</t>
  </si>
  <si>
    <t xml:space="preserve">2026-04-30 10:39:55</t>
  </si>
  <si>
    <t xml:space="preserve">UDUA92N2J7</t>
  </si>
  <si>
    <t xml:space="preserve">2026-04-30 18:32:51</t>
  </si>
  <si>
    <t xml:space="preserve">UDUA92N445</t>
  </si>
  <si>
    <t xml:space="preserve">2026-04-30 18:33:42</t>
  </si>
  <si>
    <t xml:space="preserve">UDUA92NAOO</t>
  </si>
  <si>
    <t xml:space="preserve">2026-04-30 18:39:28</t>
  </si>
  <si>
    <t xml:space="preserve">UDUA92N8XU</t>
  </si>
  <si>
    <t xml:space="preserve">2026-04-30 18:45:04</t>
  </si>
  <si>
    <t xml:space="preserve">UDUA92O9HX</t>
  </si>
  <si>
    <t xml:space="preserve">2026-04-30 21:59:18</t>
  </si>
  <si>
    <t xml:space="preserve">UE1A92QIHQ</t>
  </si>
  <si>
    <t xml:space="preserve">2026-05-01 14:57:04</t>
  </si>
  <si>
    <t xml:space="preserve">UE1A92QFR9</t>
  </si>
  <si>
    <t xml:space="preserve">2026-05-01 14:58:31</t>
  </si>
  <si>
    <t xml:space="preserve">Pay Bill Online to 308900 - Guardian Coach Limited Acc. WFPNWD</t>
  </si>
  <si>
    <t xml:space="preserve">UE1A92R1Y6</t>
  </si>
  <si>
    <t xml:space="preserve">2026-05-01 17:45:36</t>
  </si>
  <si>
    <t xml:space="preserve">UE1A92RA3C</t>
  </si>
  <si>
    <t xml:space="preserve">2026-05-01 17:58:02</t>
  </si>
  <si>
    <t xml:space="preserve">Pay Bill to 522533 - Lipa na KCB Acc. 7594877</t>
  </si>
  <si>
    <t xml:space="preserve">UE1A92RA6F</t>
  </si>
  <si>
    <t xml:space="preserve">2026-05-01 18:01:33</t>
  </si>
  <si>
    <t xml:space="preserve">UE1A92RER0</t>
  </si>
  <si>
    <t xml:space="preserve">2026-05-01 18:16:31</t>
  </si>
  <si>
    <t xml:space="preserve">UE1A92R971</t>
  </si>
  <si>
    <t xml:space="preserve">2026-05-01 18:17:06</t>
  </si>
  <si>
    <t xml:space="preserve">UE1A92R6IR</t>
  </si>
  <si>
    <t xml:space="preserve">2026-05-01 18:19:33</t>
  </si>
  <si>
    <t xml:space="preserve">UE1A92R7YZ</t>
  </si>
  <si>
    <t xml:space="preserve">2026-05-01 18:22:16</t>
  </si>
  <si>
    <t xml:space="preserve">UE1A92RQ9D</t>
  </si>
  <si>
    <t xml:space="preserve">2026-05-01 19:24:19</t>
  </si>
  <si>
    <t xml:space="preserve">UE1E02XQLJ</t>
  </si>
  <si>
    <t xml:space="preserve">2026-05-01 19:28:37</t>
  </si>
  <si>
    <t xml:space="preserve">UE2A92TKF6</t>
  </si>
  <si>
    <t xml:space="preserve">2026-05-02 10:57:42</t>
  </si>
  <si>
    <t xml:space="preserve">Pay Bill Online to 4114040 - SPOTIFY II Acc. 3904602</t>
  </si>
  <si>
    <t xml:space="preserve">UE2A92TM1D</t>
  </si>
  <si>
    <t xml:space="preserve">2026-05-02 11:24:42</t>
  </si>
  <si>
    <t xml:space="preserve">UE2A92U8XX</t>
  </si>
  <si>
    <t xml:space="preserve">2026-05-02 13:53:00</t>
  </si>
  <si>
    <t xml:space="preserve">UE2A92VG9I</t>
  </si>
  <si>
    <t xml:space="preserve">2026-05-02 18:23:13</t>
  </si>
  <si>
    <t xml:space="preserve">UE2A92VM6M</t>
  </si>
  <si>
    <t xml:space="preserve">2026-05-02 18:27:32</t>
  </si>
  <si>
    <t xml:space="preserve">UE2A92VDTK</t>
  </si>
  <si>
    <t xml:space="preserve">2026-05-02 18:30:17</t>
  </si>
  <si>
    <t xml:space="preserve">UE2A92VWDQ</t>
  </si>
  <si>
    <t xml:space="preserve">2026-05-02 19:37:42</t>
  </si>
  <si>
    <t xml:space="preserve">UE2A92W34U</t>
  </si>
  <si>
    <t xml:space="preserve">2026-05-02 19:49:07</t>
  </si>
  <si>
    <t xml:space="preserve">UE3A92Y4FY</t>
  </si>
  <si>
    <t xml:space="preserve">2026-05-03 13:29:31</t>
  </si>
  <si>
    <t xml:space="preserve">UE3A92YCSU</t>
  </si>
  <si>
    <t xml:space="preserve">2026-05-03 13:44:41</t>
  </si>
  <si>
    <t xml:space="preserve">UE3A92YAQQ</t>
  </si>
  <si>
    <t xml:space="preserve">2026-05-03 13:55:09</t>
  </si>
  <si>
    <t xml:space="preserve">UE3A92YH95</t>
  </si>
  <si>
    <t xml:space="preserve">2026-05-03 15:07:28</t>
  </si>
  <si>
    <t xml:space="preserve">Customer Payment to Small Business to - 2547******753 JULIUS OGONDA</t>
  </si>
  <si>
    <t xml:space="preserve">UE3A92YTQV</t>
  </si>
  <si>
    <t xml:space="preserve">2026-05-03 15:20:10</t>
  </si>
  <si>
    <t xml:space="preserve">UE3A92YTRO</t>
  </si>
  <si>
    <t xml:space="preserve">2026-05-03 15:21:23</t>
  </si>
  <si>
    <t xml:space="preserve">UE3A92YPMP</t>
  </si>
  <si>
    <t xml:space="preserve">2026-05-03 15:40:16</t>
  </si>
  <si>
    <t xml:space="preserve">Customer Transfer to - 01******471 Alvin Njeri</t>
  </si>
  <si>
    <t xml:space="preserve">UE3A92YR9C</t>
  </si>
  <si>
    <t xml:space="preserve">2026-05-03 15:44:49</t>
  </si>
  <si>
    <t xml:space="preserve">Customer Withdrawal At Agent Till 2068971 - Chase Telecom LTD triple mokode ting nanyaondo investment shop rongo town</t>
  </si>
  <si>
    <t xml:space="preserve">UE38B32QSN</t>
  </si>
  <si>
    <t xml:space="preserve">2026-05-03 16:24:16</t>
  </si>
  <si>
    <t xml:space="preserve">Funds received from - 2547******347 PETER WABUKO</t>
  </si>
  <si>
    <t xml:space="preserve">UE3K62UQNS</t>
  </si>
  <si>
    <t xml:space="preserve">2026-05-03 16:40:12</t>
  </si>
  <si>
    <t xml:space="preserve">Funds received from - 07******311 BONVENTURE AMBANI</t>
  </si>
  <si>
    <t xml:space="preserve">UE3DG2OXFL</t>
  </si>
  <si>
    <t xml:space="preserve">2026-05-03 17:18:57</t>
  </si>
  <si>
    <t xml:space="preserve">Funds received from - 07******857 joshua onyango</t>
  </si>
  <si>
    <t xml:space="preserve">UE3A92ZG8G</t>
  </si>
  <si>
    <t xml:space="preserve">2026-05-03 18:12:03</t>
  </si>
  <si>
    <t xml:space="preserve">UE3A92ZDI8</t>
  </si>
  <si>
    <t xml:space="preserve">2026-05-03 18:17:38</t>
  </si>
  <si>
    <t xml:space="preserve">UE3A92ZC4W</t>
  </si>
  <si>
    <t xml:space="preserve">2026-05-03 18:28:54</t>
  </si>
  <si>
    <t xml:space="preserve">UE4A931HR5</t>
  </si>
  <si>
    <t xml:space="preserve">2026-05-04 09:25:26</t>
  </si>
  <si>
    <t xml:space="preserve">UE4A931HRP</t>
  </si>
  <si>
    <t xml:space="preserve">2026-05-04 09:26:21</t>
  </si>
  <si>
    <t xml:space="preserve">UE4A931KSF</t>
  </si>
  <si>
    <t xml:space="preserve">2026-05-04 09:32:12</t>
  </si>
  <si>
    <t xml:space="preserve">UE4A932J3M</t>
  </si>
  <si>
    <t xml:space="preserve">2026-05-04 13:45:39</t>
  </si>
  <si>
    <t xml:space="preserve">UE4A933JM0</t>
  </si>
  <si>
    <t xml:space="preserve">2026-05-04 17:55:38</t>
  </si>
  <si>
    <t xml:space="preserve">Merchant Payment to 9421882 - CARLOS OWINO OCHIENG</t>
  </si>
  <si>
    <t xml:space="preserve">UE4A933IDP</t>
  </si>
  <si>
    <t xml:space="preserve">2026-05-04 18:01:42</t>
  </si>
  <si>
    <t xml:space="preserve">UE4A933T4R</t>
  </si>
  <si>
    <t xml:space="preserve">2026-05-04 18:46:47</t>
  </si>
  <si>
    <t xml:space="preserve">UE4A933Y3Z</t>
  </si>
  <si>
    <t xml:space="preserve">2026-05-04 19:03:44</t>
  </si>
  <si>
    <t xml:space="preserve">UE5A9364WA</t>
  </si>
  <si>
    <t xml:space="preserve">2026-05-05 11:14:02</t>
  </si>
  <si>
    <t xml:space="preserve">UE5A9385HZ</t>
  </si>
  <si>
    <t xml:space="preserve">2026-05-05 18:59:51</t>
  </si>
  <si>
    <t xml:space="preserve">UE5A937ZWM</t>
  </si>
  <si>
    <t xml:space="preserve">2026-05-05 19:01:19</t>
  </si>
  <si>
    <t xml:space="preserve">UE5A93894Y</t>
  </si>
  <si>
    <t xml:space="preserve">2026-05-05 19:23:22</t>
  </si>
  <si>
    <t xml:space="preserve">UE6A939Q84</t>
  </si>
  <si>
    <t xml:space="preserve">2026-05-06 07:44:06</t>
  </si>
  <si>
    <t xml:space="preserve">UE6A939KXG</t>
  </si>
  <si>
    <t xml:space="preserve">2026-05-06 08:04:38</t>
  </si>
  <si>
    <t xml:space="preserve">UE6A93C7RF</t>
  </si>
  <si>
    <t xml:space="preserve">2026-05-06 18:32:53</t>
  </si>
  <si>
    <t xml:space="preserve">UE6A93C412</t>
  </si>
  <si>
    <t xml:space="preserve">2026-05-06 18:33:53</t>
  </si>
  <si>
    <t xml:space="preserve">Customer Payment to Small Business to - 2547******924 TIBERIUS ONKOBA</t>
  </si>
  <si>
    <t xml:space="preserve">UE6A93C7W4</t>
  </si>
  <si>
    <t xml:space="preserve">2026-05-06 18:36:40</t>
  </si>
  <si>
    <t xml:space="preserve">UE6A93C9HX</t>
  </si>
  <si>
    <t xml:space="preserve">2026-05-06 18:40:45</t>
  </si>
  <si>
    <t xml:space="preserve">UE6A93C6YQ</t>
  </si>
  <si>
    <t xml:space="preserve">2026-05-06 18:42:19</t>
  </si>
  <si>
    <t xml:space="preserve">UE6A93CCFQ</t>
  </si>
  <si>
    <t xml:space="preserve">2026-05-06 18:43:32</t>
  </si>
  <si>
    <t xml:space="preserve">UE64Q37SLK</t>
  </si>
  <si>
    <t xml:space="preserve">2026-05-06 18:49:47</t>
  </si>
  <si>
    <t xml:space="preserve">UE6A93CFML</t>
  </si>
  <si>
    <t xml:space="preserve">2026-05-06 18:56:43</t>
  </si>
  <si>
    <t xml:space="preserve">UE6A93CTS3</t>
  </si>
  <si>
    <t xml:space="preserve">2026-05-06 20:12:56</t>
  </si>
  <si>
    <t xml:space="preserve">UE6A93CWQV</t>
  </si>
  <si>
    <t xml:space="preserve">2026-05-06 20:14:22</t>
  </si>
  <si>
    <t xml:space="preserve">UE6A93D0WE</t>
  </si>
  <si>
    <t xml:space="preserve">2026-05-06 20:14:53</t>
  </si>
  <si>
    <t xml:space="preserve">UE7A93EEJ5</t>
  </si>
  <si>
    <t xml:space="preserve">2026-05-07 10:02:48</t>
  </si>
  <si>
    <t xml:space="preserve">UE7A93F9QP</t>
  </si>
  <si>
    <t xml:space="preserve">2026-05-07 14:21:33</t>
  </si>
  <si>
    <t xml:space="preserve">UE7A93FCR3</t>
  </si>
  <si>
    <t xml:space="preserve">2026-05-07 14:23:37</t>
  </si>
  <si>
    <t xml:space="preserve">UE7A93FCUC</t>
  </si>
  <si>
    <t xml:space="preserve">2026-05-07 14:28:03</t>
  </si>
  <si>
    <t xml:space="preserve">UE7A93FEER</t>
  </si>
  <si>
    <t xml:space="preserve">2026-05-07 15:03:15</t>
  </si>
  <si>
    <t xml:space="preserve">Merchant Payment to 5085434 - JILLEN NAFULA SUNGUTI</t>
  </si>
  <si>
    <t xml:space="preserve">UE7A93FMWF</t>
  </si>
  <si>
    <t xml:space="preserve">2026-05-07 15:11:23</t>
  </si>
  <si>
    <t xml:space="preserve">UE7A93FJBG</t>
  </si>
  <si>
    <t xml:space="preserve">2026-05-07 15:54:29</t>
  </si>
  <si>
    <t xml:space="preserve">UE7A93GSGD</t>
  </si>
  <si>
    <t xml:space="preserve">2026-05-07 19:02:49</t>
  </si>
  <si>
    <t xml:space="preserve">UE7A93GQXM</t>
  </si>
  <si>
    <t xml:space="preserve">2026-05-07 19:03:14</t>
  </si>
  <si>
    <t xml:space="preserve">UE7A93GN6Q</t>
  </si>
  <si>
    <t xml:space="preserve">2026-05-07 19:07:53</t>
  </si>
  <si>
    <t xml:space="preserve">Customer Payment to Small Business to - 2547******337 Dexter Odhiambo</t>
  </si>
  <si>
    <t xml:space="preserve">UE7A93GU67</t>
  </si>
  <si>
    <t xml:space="preserve">2026-05-07 19:09:32</t>
  </si>
  <si>
    <t xml:space="preserve">UE7A93HA2N</t>
  </si>
  <si>
    <t xml:space="preserve">2026-05-07 20:38:20</t>
  </si>
  <si>
    <t xml:space="preserve">UF4A96L5T9</t>
  </si>
  <si>
    <t xml:space="preserve">2026-06-04 12:12:02</t>
  </si>
  <si>
    <t xml:space="preserve">UF4A96LFE7</t>
  </si>
  <si>
    <t xml:space="preserve">2026-06-04 13:39:46</t>
  </si>
  <si>
    <t xml:space="preserve">UF4A96M73V</t>
  </si>
  <si>
    <t xml:space="preserve">2026-06-04 16:56:41</t>
  </si>
  <si>
    <t xml:space="preserve">UF4A96MM5R</t>
  </si>
  <si>
    <t xml:space="preserve">2026-06-04 18:00:59</t>
  </si>
  <si>
    <t xml:space="preserve">UF4A96NA9J</t>
  </si>
  <si>
    <t xml:space="preserve">2026-06-04 19:15:39</t>
  </si>
  <si>
    <t xml:space="preserve">UF4A96NKR1</t>
  </si>
  <si>
    <t xml:space="preserve">2026-06-04 20:35:10</t>
  </si>
  <si>
    <t xml:space="preserve">UF4A96NVQF</t>
  </si>
  <si>
    <t xml:space="preserve">2026-06-04 21:56:44</t>
  </si>
  <si>
    <t xml:space="preserve">UF5A96O7ZC</t>
  </si>
  <si>
    <t xml:space="preserve">2026-06-05 04:14:57</t>
  </si>
  <si>
    <t xml:space="preserve">UF5A96OO03</t>
  </si>
  <si>
    <t xml:space="preserve">2026-06-05 08:24:16</t>
  </si>
  <si>
    <t xml:space="preserve">UF5A96PC2R</t>
  </si>
  <si>
    <t xml:space="preserve">2026-06-05 11:56:24</t>
  </si>
  <si>
    <t xml:space="preserve">UF5A96PPRW</t>
  </si>
  <si>
    <t xml:space="preserve">2026-06-05 13:13:38</t>
  </si>
  <si>
    <t xml:space="preserve">UF5A96Q6AV</t>
  </si>
  <si>
    <t xml:space="preserve">2026-06-05 15:03:36</t>
  </si>
  <si>
    <t xml:space="preserve">UF5A96R8OT</t>
  </si>
  <si>
    <t xml:space="preserve">2026-06-05 18:32:14</t>
  </si>
  <si>
    <t xml:space="preserve">Ziidi Trader Dividends Payment</t>
  </si>
  <si>
    <t xml:space="preserve">UF5A96R3F0</t>
  </si>
  <si>
    <t xml:space="preserve">2026-06-05 18:32:27</t>
  </si>
  <si>
    <t xml:space="preserve">UF6A96T0BR</t>
  </si>
  <si>
    <t xml:space="preserve">2026-06-06 07:59:41</t>
  </si>
  <si>
    <t xml:space="preserve">UF6A96TAX3</t>
  </si>
  <si>
    <t xml:space="preserve">2026-06-06 09:20:59</t>
  </si>
  <si>
    <t xml:space="preserve">UF6A96UEZR</t>
  </si>
  <si>
    <t xml:space="preserve">2026-06-06 13:55:29</t>
  </si>
  <si>
    <t xml:space="preserve">UF6A96UR1K</t>
  </si>
  <si>
    <t xml:space="preserve">2026-06-06 15:00:29</t>
  </si>
  <si>
    <t xml:space="preserve">UF6A96UXQV</t>
  </si>
  <si>
    <t xml:space="preserve">2026-06-06 16:03:00</t>
  </si>
  <si>
    <t xml:space="preserve">UF6A96VH10</t>
  </si>
  <si>
    <t xml:space="preserve">2026-06-06 17:36:12</t>
  </si>
  <si>
    <t xml:space="preserve">UF6P76WTOO</t>
  </si>
  <si>
    <t xml:space="preserve">2026-06-06 17:38:44</t>
  </si>
  <si>
    <t xml:space="preserve">UF6A96VSB5</t>
  </si>
  <si>
    <t xml:space="preserve">2026-06-06 18:41:00</t>
  </si>
  <si>
    <t xml:space="preserve">UF6A96W2EI</t>
  </si>
  <si>
    <t xml:space="preserve">2026-06-06 19:42:49</t>
  </si>
  <si>
    <t xml:space="preserve">UF6A96WZE8</t>
  </si>
  <si>
    <t xml:space="preserve">2026-06-06 22:03:34</t>
  </si>
  <si>
    <t xml:space="preserve">UF7A96XCVG</t>
  </si>
  <si>
    <t xml:space="preserve">2026-06-07 03:01:04</t>
  </si>
  <si>
    <t xml:space="preserve">UF7A96YEUF</t>
  </si>
  <si>
    <t xml:space="preserve">2026-06-07 13:03:19</t>
  </si>
  <si>
    <t xml:space="preserve">UF7A96Z44I</t>
  </si>
  <si>
    <t xml:space="preserve">2026-06-07 15:12:31</t>
  </si>
  <si>
    <t xml:space="preserve">UF7A96Z8O7</t>
  </si>
  <si>
    <t xml:space="preserve">2026-06-07 16:33:16</t>
  </si>
  <si>
    <t xml:space="preserve">UF7A96ZORK</t>
  </si>
  <si>
    <t xml:space="preserve">2026-06-07 17:51:12</t>
  </si>
  <si>
    <t xml:space="preserve">UF7A96ZWXD</t>
  </si>
  <si>
    <t xml:space="preserve">2026-06-07 18:48:21</t>
  </si>
  <si>
    <t xml:space="preserve">UF7A970Q90</t>
  </si>
  <si>
    <t xml:space="preserve">2026-06-07 20:55:23</t>
  </si>
  <si>
    <t xml:space="preserve">UF7A970Y01</t>
  </si>
  <si>
    <t xml:space="preserve">2026-06-07 22:02:37</t>
  </si>
  <si>
    <t xml:space="preserve">UF8A9718NW</t>
  </si>
  <si>
    <t xml:space="preserve">2026-06-08 04:04:57</t>
  </si>
  <si>
    <t xml:space="preserve">UF8A971A4U</t>
  </si>
  <si>
    <t xml:space="preserve">2026-06-08 05:19:14</t>
  </si>
  <si>
    <t xml:space="preserve">UF8A971Q23</t>
  </si>
  <si>
    <t xml:space="preserve">2026-06-08 09:12:31</t>
  </si>
  <si>
    <t xml:space="preserve">UF8A971VQM</t>
  </si>
  <si>
    <t xml:space="preserve">2026-06-08 09:33:12</t>
  </si>
  <si>
    <t xml:space="preserve">UF8A972574</t>
  </si>
  <si>
    <t xml:space="preserve">2026-06-08 10:56:37</t>
  </si>
  <si>
    <t xml:space="preserve">UF8A972VRY</t>
  </si>
  <si>
    <t xml:space="preserve">2026-06-08 14:29:51</t>
  </si>
  <si>
    <t xml:space="preserve">UF8A974297</t>
  </si>
  <si>
    <t xml:space="preserve">2026-06-08 18:27:30</t>
  </si>
  <si>
    <t xml:space="preserve">UF8A974QFC</t>
  </si>
  <si>
    <t xml:space="preserve">2026-06-08 19:48:45</t>
  </si>
  <si>
    <t xml:space="preserve">UF8A974YPP</t>
  </si>
  <si>
    <t xml:space="preserve">2026-06-08 20:43:37</t>
  </si>
  <si>
    <t xml:space="preserve">UF8A974Z3C</t>
  </si>
  <si>
    <t xml:space="preserve">2026-06-08 20:58:36</t>
  </si>
  <si>
    <t xml:space="preserve">UF8A975DUW</t>
  </si>
  <si>
    <t xml:space="preserve">2026-06-08 22:35:34</t>
  </si>
  <si>
    <t xml:space="preserve">UF9A975W03</t>
  </si>
  <si>
    <t xml:space="preserve">2026-06-09 07:37:46</t>
  </si>
  <si>
    <t xml:space="preserve">UF9A9765E0</t>
  </si>
  <si>
    <t xml:space="preserve">2026-06-09 09:06:59</t>
  </si>
  <si>
    <t xml:space="preserve">UF9A976ET9</t>
  </si>
  <si>
    <t xml:space="preserve">2026-06-09 10:19:39</t>
  </si>
  <si>
    <t xml:space="preserve">UF9A976T84</t>
  </si>
  <si>
    <t xml:space="preserve">2026-06-09 12:48:29</t>
  </si>
  <si>
    <t xml:space="preserve">UF9A977055</t>
  </si>
  <si>
    <t xml:space="preserve">2026-06-09 12:50:51</t>
  </si>
  <si>
    <t xml:space="preserve">UF9A976YRF</t>
  </si>
  <si>
    <t xml:space="preserve">2026-06-09 12:56:53</t>
  </si>
  <si>
    <t xml:space="preserve">UF9A976TEV</t>
  </si>
  <si>
    <t xml:space="preserve">2026-06-09 12:57:42</t>
  </si>
  <si>
    <t xml:space="preserve">UF9A9772R3</t>
  </si>
  <si>
    <t xml:space="preserve">2026-06-09 14:06:45</t>
  </si>
  <si>
    <t xml:space="preserve">UF9A977SJP</t>
  </si>
  <si>
    <t xml:space="preserve">2026-06-09 17:01:00</t>
  </si>
  <si>
    <t xml:space="preserve">UF9A978HN6</t>
  </si>
  <si>
    <t xml:space="preserve">2026-06-09 19:06:12</t>
  </si>
  <si>
    <t xml:space="preserve">UFAA97ADGK</t>
  </si>
  <si>
    <t xml:space="preserve">2026-06-10 08:18:10</t>
  </si>
  <si>
    <t xml:space="preserve">UFAA97ANZQ</t>
  </si>
  <si>
    <t xml:space="preserve">2026-06-10 09:36:37</t>
  </si>
  <si>
    <t xml:space="preserve">UFAA97AILF</t>
  </si>
  <si>
    <t xml:space="preserve">2026-06-10 10:16:45</t>
  </si>
  <si>
    <t xml:space="preserve">UFAA97C5EF</t>
  </si>
  <si>
    <t xml:space="preserve">2026-06-10 15:44:08</t>
  </si>
  <si>
    <t xml:space="preserve">UFAA97C0M7</t>
  </si>
  <si>
    <t xml:space="preserve">2026-06-10 16:47:03</t>
  </si>
  <si>
    <t xml:space="preserve">UFAA97E4LU</t>
  </si>
  <si>
    <t xml:space="preserve">2026-06-10 22:35:52</t>
  </si>
  <si>
    <t xml:space="preserve">Customer Transfer to - 2547******047 SAMUEL KAMITHA</t>
  </si>
  <si>
    <t xml:space="preserve">UFAA97E01P</t>
  </si>
  <si>
    <t xml:space="preserve">2026-06-10 22:37:01</t>
  </si>
  <si>
    <t xml:space="preserve">UFAA97E0AO</t>
  </si>
  <si>
    <t xml:space="preserve">2026-06-10 23:02:46</t>
  </si>
  <si>
    <t xml:space="preserve">UFBA97E5K9</t>
  </si>
  <si>
    <t xml:space="preserve">2026-06-11 04:30:46</t>
  </si>
  <si>
    <t xml:space="preserve">UFBA97EQMH</t>
  </si>
  <si>
    <t xml:space="preserve">2026-06-11 09:05:48</t>
  </si>
  <si>
    <t xml:space="preserve">UFBA97FCOJ</t>
  </si>
  <si>
    <t xml:space="preserve">2026-06-11 12:20:53</t>
  </si>
  <si>
    <t xml:space="preserve">UFBA97FQ4R</t>
  </si>
  <si>
    <t xml:space="preserve">2026-06-11 13:23:25</t>
  </si>
  <si>
    <t xml:space="preserve">UFBA97G4ZK</t>
  </si>
  <si>
    <t xml:space="preserve">2026-06-11 15:25:34</t>
  </si>
  <si>
    <t xml:space="preserve">UFBA97GNC1</t>
  </si>
  <si>
    <t xml:space="preserve">2026-06-11 16:42:03</t>
  </si>
  <si>
    <t xml:space="preserve">UFBA97GGEI</t>
  </si>
  <si>
    <t xml:space="preserve">2026-06-11 17:10:06</t>
  </si>
  <si>
    <t xml:space="preserve">UFB4Q7ASQS</t>
  </si>
  <si>
    <t xml:space="preserve">2026-06-11 20:06:51</t>
  </si>
  <si>
    <t xml:space="preserve">UFBA97HSPM</t>
  </si>
  <si>
    <t xml:space="preserve">2026-06-11 20:45:20</t>
  </si>
  <si>
    <t xml:space="preserve">UFCA97IEA4</t>
  </si>
  <si>
    <t xml:space="preserve">2026-06-12 04:04:12</t>
  </si>
  <si>
    <t xml:space="preserve">UFCA97ITUG</t>
  </si>
  <si>
    <t xml:space="preserve">2026-06-12 09:35:03</t>
  </si>
  <si>
    <t xml:space="preserve">UFCA97JBVP</t>
  </si>
  <si>
    <t xml:space="preserve">2026-06-12 10:41:03</t>
  </si>
  <si>
    <t xml:space="preserve">UFCA97K94Y</t>
  </si>
  <si>
    <t xml:space="preserve">2026-06-12 14:08:50</t>
  </si>
  <si>
    <t xml:space="preserve">UFCA97KKUB</t>
  </si>
  <si>
    <t xml:space="preserve">2026-06-12 16:12:30</t>
  </si>
  <si>
    <t xml:space="preserve">UEVA9645I4</t>
  </si>
  <si>
    <t xml:space="preserve">2026-05-31 09:30:05</t>
  </si>
  <si>
    <t xml:space="preserve">UEV4Q5YO2U</t>
  </si>
  <si>
    <t xml:space="preserve">2026-05-31 11:29:06</t>
  </si>
  <si>
    <t xml:space="preserve">UEVA964PNM</t>
  </si>
  <si>
    <t xml:space="preserve">2026-05-31 12:16:08</t>
  </si>
  <si>
    <t xml:space="preserve">UEVA965FYO</t>
  </si>
  <si>
    <t xml:space="preserve">2026-05-31 15:47:22</t>
  </si>
  <si>
    <t xml:space="preserve">UEVA9666RD</t>
  </si>
  <si>
    <t xml:space="preserve">2026-05-31 17:54:03</t>
  </si>
  <si>
    <t xml:space="preserve">UEVA966D9P</t>
  </si>
  <si>
    <t xml:space="preserve">2026-05-31 18:39:28</t>
  </si>
  <si>
    <t xml:space="preserve">UEVA966KF6</t>
  </si>
  <si>
    <t xml:space="preserve">2026-05-31 19:01:21</t>
  </si>
  <si>
    <t xml:space="preserve">UEVA9670WZ</t>
  </si>
  <si>
    <t xml:space="preserve">2026-05-31 21:01:22</t>
  </si>
  <si>
    <t xml:space="preserve">UEVA967EI5</t>
  </si>
  <si>
    <t xml:space="preserve">2026-05-31 22:26:10</t>
  </si>
  <si>
    <t xml:space="preserve">UF1A967PE2</t>
  </si>
  <si>
    <t xml:space="preserve">2026-06-01 07:15:34</t>
  </si>
  <si>
    <t xml:space="preserve">UF1A968AZG</t>
  </si>
  <si>
    <t xml:space="preserve">2026-06-01 10:32:39</t>
  </si>
  <si>
    <t xml:space="preserve">UF1A968Z2X</t>
  </si>
  <si>
    <t xml:space="preserve">2026-06-01 13:22:20</t>
  </si>
  <si>
    <t xml:space="preserve">UF1A9694DX</t>
  </si>
  <si>
    <t xml:space="preserve">2026-06-01 14:26:39</t>
  </si>
  <si>
    <t xml:space="preserve">UF1A969JIY</t>
  </si>
  <si>
    <t xml:space="preserve">2026-06-01 16:01:39</t>
  </si>
  <si>
    <t xml:space="preserve">UF1A969MPA</t>
  </si>
  <si>
    <t xml:space="preserve">2026-06-01 16:22:39</t>
  </si>
  <si>
    <t xml:space="preserve">UF1A969WCQ</t>
  </si>
  <si>
    <t xml:space="preserve">2026-06-01 17:43:28</t>
  </si>
  <si>
    <t xml:space="preserve">UF1A96AI1C</t>
  </si>
  <si>
    <t xml:space="preserve">2026-06-01 19:24:05</t>
  </si>
  <si>
    <t xml:space="preserve">UF2A96BLJ0</t>
  </si>
  <si>
    <t xml:space="preserve">2026-06-02 00:24:59</t>
  </si>
  <si>
    <t xml:space="preserve">UF2A96BKFF</t>
  </si>
  <si>
    <t xml:space="preserve">2026-06-02 02:05:44</t>
  </si>
  <si>
    <t xml:space="preserve">UF2A96BG7Y</t>
  </si>
  <si>
    <t xml:space="preserve">2026-06-02 02:17:58</t>
  </si>
  <si>
    <t xml:space="preserve">UF2A96BMRF</t>
  </si>
  <si>
    <t xml:space="preserve">2026-06-02 03:13:29</t>
  </si>
  <si>
    <t xml:space="preserve">UF2A96BHRH</t>
  </si>
  <si>
    <t xml:space="preserve">2026-06-02 04:32:21</t>
  </si>
  <si>
    <t xml:space="preserve">UF2A96C4NS</t>
  </si>
  <si>
    <t xml:space="preserve">2026-06-02 09:39:56</t>
  </si>
  <si>
    <t xml:space="preserve">UF2A96CF2M</t>
  </si>
  <si>
    <t xml:space="preserve">2026-06-02 10:42:59</t>
  </si>
  <si>
    <t xml:space="preserve">UF2A96CFE9</t>
  </si>
  <si>
    <t xml:space="preserve">2026-06-02 11:03:14</t>
  </si>
  <si>
    <t xml:space="preserve">Pay Bill Online to 4114040 -</t>
  </si>
  <si>
    <t xml:space="preserve">UF2A96CO2U</t>
  </si>
  <si>
    <t xml:space="preserve">2026-06-02 11:43:08</t>
  </si>
  <si>
    <t xml:space="preserve">UF2A96DX9C</t>
  </si>
  <si>
    <t xml:space="preserve">2026-06-02 17:23:05</t>
  </si>
  <si>
    <t xml:space="preserve">UF2A96E2CW</t>
  </si>
  <si>
    <t xml:space="preserve">2026-06-02 18:12:33</t>
  </si>
  <si>
    <t xml:space="preserve">UF2A96F6Q6</t>
  </si>
  <si>
    <t xml:space="preserve">2026-06-02 20:16:03</t>
  </si>
  <si>
    <t xml:space="preserve">UF3A96FON6</t>
  </si>
  <si>
    <t xml:space="preserve">2026-06-03 04:07:03</t>
  </si>
  <si>
    <t xml:space="preserve">UF3A96GGN9</t>
  </si>
  <si>
    <t xml:space="preserve">2026-06-03 10:56:56</t>
  </si>
  <si>
    <t xml:space="preserve">UF3A96HB7Y</t>
  </si>
  <si>
    <t xml:space="preserve">2026-06-03 14:02:45</t>
  </si>
  <si>
    <t xml:space="preserve">UF3A96JLME</t>
  </si>
  <si>
    <t xml:space="preserve">2026-06-03 21:01:33</t>
  </si>
  <si>
    <t xml:space="preserve">UF4A96KDIB</t>
  </si>
  <si>
    <t xml:space="preserve">2026-06-04 08:17:51</t>
  </si>
  <si>
    <t xml:space="preserve">UF4A96KJ84</t>
  </si>
  <si>
    <t xml:space="preserve">2026-06-04 09:47:44</t>
  </si>
  <si>
    <t xml:space="preserve">UE8A93ID88</t>
  </si>
  <si>
    <t xml:space="preserve">2026-05-08 09:33:27</t>
  </si>
  <si>
    <t xml:space="preserve">UE8A93J5WP</t>
  </si>
  <si>
    <t xml:space="preserve">2026-05-08 12:56:01</t>
  </si>
  <si>
    <t xml:space="preserve">UE8A93JPQ0</t>
  </si>
  <si>
    <t xml:space="preserve">2026-05-08 15:20:57</t>
  </si>
  <si>
    <t xml:space="preserve">UE8A93JX03</t>
  </si>
  <si>
    <t xml:space="preserve">2026-05-08 15:34:06</t>
  </si>
  <si>
    <t xml:space="preserve">UE8A93K6TY</t>
  </si>
  <si>
    <t xml:space="preserve">2026-05-08 17:06:39</t>
  </si>
  <si>
    <t xml:space="preserve">UE9A93MBNC</t>
  </si>
  <si>
    <t xml:space="preserve">2026-05-09 07:34:45</t>
  </si>
  <si>
    <t xml:space="preserve">UE9A93M92D</t>
  </si>
  <si>
    <t xml:space="preserve">2026-05-09 07:35:46</t>
  </si>
  <si>
    <t xml:space="preserve">Customer Transfer to - 2547******245 Whitney Odoyo</t>
  </si>
  <si>
    <t xml:space="preserve">UE9A93MIJC</t>
  </si>
  <si>
    <t xml:space="preserve">2026-05-09 09:16:51</t>
  </si>
  <si>
    <t xml:space="preserve">UE9A93MILA</t>
  </si>
  <si>
    <t xml:space="preserve">2026-05-09 09:19:31</t>
  </si>
  <si>
    <t xml:space="preserve">UE9A93MO72</t>
  </si>
  <si>
    <t xml:space="preserve">2026-05-09 09:29:53</t>
  </si>
  <si>
    <t xml:space="preserve">UE9QL3P4SC</t>
  </si>
  <si>
    <t xml:space="preserve">2026-05-09 10:57:12</t>
  </si>
  <si>
    <t xml:space="preserve">UE9323PMLO</t>
  </si>
  <si>
    <t xml:space="preserve">2026-05-09 12:02:10</t>
  </si>
  <si>
    <t xml:space="preserve">UE9A93NAWY</t>
  </si>
  <si>
    <t xml:space="preserve">2026-05-09 12:26:56</t>
  </si>
  <si>
    <t xml:space="preserve">UE9A93NKY0</t>
  </si>
  <si>
    <t xml:space="preserve">2026-05-09 13:47:59</t>
  </si>
  <si>
    <t xml:space="preserve">UE9A93P2WY</t>
  </si>
  <si>
    <t xml:space="preserve">2026-05-09 18:55:41</t>
  </si>
  <si>
    <t xml:space="preserve">UE9A93P5R8</t>
  </si>
  <si>
    <t xml:space="preserve">2026-05-09 19:01:28</t>
  </si>
  <si>
    <t xml:space="preserve">UE9A93P61F</t>
  </si>
  <si>
    <t xml:space="preserve">2026-05-09 19:08:52</t>
  </si>
  <si>
    <t xml:space="preserve">UE9A93P3JO</t>
  </si>
  <si>
    <t xml:space="preserve">2026-05-09 19:12:10</t>
  </si>
  <si>
    <t xml:space="preserve">UE9KK3GPFR</t>
  </si>
  <si>
    <t xml:space="preserve">2026-05-09 20:37:59</t>
  </si>
  <si>
    <t xml:space="preserve">UE9A93PS6E</t>
  </si>
  <si>
    <t xml:space="preserve">2026-05-09 21:05:49</t>
  </si>
  <si>
    <t xml:space="preserve">UEAA93QW41</t>
  </si>
  <si>
    <t xml:space="preserve">2026-05-10 09:49:22</t>
  </si>
  <si>
    <t xml:space="preserve">UEAA93SO4H</t>
  </si>
  <si>
    <t xml:space="preserve">2026-05-10 16:57:29</t>
  </si>
  <si>
    <t xml:space="preserve">UEAA93SQ4P</t>
  </si>
  <si>
    <t xml:space="preserve">2026-05-10 17:40:12</t>
  </si>
  <si>
    <t xml:space="preserve">UEAA93TA92</t>
  </si>
  <si>
    <t xml:space="preserve">2026-05-10 19:08:07</t>
  </si>
  <si>
    <t xml:space="preserve">UEAA93T8R6</t>
  </si>
  <si>
    <t xml:space="preserve">2026-05-10 19:11:18</t>
  </si>
  <si>
    <t xml:space="preserve">UEAA93UB00</t>
  </si>
  <si>
    <t xml:space="preserve">2026-05-10 23:56:32</t>
  </si>
  <si>
    <t xml:space="preserve">UEBA93UG4N</t>
  </si>
  <si>
    <t xml:space="preserve">2026-05-11 07:10:36</t>
  </si>
  <si>
    <t xml:space="preserve">UEBA93V7C1</t>
  </si>
  <si>
    <t xml:space="preserve">2026-05-11 10:30:12</t>
  </si>
  <si>
    <t xml:space="preserve">UEBA93V525</t>
  </si>
  <si>
    <t xml:space="preserve">2026-05-11 10:57:10</t>
  </si>
  <si>
    <t xml:space="preserve">UEBA93VBOK</t>
  </si>
  <si>
    <t xml:space="preserve">2026-05-11 11:00:13</t>
  </si>
  <si>
    <t xml:space="preserve">UEBA93VCV9</t>
  </si>
  <si>
    <t xml:space="preserve">2026-05-11 12:09:19</t>
  </si>
  <si>
    <t xml:space="preserve">Pay Bill Online to 308900 - Guardian Coach Limited Acc. Y5JH0A</t>
  </si>
  <si>
    <t xml:space="preserve">UEBA93WCN6</t>
  </si>
  <si>
    <t xml:space="preserve">2026-05-11 15:22:32</t>
  </si>
  <si>
    <t xml:space="preserve">UEBA93WC90</t>
  </si>
  <si>
    <t xml:space="preserve">2026-05-11 16:09:16</t>
  </si>
  <si>
    <t xml:space="preserve">UEBA93W9DD</t>
  </si>
  <si>
    <t xml:space="preserve">2026-05-11 16:10:00</t>
  </si>
  <si>
    <t xml:space="preserve">UEBA93WFJR</t>
  </si>
  <si>
    <t xml:space="preserve">2026-05-11 16:34:20</t>
  </si>
  <si>
    <t xml:space="preserve">UEBA93WM30</t>
  </si>
  <si>
    <t xml:space="preserve">2026-05-11 16:35:11</t>
  </si>
  <si>
    <t xml:space="preserve">Customer Withdrawal At Agent Till 2062843 - CRYSTAL ROCK INTERNATIONAL Tipton Households</t>
  </si>
  <si>
    <t xml:space="preserve">UEMA953356</t>
  </si>
  <si>
    <t xml:space="preserve">2026-05-22 09:28:49</t>
  </si>
  <si>
    <t xml:space="preserve">UEMA9536N9</t>
  </si>
  <si>
    <t xml:space="preserve">2026-05-22 10:05:43</t>
  </si>
  <si>
    <t xml:space="preserve">UEMA953NW2</t>
  </si>
  <si>
    <t xml:space="preserve">2026-05-22 12:10:42</t>
  </si>
  <si>
    <t xml:space="preserve">UEMA953YK2</t>
  </si>
  <si>
    <t xml:space="preserve">2026-05-22 13:26:18</t>
  </si>
  <si>
    <t xml:space="preserve">UEMA95405B</t>
  </si>
  <si>
    <t xml:space="preserve">2026-05-22 14:13:40</t>
  </si>
  <si>
    <t xml:space="preserve">UEMA9548RR</t>
  </si>
  <si>
    <t xml:space="preserve">2026-05-22 14:15:41</t>
  </si>
  <si>
    <t xml:space="preserve">UEMA954CCV</t>
  </si>
  <si>
    <t xml:space="preserve">2026-05-22 15:35:50</t>
  </si>
  <si>
    <t xml:space="preserve">Merchant Payment to 841089 - SWEET AROMA  CAKES AND FAST FOODS   1</t>
  </si>
  <si>
    <t xml:space="preserve">UEMA954IF4</t>
  </si>
  <si>
    <t xml:space="preserve">2026-05-22 15:39:01</t>
  </si>
  <si>
    <t xml:space="preserve">UEMA954FX9</t>
  </si>
  <si>
    <t xml:space="preserve">2026-05-22 16:07:22</t>
  </si>
  <si>
    <t xml:space="preserve">UEMA954EIX</t>
  </si>
  <si>
    <t xml:space="preserve">2026-05-22 16:09:16</t>
  </si>
  <si>
    <t xml:space="preserve">Pay Bill Online to 227711 - KIRINYAGA COUNTY GOVERNMENT Acc. Parking:KBJ514B</t>
  </si>
  <si>
    <t xml:space="preserve">UEMA955N5J</t>
  </si>
  <si>
    <t xml:space="preserve">2026-05-22 19:34:52</t>
  </si>
  <si>
    <t xml:space="preserve">UEM4Q50AB1</t>
  </si>
  <si>
    <t xml:space="preserve">2026-05-22 19:38:40</t>
  </si>
  <si>
    <t xml:space="preserve">UENA956OGP</t>
  </si>
  <si>
    <t xml:space="preserve">2026-05-23 04:14:52</t>
  </si>
  <si>
    <t xml:space="preserve">UENA9579EE</t>
  </si>
  <si>
    <t xml:space="preserve">2026-05-23 09:11:37</t>
  </si>
  <si>
    <t xml:space="preserve">UENA958MR9</t>
  </si>
  <si>
    <t xml:space="preserve">2026-05-23 15:36:08</t>
  </si>
  <si>
    <t xml:space="preserve">UENA958UHK</t>
  </si>
  <si>
    <t xml:space="preserve">2026-05-23 16:39:05</t>
  </si>
  <si>
    <t xml:space="preserve">UENA9597RU</t>
  </si>
  <si>
    <t xml:space="preserve">2026-05-23 17:27:02</t>
  </si>
  <si>
    <t xml:space="preserve">UENA95AIBH</t>
  </si>
  <si>
    <t xml:space="preserve">2026-05-23 20:53:47</t>
  </si>
  <si>
    <t xml:space="preserve">UENA95AK0M</t>
  </si>
  <si>
    <t xml:space="preserve">2026-05-23 21:13:15</t>
  </si>
  <si>
    <t xml:space="preserve">UENA95AL8M</t>
  </si>
  <si>
    <t xml:space="preserve">2026-05-23 21:44:32</t>
  </si>
  <si>
    <t xml:space="preserve">UEOA95AWHJ</t>
  </si>
  <si>
    <t xml:space="preserve">2026-05-24 04:05:23</t>
  </si>
  <si>
    <t xml:space="preserve">UEOA95C87V</t>
  </si>
  <si>
    <t xml:space="preserve">2026-05-24 13:25:22</t>
  </si>
  <si>
    <t xml:space="preserve">UEOA95CMU3</t>
  </si>
  <si>
    <t xml:space="preserve">2026-05-24 15:32:49</t>
  </si>
  <si>
    <t xml:space="preserve">UEOA95E6WI</t>
  </si>
  <si>
    <t xml:space="preserve">2026-05-24 20:20:51</t>
  </si>
  <si>
    <t xml:space="preserve">UEOA95EHU9</t>
  </si>
  <si>
    <t xml:space="preserve">2026-05-24 21:38:59</t>
  </si>
  <si>
    <t xml:space="preserve">UEPA95FIOJ</t>
  </si>
  <si>
    <t xml:space="preserve">2026-05-25 09:39:35</t>
  </si>
  <si>
    <t xml:space="preserve">UEPA95FQ7A</t>
  </si>
  <si>
    <t xml:space="preserve">2026-05-25 12:03:02</t>
  </si>
  <si>
    <t xml:space="preserve">UEPA95FZB2</t>
  </si>
  <si>
    <t xml:space="preserve">2026-05-25 12:30:14</t>
  </si>
  <si>
    <t xml:space="preserve">UEPA95G79U</t>
  </si>
  <si>
    <t xml:space="preserve">2026-05-25 12:40:36</t>
  </si>
  <si>
    <t xml:space="preserve">UEPA95G3IP</t>
  </si>
  <si>
    <t xml:space="preserve">2026-05-25 13:11:54</t>
  </si>
  <si>
    <t xml:space="preserve">UEPA95G5DX</t>
  </si>
  <si>
    <t xml:space="preserve">2026-05-25 13:29:06</t>
  </si>
  <si>
    <t xml:space="preserve">UEPA95GEBT</t>
  </si>
  <si>
    <t xml:space="preserve">2026-05-25 14:29:33</t>
  </si>
  <si>
    <t xml:space="preserve">UEPA95HTRY</t>
  </si>
  <si>
    <t xml:space="preserve">2026-05-25 19:48:15</t>
  </si>
  <si>
    <t xml:space="preserve">UEPA95IGBY</t>
  </si>
  <si>
    <t xml:space="preserve">2026-05-25 21:24:18</t>
  </si>
  <si>
    <t xml:space="preserve">UEQA95IUBX</t>
  </si>
  <si>
    <t xml:space="preserve">2026-05-26 04:32:09</t>
  </si>
  <si>
    <t xml:space="preserve">UEQA95JFHK</t>
  </si>
  <si>
    <t xml:space="preserve">2026-05-26 09:10:50</t>
  </si>
  <si>
    <t xml:space="preserve">UEBA93XQJ6</t>
  </si>
  <si>
    <t xml:space="preserve">2026-05-11 20:03:56</t>
  </si>
  <si>
    <t xml:space="preserve">UEBA93XTEF</t>
  </si>
  <si>
    <t xml:space="preserve">2026-05-11 20:05:30</t>
  </si>
  <si>
    <t xml:space="preserve">UEBA93Y2HC</t>
  </si>
  <si>
    <t xml:space="preserve">2026-05-11 20:50:35</t>
  </si>
  <si>
    <t xml:space="preserve">UEBA93YB1U</t>
  </si>
  <si>
    <t xml:space="preserve">2026-05-11 22:52:50</t>
  </si>
  <si>
    <t xml:space="preserve">UEBA93YGIZ</t>
  </si>
  <si>
    <t xml:space="preserve">2026-05-11 23:43:29</t>
  </si>
  <si>
    <t xml:space="preserve">UECA93YFK8</t>
  </si>
  <si>
    <t xml:space="preserve">2026-05-12 05:00:14</t>
  </si>
  <si>
    <t xml:space="preserve">UECA93YNPL</t>
  </si>
  <si>
    <t xml:space="preserve">2026-05-12 08:19:02</t>
  </si>
  <si>
    <t xml:space="preserve">UECA93ZSRK</t>
  </si>
  <si>
    <t xml:space="preserve">2026-05-12 13:00:48</t>
  </si>
  <si>
    <t xml:space="preserve">UECA9404UZ</t>
  </si>
  <si>
    <t xml:space="preserve">2026-05-12 14:29:49</t>
  </si>
  <si>
    <t xml:space="preserve">UECA940Q0Y</t>
  </si>
  <si>
    <t xml:space="preserve">2026-05-12 16:45:40</t>
  </si>
  <si>
    <t xml:space="preserve">UEDA942RC2</t>
  </si>
  <si>
    <t xml:space="preserve">2026-05-13 08:01:37</t>
  </si>
  <si>
    <t xml:space="preserve">UEDA943873</t>
  </si>
  <si>
    <t xml:space="preserve">2026-05-13 10:23:13</t>
  </si>
  <si>
    <t xml:space="preserve">UEDA943XTG</t>
  </si>
  <si>
    <t xml:space="preserve">2026-05-13 13:10:03</t>
  </si>
  <si>
    <t xml:space="preserve">UEDA943SP6</t>
  </si>
  <si>
    <t xml:space="preserve">2026-05-13 13:19:54</t>
  </si>
  <si>
    <t xml:space="preserve">UEDA943YEO</t>
  </si>
  <si>
    <t xml:space="preserve">2026-05-13 13:38:47</t>
  </si>
  <si>
    <t xml:space="preserve">UEDA94540Z</t>
  </si>
  <si>
    <t xml:space="preserve">2026-05-13 18:09:33</t>
  </si>
  <si>
    <t xml:space="preserve">UEDA9457C0</t>
  </si>
  <si>
    <t xml:space="preserve">2026-05-13 18:23:08</t>
  </si>
  <si>
    <t xml:space="preserve">UEDA945WW7</t>
  </si>
  <si>
    <t xml:space="preserve">2026-05-13 19:59:48</t>
  </si>
  <si>
    <t xml:space="preserve">UEDA946ANS</t>
  </si>
  <si>
    <t xml:space="preserve">2026-05-13 21:13:25</t>
  </si>
  <si>
    <t xml:space="preserve">UEEA946VY9</t>
  </si>
  <si>
    <t xml:space="preserve">2026-05-14 08:19:28</t>
  </si>
  <si>
    <t xml:space="preserve">UEEA947DNE</t>
  </si>
  <si>
    <t xml:space="preserve">2026-05-14 10:11:57</t>
  </si>
  <si>
    <t xml:space="preserve">UEEA947NXL</t>
  </si>
  <si>
    <t xml:space="preserve">2026-05-14 11:06:27</t>
  </si>
  <si>
    <t xml:space="preserve">UEEA948YL3</t>
  </si>
  <si>
    <t xml:space="preserve">2026-05-14 17:00:24</t>
  </si>
  <si>
    <t xml:space="preserve">UEEA94AHAD</t>
  </si>
  <si>
    <t xml:space="preserve">2026-05-14 22:07:35</t>
  </si>
  <si>
    <t xml:space="preserve">UEFA94B3H3</t>
  </si>
  <si>
    <t xml:space="preserve">2026-05-15 07:34:51</t>
  </si>
  <si>
    <t xml:space="preserve">UEFA94BBOT</t>
  </si>
  <si>
    <t xml:space="preserve">2026-05-15 09:08:40</t>
  </si>
  <si>
    <t xml:space="preserve">UEFA94BDVQ</t>
  </si>
  <si>
    <t xml:space="preserve">2026-05-15 10:05:53</t>
  </si>
  <si>
    <t xml:space="preserve">UEFA94BK64</t>
  </si>
  <si>
    <t xml:space="preserve">2026-05-15 11:06:26</t>
  </si>
  <si>
    <t xml:space="preserve">UEFA94BZYH</t>
  </si>
  <si>
    <t xml:space="preserve">2026-05-15 12:09:16</t>
  </si>
  <si>
    <t xml:space="preserve">UEFA94DU6O</t>
  </si>
  <si>
    <t xml:space="preserve">2026-05-15 18:56:03</t>
  </si>
  <si>
    <t xml:space="preserve">UEFA94EG9B</t>
  </si>
  <si>
    <t xml:space="preserve">2026-05-15 20:43:34</t>
  </si>
  <si>
    <t xml:space="preserve">UEGA94F6N1</t>
  </si>
  <si>
    <t xml:space="preserve">2026-05-16 07:32:34</t>
  </si>
  <si>
    <t xml:space="preserve">UEGA94FAH4</t>
  </si>
  <si>
    <t xml:space="preserve">2026-05-16 08:45:28</t>
  </si>
  <si>
    <t xml:space="preserve">UEGA94GBD2</t>
  </si>
  <si>
    <t xml:space="preserve">2026-05-16 13:17:36</t>
  </si>
  <si>
    <t xml:space="preserve">UEGA94GBEA</t>
  </si>
  <si>
    <t xml:space="preserve">2026-05-16 13:19:14</t>
  </si>
  <si>
    <t xml:space="preserve">Merchant Payment to 6069686 - COUNTY SUPERMARKET  1</t>
  </si>
  <si>
    <t xml:space="preserve">UEGA94GUNK</t>
  </si>
  <si>
    <t xml:space="preserve">2026-05-16 14:57:53</t>
  </si>
  <si>
    <t xml:space="preserve">UEGA94GQXS</t>
  </si>
  <si>
    <t xml:space="preserve">2026-05-16 15:15:46</t>
  </si>
  <si>
    <t xml:space="preserve">Customer Transfer to - 2547******624 MIRIAM MBUNGU</t>
  </si>
  <si>
    <t xml:space="preserve">UEGA94GWNP</t>
  </si>
  <si>
    <t xml:space="preserve">2026-05-16 15:29:29</t>
  </si>
  <si>
    <t xml:space="preserve">Pay Bill to 247247 - Equity Paybill Account Acc. 0796431137</t>
  </si>
  <si>
    <t xml:space="preserve">UEGA94H8SQ</t>
  </si>
  <si>
    <t xml:space="preserve">2026-05-16 16:49:36</t>
  </si>
  <si>
    <t xml:space="preserve">Customer Transfer to - 2547******271 Rose matimu</t>
  </si>
  <si>
    <t xml:space="preserve">UEGA94I97Y</t>
  </si>
  <si>
    <t xml:space="preserve">2026-05-16 19:28:15</t>
  </si>
  <si>
    <t xml:space="preserve">UEGA94IWZM</t>
  </si>
  <si>
    <t xml:space="preserve">2026-05-16 22:04:51</t>
  </si>
  <si>
    <t xml:space="preserve">UEHA94J92K</t>
  </si>
  <si>
    <t xml:space="preserve">2026-05-17 02:22:08</t>
  </si>
  <si>
    <t xml:space="preserve">UEHA94JE6C</t>
  </si>
  <si>
    <t xml:space="preserve">2026-05-17 08:13:05</t>
  </si>
  <si>
    <t xml:space="preserve">UEHA94JUWQ</t>
  </si>
  <si>
    <t xml:space="preserve">2026-05-17 10:16:10</t>
  </si>
  <si>
    <t xml:space="preserve">UEHA94KCZX</t>
  </si>
  <si>
    <t xml:space="preserve">2026-05-17 12:36:44</t>
  </si>
  <si>
    <t xml:space="preserve">UEHA94KZ4C</t>
  </si>
  <si>
    <t xml:space="preserve">2026-05-17 15:42:34</t>
  </si>
  <si>
    <t xml:space="preserve">UEHA94LVAZ</t>
  </si>
  <si>
    <t xml:space="preserve">2026-05-17 18:46:53</t>
  </si>
  <si>
    <t xml:space="preserve">UEHA94MKUL</t>
  </si>
  <si>
    <t xml:space="preserve">2026-05-17 21:33:23</t>
  </si>
  <si>
    <t xml:space="preserve">UEIA94N516</t>
  </si>
  <si>
    <t xml:space="preserve">2026-05-18 04:36:00</t>
  </si>
  <si>
    <t xml:space="preserve">UEIA94O4QF</t>
  </si>
  <si>
    <t xml:space="preserve">2026-05-18 12:15:49</t>
  </si>
  <si>
    <t xml:space="preserve">UEIA94PBOX</t>
  </si>
  <si>
    <t xml:space="preserve">2026-05-18 17:46:05</t>
  </si>
  <si>
    <t xml:space="preserve">UEIA94Q9GP</t>
  </si>
  <si>
    <t xml:space="preserve">2026-05-18 21:43:55</t>
  </si>
  <si>
    <t xml:space="preserve">UEJA94QNSW</t>
  </si>
  <si>
    <t xml:space="preserve">2026-05-19 04:38:53</t>
  </si>
  <si>
    <t xml:space="preserve">UEJA94RCTV</t>
  </si>
  <si>
    <t xml:space="preserve">2026-05-19 10:40:23</t>
  </si>
  <si>
    <t xml:space="preserve">UEJA94SAXW</t>
  </si>
  <si>
    <t xml:space="preserve">2026-05-19 15:50:16</t>
  </si>
  <si>
    <t xml:space="preserve">UEJA94SEX3</t>
  </si>
  <si>
    <t xml:space="preserve">2026-05-19 15:52:00</t>
  </si>
  <si>
    <t xml:space="preserve">UEJA94SMNQ</t>
  </si>
  <si>
    <t xml:space="preserve">2026-05-19 16:56:56</t>
  </si>
  <si>
    <t xml:space="preserve">UEJA94TPVJ</t>
  </si>
  <si>
    <t xml:space="preserve">2026-05-19 20:20:01</t>
  </si>
  <si>
    <t xml:space="preserve">UEJA94TY0J</t>
  </si>
  <si>
    <t xml:space="preserve">2026-05-19 21:31:22</t>
  </si>
  <si>
    <t xml:space="preserve">UEKA94UD2G</t>
  </si>
  <si>
    <t xml:space="preserve">2026-05-20 04:34:14</t>
  </si>
  <si>
    <t xml:space="preserve">UEKA94VESY</t>
  </si>
  <si>
    <t xml:space="preserve">2026-05-20 12:52:31</t>
  </si>
  <si>
    <t xml:space="preserve">UEKA94VWI6</t>
  </si>
  <si>
    <t xml:space="preserve">2026-05-20 14:22:05</t>
  </si>
  <si>
    <t xml:space="preserve">UEKA94XKCO</t>
  </si>
  <si>
    <t xml:space="preserve">2026-05-20 19:36:58</t>
  </si>
  <si>
    <t xml:space="preserve">UEKA94XSNU</t>
  </si>
  <si>
    <t xml:space="preserve">2026-05-20 20:39:59</t>
  </si>
  <si>
    <t xml:space="preserve">Customer Transfer to - 2547******442 PETER MAGANJO</t>
  </si>
  <si>
    <t xml:space="preserve">UEKA94XUNB</t>
  </si>
  <si>
    <t xml:space="preserve">2026-05-20 21:05:59</t>
  </si>
  <si>
    <t xml:space="preserve">UEKA94XZ67</t>
  </si>
  <si>
    <t xml:space="preserve">2026-05-20 21:23:09</t>
  </si>
  <si>
    <t xml:space="preserve">UEKA94Y2V6</t>
  </si>
  <si>
    <t xml:space="preserve">2026-05-20 21:23:50</t>
  </si>
  <si>
    <t xml:space="preserve">UELA94YIHJ</t>
  </si>
  <si>
    <t xml:space="preserve">2026-05-21 04:38:00</t>
  </si>
  <si>
    <t xml:space="preserve">UELA94Z757</t>
  </si>
  <si>
    <t xml:space="preserve">2026-05-21 10:28:36</t>
  </si>
  <si>
    <t xml:space="preserve">UELA94ZQCY</t>
  </si>
  <si>
    <t xml:space="preserve">2026-05-21 13:08:35</t>
  </si>
  <si>
    <t xml:space="preserve">UELA950IRF</t>
  </si>
  <si>
    <t xml:space="preserve">2026-05-21 16:15:01</t>
  </si>
  <si>
    <t xml:space="preserve">UELA952CV3</t>
  </si>
  <si>
    <t xml:space="preserve">2026-05-21 21:48:48</t>
  </si>
  <si>
    <t xml:space="preserve">UEMA952KNE</t>
  </si>
  <si>
    <t xml:space="preserve">2026-05-22 04:41:54</t>
  </si>
  <si>
    <t xml:space="preserve">UEQA95JSBC</t>
  </si>
  <si>
    <t xml:space="preserve">2026-05-26 11:12:22</t>
  </si>
  <si>
    <t xml:space="preserve">UEQA95JYI5</t>
  </si>
  <si>
    <t xml:space="preserve">2026-05-26 12:20:21</t>
  </si>
  <si>
    <t xml:space="preserve">UEQA95KJDZ</t>
  </si>
  <si>
    <t xml:space="preserve">2026-05-26 14:25:07</t>
  </si>
  <si>
    <t xml:space="preserve">UEQA95KTAC</t>
  </si>
  <si>
    <t xml:space="preserve">2026-05-26 16:11:09</t>
  </si>
  <si>
    <t xml:space="preserve">UEQA95LK6T</t>
  </si>
  <si>
    <t xml:space="preserve">2026-05-26 18:01:14</t>
  </si>
  <si>
    <t xml:space="preserve">UEQA95M5VN</t>
  </si>
  <si>
    <t xml:space="preserve">2026-05-26 19:30:34</t>
  </si>
  <si>
    <t xml:space="preserve">UEQA95MFKY</t>
  </si>
  <si>
    <t xml:space="preserve">2026-05-26 20:31:27</t>
  </si>
  <si>
    <t xml:space="preserve">UERA95N491</t>
  </si>
  <si>
    <t xml:space="preserve">2026-05-27 03:29:03</t>
  </si>
  <si>
    <t xml:space="preserve">UERA95N9TL</t>
  </si>
  <si>
    <t xml:space="preserve">2026-05-27 08:56:03</t>
  </si>
  <si>
    <t xml:space="preserve">UERA95NW1L</t>
  </si>
  <si>
    <t xml:space="preserve">2026-05-27 11:01:23</t>
  </si>
  <si>
    <t xml:space="preserve">UERA95OLSC</t>
  </si>
  <si>
    <t xml:space="preserve">2026-05-27 13:37:00</t>
  </si>
  <si>
    <t xml:space="preserve">UERA95OLT2</t>
  </si>
  <si>
    <t xml:space="preserve">2026-05-27 13:37:49</t>
  </si>
  <si>
    <t xml:space="preserve">UERA95OQ8C</t>
  </si>
  <si>
    <t xml:space="preserve">2026-05-27 15:31:30</t>
  </si>
  <si>
    <t xml:space="preserve">UERA95PKYT</t>
  </si>
  <si>
    <t xml:space="preserve">2026-05-27 18:28:37</t>
  </si>
  <si>
    <t xml:space="preserve">UERA95QAY8</t>
  </si>
  <si>
    <t xml:space="preserve">2026-05-27 20:11:59</t>
  </si>
  <si>
    <t xml:space="preserve">UERA95QU20</t>
  </si>
  <si>
    <t xml:space="preserve">2026-05-27 21:42:29</t>
  </si>
  <si>
    <t xml:space="preserve">UESA95R2C3</t>
  </si>
  <si>
    <t xml:space="preserve">2026-05-28 04:39:06</t>
  </si>
  <si>
    <t xml:space="preserve">UESA95RRYG</t>
  </si>
  <si>
    <t xml:space="preserve">2026-05-28 09:30:59</t>
  </si>
  <si>
    <t xml:space="preserve">UESA95SQ0C</t>
  </si>
  <si>
    <t xml:space="preserve">2026-05-28 13:53:07</t>
  </si>
  <si>
    <t xml:space="preserve">UESA95T1C0</t>
  </si>
  <si>
    <t xml:space="preserve">2026-05-28 15:44:10</t>
  </si>
  <si>
    <t xml:space="preserve">UESA95UA3L</t>
  </si>
  <si>
    <t xml:space="preserve">2026-05-28 19:31:49</t>
  </si>
  <si>
    <t xml:space="preserve">UESA95UW6B</t>
  </si>
  <si>
    <t xml:space="preserve">2026-05-28 21:53:17</t>
  </si>
  <si>
    <t xml:space="preserve">UETA95V0X2</t>
  </si>
  <si>
    <t xml:space="preserve">2026-05-29 04:31:21</t>
  </si>
  <si>
    <t xml:space="preserve">UETA95WN4B</t>
  </si>
  <si>
    <t xml:space="preserve">2026-05-29 13:31:00</t>
  </si>
  <si>
    <t xml:space="preserve">UETA95WVV6</t>
  </si>
  <si>
    <t xml:space="preserve">2026-05-29 14:22:39</t>
  </si>
  <si>
    <t xml:space="preserve">UETA95WW8T</t>
  </si>
  <si>
    <t xml:space="preserve">2026-05-29 14:40:00</t>
  </si>
  <si>
    <t xml:space="preserve">UETA95WWV3</t>
  </si>
  <si>
    <t xml:space="preserve">2026-05-29 15:11:40</t>
  </si>
  <si>
    <t xml:space="preserve">UETA95WVED</t>
  </si>
  <si>
    <t xml:space="preserve">2026-05-29 15:13:29</t>
  </si>
  <si>
    <t xml:space="preserve">Merchant Payment Online to 551936 - MAGUNAS USHIRIKA</t>
  </si>
  <si>
    <t xml:space="preserve">UETA95XDJC</t>
  </si>
  <si>
    <t xml:space="preserve">2026-05-29 16:51:56</t>
  </si>
  <si>
    <t xml:space="preserve">UETA95Y4JV</t>
  </si>
  <si>
    <t xml:space="preserve">2026-05-29 18:41:35</t>
  </si>
  <si>
    <t xml:space="preserve">UETA95YOWU</t>
  </si>
  <si>
    <t xml:space="preserve">2026-05-29 20:14:44</t>
  </si>
  <si>
    <t xml:space="preserve">UETA95Z903</t>
  </si>
  <si>
    <t xml:space="preserve">2026-05-29 22:49:05</t>
  </si>
  <si>
    <t xml:space="preserve">UEUA961CB2</t>
  </si>
  <si>
    <t xml:space="preserve">2026-05-30 15:15:53</t>
  </si>
  <si>
    <t xml:space="preserve">UEUA962Q7E</t>
  </si>
  <si>
    <t xml:space="preserve">2026-05-30 19:33:44</t>
  </si>
  <si>
    <t xml:space="preserve">UEVA963N9C</t>
  </si>
  <si>
    <t xml:space="preserve">2026-05-31 04:02:49</t>
  </si>
  <si>
    <t xml:space="preserve">M-PESA Financial Dashboard|Jan – May 2026</t>
  </si>
  <si>
    <t xml:space="preserve">Total Money In</t>
  </si>
  <si>
    <t xml:space="preserve">Net Position </t>
  </si>
  <si>
    <t xml:space="preserve">SPENDING BY CATEGORY</t>
  </si>
  <si>
    <t xml:space="preserve">MONTHLY BREAKDOWN</t>
  </si>
  <si>
    <t xml:space="preserve">Money In </t>
  </si>
  <si>
    <t xml:space="preserve">Jan 2026</t>
  </si>
  <si>
    <t xml:space="preserve">Feb 2026</t>
  </si>
  <si>
    <t xml:space="preserve">Mar 2026</t>
  </si>
  <si>
    <t xml:space="preserve">Apr 2026</t>
  </si>
  <si>
    <t xml:space="preserve">May 2026</t>
  </si>
  <si>
    <t xml:space="preserve">Jun 2026</t>
  </si>
  <si>
    <t xml:space="preserve">Total Money </t>
  </si>
</sst>
</file>

<file path=xl/styles.xml><?xml version="1.0" encoding="utf-8"?>
<styleSheet xmlns="http://schemas.openxmlformats.org/spreadsheetml/2006/main">
  <numFmts count="3">
    <numFmt numFmtId="164" formatCode="General"/>
    <numFmt numFmtId="165" formatCode="mm/dd/yy\ hh:mm\ AM/PM"/>
    <numFmt numFmtId="166" formatCode="mm/dd/yy"/>
  </numFmts>
  <fonts count="10">
    <font>
      <sz val="11"/>
      <color theme="1"/>
      <name val="Calibri"/>
      <family val="2"/>
      <charset val="1"/>
    </font>
    <font>
      <sz val="10"/>
      <name val="Arial"/>
      <family val="0"/>
    </font>
    <font>
      <sz val="10"/>
      <name val="Arial"/>
      <family val="0"/>
    </font>
    <font>
      <sz val="10"/>
      <name val="Arial"/>
      <family val="0"/>
    </font>
    <font>
      <b val="true"/>
      <sz val="11"/>
      <color theme="1"/>
      <name val="Calibri"/>
      <family val="0"/>
      <charset val="1"/>
    </font>
    <font>
      <sz val="11"/>
      <color theme="1"/>
      <name val="Aptos Narrow"/>
      <family val="0"/>
      <charset val="1"/>
    </font>
    <font>
      <sz val="14"/>
      <color rgb="FF595959"/>
      <name val="Calibri"/>
      <family val="2"/>
    </font>
    <font>
      <sz val="9"/>
      <color rgb="FF404040"/>
      <name val="Calibri"/>
      <family val="2"/>
    </font>
    <font>
      <sz val="9"/>
      <color rgb="FF595959"/>
      <name val="Calibri"/>
      <family val="2"/>
    </font>
    <font>
      <sz val="10"/>
      <name val="Arial"/>
      <family val="2"/>
    </font>
  </fonts>
  <fills count="3">
    <fill>
      <patternFill patternType="none"/>
    </fill>
    <fill>
      <patternFill patternType="gray125"/>
    </fill>
    <fill>
      <patternFill patternType="solid">
        <fgColor rgb="FFE0E0E0"/>
        <bgColor rgb="FFD9D9D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0E0E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4F81BD"/>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D320"/>
      <rgbColor rgb="FFFF9900"/>
      <rgbColor rgb="FFFF420E"/>
      <rgbColor rgb="FF595959"/>
      <rgbColor rgb="FF969696"/>
      <rgbColor rgb="FF00458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M-pesa Spending Breakdown</a:t>
            </a:r>
          </a:p>
        </c:rich>
      </c:tx>
      <c:overlay val="0"/>
      <c:spPr>
        <a:noFill/>
        <a:ln w="0">
          <a:noFill/>
        </a:ln>
      </c:spPr>
    </c:title>
    <c:autoTitleDeleted val="0"/>
    <c:plotArea>
      <c:barChart>
        <c:barDir val="bar"/>
        <c:grouping val="stacked"/>
        <c:varyColors val="0"/>
        <c:ser>
          <c:idx val="0"/>
          <c:order val="0"/>
          <c:tx>
            <c:strRef>
              <c:f>Data!$O$1</c:f>
              <c:strCache>
                <c:ptCount val="1"/>
                <c:pt idx="0">
                  <c:v>Money Out</c:v>
                </c:pt>
              </c:strCache>
            </c:strRef>
          </c:tx>
          <c:spPr>
            <a:solidFill>
              <a:srgbClr val="4F81BD"/>
            </a:solidFill>
            <a:ln w="12600">
              <a:noFill/>
            </a:ln>
          </c:spPr>
          <c:invertIfNegative val="0"/>
          <c:dLbls>
            <c:numFmt formatCode="General" sourceLinked="1"/>
            <c:txPr>
              <a:bodyPr wrap="square"/>
              <a:lstStyle/>
              <a:p>
                <a:pPr>
                  <a:defRPr sz="900" b="0" u="none" strike="noStrike">
                    <a:solidFill>
                      <a:srgbClr val="404040"/>
                    </a:solidFill>
                    <a:uFillTx/>
                    <a:latin typeface="Calibri"/>
                    <a:ea typeface="DejaVu Sans"/>
                  </a:defRPr>
                </a:pPr>
              </a:p>
            </c:txPr>
            <c:dLblPos val="inEnd"/>
            <c:showLegendKey val="0"/>
            <c:showVal val="1"/>
            <c:showCatName val="0"/>
            <c:showSerName val="0"/>
            <c:showPercent val="0"/>
            <c:separator>; </c:separator>
            <c:extLst>
              <c:ext xmlns:c15="http://schemas.microsoft.com/office/drawing/2012/chart" uri="{CE6537A1-D6FC-4f65-9D91-7224C49458BB}">
                <c15:showLeaderLines val="1"/>
              </c:ext>
            </c:extLst>
          </c:dLbls>
          <c:cat>
            <c:strRef>
              <c:f>Data!$N$2:$N$7</c:f>
              <c:strCache>
                <c:ptCount val="6"/>
                <c:pt idx="0">
                  <c:v>Bundles</c:v>
                </c:pt>
                <c:pt idx="1">
                  <c:v>Merchant Payment</c:v>
                </c:pt>
                <c:pt idx="2">
                  <c:v>Paybill</c:v>
                </c:pt>
                <c:pt idx="3">
                  <c:v>Money In</c:v>
                </c:pt>
                <c:pt idx="4">
                  <c:v>Fees</c:v>
                </c:pt>
                <c:pt idx="5">
                  <c:v>Sent to Person</c:v>
                </c:pt>
              </c:strCache>
            </c:strRef>
          </c:cat>
          <c:val>
            <c:numRef>
              <c:f>Data!$O$2:$O$7</c:f>
              <c:numCache>
                <c:formatCode>General</c:formatCode>
                <c:ptCount val="6"/>
                <c:pt idx="0">
                  <c:v>11302</c:v>
                </c:pt>
                <c:pt idx="1">
                  <c:v>36852</c:v>
                </c:pt>
                <c:pt idx="2">
                  <c:v>16212</c:v>
                </c:pt>
                <c:pt idx="4">
                  <c:v>1780</c:v>
                </c:pt>
                <c:pt idx="5">
                  <c:v>25295</c:v>
                </c:pt>
              </c:numCache>
            </c:numRef>
          </c:val>
        </c:ser>
        <c:gapWidth val="150"/>
        <c:overlap val="100"/>
        <c:axId val="468744"/>
        <c:axId val="29105740"/>
      </c:barChart>
      <c:catAx>
        <c:axId val="46874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29105740"/>
        <c:crosses val="autoZero"/>
        <c:auto val="1"/>
        <c:lblAlgn val="ctr"/>
        <c:lblOffset val="100"/>
        <c:noMultiLvlLbl val="0"/>
      </c:catAx>
      <c:valAx>
        <c:axId val="2910574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468744"/>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'Dashboard '!$C$9</c:f>
              <c:strCache>
                <c:ptCount val="1"/>
                <c:pt idx="0">
                  <c:v/>
                </c:pt>
              </c:strCache>
            </c:strRef>
          </c:tx>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 '!$B$10:$B$24</c:f>
              <c:strCache>
                <c:ptCount val="15"/>
                <c:pt idx="0">
                  <c:v/>
                </c:pt>
                <c:pt idx="1">
                  <c:v/>
                </c:pt>
                <c:pt idx="2">
                  <c:v/>
                </c:pt>
                <c:pt idx="3">
                  <c:v/>
                </c:pt>
                <c:pt idx="4">
                  <c:v/>
                </c:pt>
                <c:pt idx="5">
                  <c:v/>
                </c:pt>
                <c:pt idx="6">
                  <c:v/>
                </c:pt>
                <c:pt idx="7">
                  <c:v>MONTHLY BREAKDOWN</c:v>
                </c:pt>
                <c:pt idx="8">
                  <c:v>Jan 2026</c:v>
                </c:pt>
                <c:pt idx="9">
                  <c:v>Feb 2026</c:v>
                </c:pt>
                <c:pt idx="10">
                  <c:v>Mar 2026</c:v>
                </c:pt>
                <c:pt idx="11">
                  <c:v>Apr 2026</c:v>
                </c:pt>
                <c:pt idx="12">
                  <c:v>May 2026</c:v>
                </c:pt>
                <c:pt idx="13">
                  <c:v>Jun 2026</c:v>
                </c:pt>
                <c:pt idx="14">
                  <c:v>Total Money </c:v>
                </c:pt>
              </c:strCache>
            </c:strRef>
          </c:cat>
          <c:val>
            <c:numRef>
              <c:f>'Dashboard '!$C$10:$C$24</c:f>
              <c:numCache>
                <c:formatCode>General</c:formatCode>
                <c:ptCount val="15"/>
                <c:pt idx="0">
                  <c:v>11302</c:v>
                </c:pt>
                <c:pt idx="1">
                  <c:v>36852</c:v>
                </c:pt>
                <c:pt idx="2">
                  <c:v>16212</c:v>
                </c:pt>
                <c:pt idx="3">
                  <c:v>25295</c:v>
                </c:pt>
                <c:pt idx="4">
                  <c:v>1780</c:v>
                </c:pt>
                <c:pt idx="5">
                  <c:v>42300</c:v>
                </c:pt>
                <c:pt idx="6">
                  <c:v>27313.22</c:v>
                </c:pt>
                <c:pt idx="8">
                  <c:v>23948</c:v>
                </c:pt>
                <c:pt idx="9">
                  <c:v>49631</c:v>
                </c:pt>
                <c:pt idx="10">
                  <c:v>35435</c:v>
                </c:pt>
                <c:pt idx="11">
                  <c:v>31579</c:v>
                </c:pt>
                <c:pt idx="12">
                  <c:v>23720</c:v>
                </c:pt>
                <c:pt idx="13">
                  <c:v>807.13</c:v>
                </c:pt>
                <c:pt idx="14">
                  <c:v>165120.13</c:v>
                </c:pt>
              </c:numCache>
            </c:numRef>
          </c:val>
        </c:ser>
        <c:ser>
          <c:idx val="1"/>
          <c:order val="1"/>
          <c:tx>
            <c:strRef>
              <c:f>'Dashboard '!$D$9</c:f>
              <c:strCache>
                <c:ptCount val="1"/>
                <c:pt idx="0">
                  <c:v/>
                </c:pt>
              </c:strCache>
            </c:strRef>
          </c:tx>
          <c:spPr>
            <a:solidFill>
              <a:srgbClr val="FF420E"/>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 '!$B$10:$B$24</c:f>
              <c:strCache>
                <c:ptCount val="15"/>
                <c:pt idx="0">
                  <c:v/>
                </c:pt>
                <c:pt idx="1">
                  <c:v/>
                </c:pt>
                <c:pt idx="2">
                  <c:v/>
                </c:pt>
                <c:pt idx="3">
                  <c:v/>
                </c:pt>
                <c:pt idx="4">
                  <c:v/>
                </c:pt>
                <c:pt idx="5">
                  <c:v/>
                </c:pt>
                <c:pt idx="6">
                  <c:v/>
                </c:pt>
                <c:pt idx="7">
                  <c:v>MONTHLY BREAKDOWN</c:v>
                </c:pt>
                <c:pt idx="8">
                  <c:v>Jan 2026</c:v>
                </c:pt>
                <c:pt idx="9">
                  <c:v>Feb 2026</c:v>
                </c:pt>
                <c:pt idx="10">
                  <c:v>Mar 2026</c:v>
                </c:pt>
                <c:pt idx="11">
                  <c:v>Apr 2026</c:v>
                </c:pt>
                <c:pt idx="12">
                  <c:v>May 2026</c:v>
                </c:pt>
                <c:pt idx="13">
                  <c:v>Jun 2026</c:v>
                </c:pt>
                <c:pt idx="14">
                  <c:v>Total Money </c:v>
                </c:pt>
              </c:strCache>
            </c:strRef>
          </c:cat>
          <c:val>
            <c:numRef>
              <c:f>'Dashboard '!$D$10:$D$24</c:f>
              <c:numCache>
                <c:formatCode>General</c:formatCode>
                <c:ptCount val="15"/>
                <c:pt idx="8">
                  <c:v>21552</c:v>
                </c:pt>
                <c:pt idx="9">
                  <c:v>47979</c:v>
                </c:pt>
                <c:pt idx="10">
                  <c:v>35418.22</c:v>
                </c:pt>
                <c:pt idx="11">
                  <c:v>31669</c:v>
                </c:pt>
                <c:pt idx="12">
                  <c:v>22867</c:v>
                </c:pt>
                <c:pt idx="13">
                  <c:v>2007</c:v>
                </c:pt>
                <c:pt idx="14">
                  <c:v>161492.22</c:v>
                </c:pt>
              </c:numCache>
            </c:numRef>
          </c:val>
        </c:ser>
        <c:ser>
          <c:idx val="2"/>
          <c:order val="2"/>
          <c:tx>
            <c:strRef>
              <c:f>'Dashboard '!$E$9</c:f>
              <c:strCache>
                <c:ptCount val="1"/>
                <c:pt idx="0">
                  <c:v/>
                </c:pt>
              </c:strCache>
            </c:strRef>
          </c:tx>
          <c:spPr>
            <a:solidFill>
              <a:srgbClr val="FFD320"/>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 '!$B$10:$B$24</c:f>
              <c:strCache>
                <c:ptCount val="15"/>
                <c:pt idx="0">
                  <c:v/>
                </c:pt>
                <c:pt idx="1">
                  <c:v/>
                </c:pt>
                <c:pt idx="2">
                  <c:v/>
                </c:pt>
                <c:pt idx="3">
                  <c:v/>
                </c:pt>
                <c:pt idx="4">
                  <c:v/>
                </c:pt>
                <c:pt idx="5">
                  <c:v/>
                </c:pt>
                <c:pt idx="6">
                  <c:v/>
                </c:pt>
                <c:pt idx="7">
                  <c:v>MONTHLY BREAKDOWN</c:v>
                </c:pt>
                <c:pt idx="8">
                  <c:v>Jan 2026</c:v>
                </c:pt>
                <c:pt idx="9">
                  <c:v>Feb 2026</c:v>
                </c:pt>
                <c:pt idx="10">
                  <c:v>Mar 2026</c:v>
                </c:pt>
                <c:pt idx="11">
                  <c:v>Apr 2026</c:v>
                </c:pt>
                <c:pt idx="12">
                  <c:v>May 2026</c:v>
                </c:pt>
                <c:pt idx="13">
                  <c:v>Jun 2026</c:v>
                </c:pt>
                <c:pt idx="14">
                  <c:v>Total Money </c:v>
                </c:pt>
              </c:strCache>
            </c:strRef>
          </c:cat>
          <c:val>
            <c:numRef>
              <c:f>'Dashboard '!$E$10:$E$24</c:f>
              <c:numCache>
                <c:formatCode>General</c:formatCode>
                <c:ptCount val="15"/>
                <c:pt idx="8">
                  <c:v>2396</c:v>
                </c:pt>
                <c:pt idx="9">
                  <c:v>1652</c:v>
                </c:pt>
                <c:pt idx="10">
                  <c:v>16.7799999999988</c:v>
                </c:pt>
                <c:pt idx="11">
                  <c:v>-90</c:v>
                </c:pt>
                <c:pt idx="12">
                  <c:v>853</c:v>
                </c:pt>
              </c:numCache>
            </c:numRef>
          </c:val>
        </c:ser>
        <c:gapWidth val="100"/>
        <c:overlap val="0"/>
        <c:axId val="85277383"/>
        <c:axId val="19112360"/>
      </c:barChart>
      <c:catAx>
        <c:axId val="85277383"/>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19112360"/>
        <c:crosses val="autoZero"/>
        <c:auto val="1"/>
        <c:lblAlgn val="ctr"/>
        <c:lblOffset val="100"/>
        <c:noMultiLvlLbl val="0"/>
      </c:catAx>
      <c:valAx>
        <c:axId val="19112360"/>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85277383"/>
        <c:crosses val="autoZero"/>
        <c:crossBetween val="between"/>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p>
      </c:txPr>
    </c:legend>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19080</xdr:colOff>
      <xdr:row>40</xdr:row>
      <xdr:rowOff>57240</xdr:rowOff>
    </xdr:from>
    <xdr:to>
      <xdr:col>37</xdr:col>
      <xdr:colOff>322920</xdr:colOff>
      <xdr:row>54</xdr:row>
      <xdr:rowOff>132480</xdr:rowOff>
    </xdr:to>
    <xdr:graphicFrame>
      <xdr:nvGraphicFramePr>
        <xdr:cNvPr id="1" name="Chart 2"/>
        <xdr:cNvGraphicFramePr/>
      </xdr:nvGraphicFramePr>
      <xdr:xfrm>
        <a:off x="22599720" y="7067520"/>
        <a:ext cx="4473360" cy="2529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29</xdr:row>
      <xdr:rowOff>0</xdr:rowOff>
    </xdr:from>
    <xdr:to>
      <xdr:col>18</xdr:col>
      <xdr:colOff>4320</xdr:colOff>
      <xdr:row>30</xdr:row>
      <xdr:rowOff>7200</xdr:rowOff>
    </xdr:to>
    <xdr:pic>
      <xdr:nvPicPr>
        <xdr:cNvPr id="2" name="Image 2"/>
        <xdr:cNvPicPr/>
      </xdr:nvPicPr>
      <xdr:blipFill>
        <a:blip r:embed="rId2"/>
        <a:stretch/>
      </xdr:blipFill>
      <xdr:spPr>
        <a:xfrm>
          <a:off x="14837400" y="5082480"/>
          <a:ext cx="600120" cy="182520"/>
        </a:xfrm>
        <a:prstGeom prst="rect">
          <a:avLst/>
        </a:prstGeom>
        <a:noFill/>
        <a:ln w="0">
          <a:noFill/>
        </a:ln>
      </xdr:spPr>
    </xdr:pic>
    <xdr:clientData/>
  </xdr:twoCellAnchor>
  <xdr:twoCellAnchor editAs="oneCell">
    <xdr:from>
      <xdr:col>17</xdr:col>
      <xdr:colOff>0</xdr:colOff>
      <xdr:row>28</xdr:row>
      <xdr:rowOff>0</xdr:rowOff>
    </xdr:from>
    <xdr:to>
      <xdr:col>18</xdr:col>
      <xdr:colOff>4320</xdr:colOff>
      <xdr:row>29</xdr:row>
      <xdr:rowOff>7200</xdr:rowOff>
    </xdr:to>
    <xdr:pic>
      <xdr:nvPicPr>
        <xdr:cNvPr id="3" name="Image 1"/>
        <xdr:cNvPicPr/>
      </xdr:nvPicPr>
      <xdr:blipFill>
        <a:blip r:embed="rId3"/>
        <a:stretch/>
      </xdr:blipFill>
      <xdr:spPr>
        <a:xfrm>
          <a:off x="14837400" y="4907160"/>
          <a:ext cx="600120" cy="182520"/>
        </a:xfrm>
        <a:prstGeom prst="rect">
          <a:avLst/>
        </a:prstGeom>
        <a:noFill/>
        <a:ln w="0">
          <a:noFill/>
        </a:ln>
      </xdr:spPr>
    </xdr:pic>
    <xdr:clientData/>
  </xdr:twoCellAnchor>
  <xdr:twoCellAnchor editAs="oneCell">
    <xdr:from>
      <xdr:col>17</xdr:col>
      <xdr:colOff>0</xdr:colOff>
      <xdr:row>27</xdr:row>
      <xdr:rowOff>0</xdr:rowOff>
    </xdr:from>
    <xdr:to>
      <xdr:col>18</xdr:col>
      <xdr:colOff>4320</xdr:colOff>
      <xdr:row>28</xdr:row>
      <xdr:rowOff>7560</xdr:rowOff>
    </xdr:to>
    <xdr:pic>
      <xdr:nvPicPr>
        <xdr:cNvPr id="4" name="Image 3"/>
        <xdr:cNvPicPr/>
      </xdr:nvPicPr>
      <xdr:blipFill>
        <a:blip r:embed="rId4"/>
        <a:stretch/>
      </xdr:blipFill>
      <xdr:spPr>
        <a:xfrm>
          <a:off x="14837400" y="4732200"/>
          <a:ext cx="600120" cy="1825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208800</xdr:colOff>
      <xdr:row>5</xdr:row>
      <xdr:rowOff>77040</xdr:rowOff>
    </xdr:from>
    <xdr:to>
      <xdr:col>15</xdr:col>
      <xdr:colOff>278640</xdr:colOff>
      <xdr:row>23</xdr:row>
      <xdr:rowOff>162000</xdr:rowOff>
    </xdr:to>
    <xdr:graphicFrame>
      <xdr:nvGraphicFramePr>
        <xdr:cNvPr id="5" name=""/>
        <xdr:cNvGraphicFramePr/>
      </xdr:nvGraphicFramePr>
      <xdr:xfrm>
        <a:off x="6711120" y="9532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69"/>
  <sheetViews>
    <sheetView showFormulas="false" showGridLines="true" showRowColHeaders="true" showZeros="true" rightToLeft="false" tabSelected="false" showOutlineSymbols="true" defaultGridColor="true" view="normal" topLeftCell="H1" colorId="64" zoomScale="110" zoomScaleNormal="110" zoomScalePageLayoutView="100" workbookViewId="0">
      <selection pane="topLeft" activeCell="V912" activeCellId="0" sqref="V912"/>
    </sheetView>
  </sheetViews>
  <sheetFormatPr defaultColWidth="8.453125" defaultRowHeight="12.8" customHeight="false"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40"/>
    <col collapsed="false" customWidth="true" hidden="false" outlineLevel="0" max="4" min="4" style="1" width="18"/>
    <col collapsed="false" customWidth="true" hidden="false" outlineLevel="0" max="7" min="5" style="1" width="12"/>
  </cols>
  <sheetData>
    <row r="1" s="3" customFormat="true" ht="13.8" hidden="false" customHeight="false" outlineLevel="0" collapsed="false">
      <c r="A1" s="2" t="s">
        <v>0</v>
      </c>
      <c r="B1" s="2" t="s">
        <v>1</v>
      </c>
      <c r="C1" s="2" t="s">
        <v>2</v>
      </c>
      <c r="D1" s="2" t="s">
        <v>3</v>
      </c>
      <c r="E1" s="2" t="s">
        <v>4</v>
      </c>
      <c r="F1" s="2" t="s">
        <v>5</v>
      </c>
      <c r="G1" s="2" t="s">
        <v>6</v>
      </c>
      <c r="I1" s="3" t="s">
        <v>7</v>
      </c>
      <c r="J1" s="3" t="s">
        <v>8</v>
      </c>
      <c r="K1" s="3" t="s">
        <v>9</v>
      </c>
      <c r="L1" s="3" t="s">
        <v>10</v>
      </c>
      <c r="N1" s="3" t="s">
        <v>10</v>
      </c>
      <c r="O1" s="3" t="s">
        <v>11</v>
      </c>
      <c r="P1" s="3" t="s">
        <v>12</v>
      </c>
      <c r="Q1" s="3" t="s">
        <v>13</v>
      </c>
      <c r="R1" s="3" t="s">
        <v>14</v>
      </c>
      <c r="S1" s="3" t="s">
        <v>14</v>
      </c>
      <c r="T1" s="3" t="s">
        <v>11</v>
      </c>
      <c r="U1" s="3" t="s">
        <v>15</v>
      </c>
    </row>
    <row r="2" customFormat="false" ht="13.8" hidden="false" customHeight="false" outlineLevel="0" collapsed="false">
      <c r="A2" s="4" t="s">
        <v>16</v>
      </c>
      <c r="B2" s="5" t="n">
        <v>46033.8278356481</v>
      </c>
      <c r="C2" s="4" t="s">
        <v>17</v>
      </c>
      <c r="D2" s="4" t="s">
        <v>18</v>
      </c>
      <c r="E2" s="4"/>
      <c r="F2" s="4" t="n">
        <v>20</v>
      </c>
      <c r="G2" s="4" t="n">
        <v>2620</v>
      </c>
      <c r="I2" s="1" t="n">
        <f aca="false">SUM(F:F)</f>
        <v>161561.22</v>
      </c>
      <c r="J2" s="1" t="n">
        <f aca="false">SUM(E:E)</f>
        <v>165120.13</v>
      </c>
      <c r="K2" s="1" t="n">
        <f aca="false">I2-J2</f>
        <v>-3558.91</v>
      </c>
      <c r="L2" s="1" t="str">
        <f aca="false">IF(ISNUMBER(SEARCH("Bundle",C2)),"Bundles",IF(ISNUMBER(SEARCH("Airtime",C2)),"Bundles",IF(ISNUMBER(SEARCH("Merchant",C2)),"Merchant Payment",IF(ISNUMBER(SEARCH("Offnet C2B",C2)),"Merchant Payment",IF(ISNUMBER(SEARCH("Offnet B2C",C2)),"Merchant Payment",IF(ISNUMBER(SEARCH("Customer Payment to Small",C2)),"Merchant Payment",IF(ISNUMBER(SEARCH("Payment to Small Business",C2)),"Merchant Payment",IF(ISNUMBER(SEARCH("Sent to",C2)),"Sent to Person",IF(ISNUMBER(SEARCH("Customer Transfer to",C2)),"Sent to Person",IF(ISNUMBER(SEARCH("Business Payment",C2)),"Money In",IF(ISNUMBER(SEARCH("Funds Received",C2)),"Money In",IF(ISNUMBER(SEARCH("Receive International",C2)),"Money In",IF(ISNUMBER(SEARCH("Send Money Reversal",C2)),"Money In",IF(ISNUMBER(SEARCH("Pay Utility Reversal",C2)),"Money In",IF(ISNUMBER(SEARCH("Customer Transfer",C2)),"Money In",IF(ISNUMBER(SEARCH("Ziidi",C2)),"Investment",IF(ISNUMBER(SEARCH("Nabo",C2)),"Investment",IF(ISNUMBER(SEARCH("Paybill Online",C2)),"Pay Bill",IF(ISNUMBER(SEARCH("Pay Bill",C2)),"Pay Bill",IF(ISNUMBER(SEARCH("Spotify",C2)),"Pay Bill",IF(ISNUMBER(SEARCH("M-Shwari",C2)),"Mshwari",IF(ISNUMBER(SEARCH("Mshwari",C2)),"Mshwari",IF(ISNUMBER(SEARCH("Withdrawal charge",C2)),"Fees",IF(ISNUMBER(SEARCH("Customer Withdrawal",C2)),"Fees",IF(ISNUMBER(SEARCH("charge",C2)),"Fees","Other")))))))))))))))))))))))))</f>
        <v>Bundles</v>
      </c>
      <c r="N2" s="1" t="s">
        <v>19</v>
      </c>
      <c r="O2" s="1" t="n">
        <f aca="false">SUMIF(L:L,"Bundles",F:F)</f>
        <v>11302</v>
      </c>
      <c r="R2" s="1" t="str">
        <f aca="false">TEXT(B2,"MMM YYYY")</f>
        <v>Jan 2026</v>
      </c>
      <c r="S2" s="6" t="n">
        <v>46023</v>
      </c>
      <c r="T2" s="7" t="n">
        <f aca="false">SUMIF(R:R,"Jan 2026",F:F)</f>
        <v>21552</v>
      </c>
      <c r="U2" s="7" t="n">
        <f aca="false">SUMIF(R:R,"Jan 2026",E:E)</f>
        <v>23948</v>
      </c>
      <c r="Z2" s="1" t="n">
        <f aca="false">SUM(E2:E10)</f>
        <v>0</v>
      </c>
    </row>
    <row r="3" customFormat="false" ht="13.8" hidden="false" customHeight="false" outlineLevel="0" collapsed="false">
      <c r="A3" s="4" t="s">
        <v>20</v>
      </c>
      <c r="B3" s="5" t="n">
        <v>46033.8278356481</v>
      </c>
      <c r="C3" s="4" t="s">
        <v>21</v>
      </c>
      <c r="D3" s="4" t="s">
        <v>18</v>
      </c>
      <c r="E3" s="4"/>
      <c r="F3" s="4" t="n">
        <v>40</v>
      </c>
      <c r="G3" s="4" t="n">
        <v>2580</v>
      </c>
      <c r="K3" s="1" t="n">
        <f aca="false">I3-J3</f>
        <v>0</v>
      </c>
      <c r="L3" s="1" t="str">
        <f aca="false">IF(ISNUMBER(SEARCH("Bundle",C3)),"Bundles",IF(ISNUMBER(SEARCH("Airtime",C3)),"Bundles",IF(ISNUMBER(SEARCH("Merchant",C3)),"Merchant Payment",IF(ISNUMBER(SEARCH("Offnet C2B",C3)),"Merchant Payment",IF(ISNUMBER(SEARCH("Offnet B2C",C3)),"Merchant Payment",IF(ISNUMBER(SEARCH("Customer Payment to Small",C3)),"Merchant Payment",IF(ISNUMBER(SEARCH("Payment to Small Business",C3)),"Merchant Payment",IF(ISNUMBER(SEARCH("Sent to",C3)),"Sent to Person",IF(ISNUMBER(SEARCH("Customer Transfer to",C3)),"Sent to Person",IF(ISNUMBER(SEARCH("Business Payment",C3)),"Money In",IF(ISNUMBER(SEARCH("Funds Received",C3)),"Money In",IF(ISNUMBER(SEARCH("Receive International",C3)),"Money In",IF(ISNUMBER(SEARCH("Send Money Reversal",C3)),"Money In",IF(ISNUMBER(SEARCH("Pay Utility Reversal",C3)),"Money In",IF(ISNUMBER(SEARCH("Customer Transfer",C3)),"Money In",IF(ISNUMBER(SEARCH("Ziidi",C3)),"Investment",IF(ISNUMBER(SEARCH("Nabo",C3)),"Investment",IF(ISNUMBER(SEARCH("Paybill Online",C3)),"Pay Bill",IF(ISNUMBER(SEARCH("Pay Bill",C3)),"Pay Bill",IF(ISNUMBER(SEARCH("Spotify",C3)),"Pay Bill",IF(ISNUMBER(SEARCH("M-Shwari",C3)),"Mshwari",IF(ISNUMBER(SEARCH("Mshwari",C3)),"Mshwari",IF(ISNUMBER(SEARCH("Withdrawal charge",C3)),"Fees",IF(ISNUMBER(SEARCH("Customer Withdrawal",C3)),"Fees",IF(ISNUMBER(SEARCH("charge",C3)),"Fees","Other")))))))))))))))))))))))))</f>
        <v>Merchant Payment</v>
      </c>
      <c r="N3" s="1" t="s">
        <v>22</v>
      </c>
      <c r="O3" s="1" t="n">
        <f aca="false">SUMIF(L:L,"Merchant Payment",F:F)</f>
        <v>36852</v>
      </c>
      <c r="R3" s="1" t="str">
        <f aca="false">TEXT(B2,"MMM YYYY")</f>
        <v>Jan 2026</v>
      </c>
      <c r="S3" s="6" t="n">
        <v>46054</v>
      </c>
      <c r="T3" s="1" t="n">
        <f aca="false">SUMIF(R:R,"Feb 2026",F:F)</f>
        <v>47979</v>
      </c>
      <c r="U3" s="7" t="n">
        <f aca="false">SUMIF(R:R,"Feb 2026",E:E)</f>
        <v>49631</v>
      </c>
    </row>
    <row r="4" customFormat="false" ht="13.8" hidden="false" customHeight="false" outlineLevel="0" collapsed="false">
      <c r="A4" s="4" t="s">
        <v>23</v>
      </c>
      <c r="B4" s="4" t="s">
        <v>24</v>
      </c>
      <c r="C4" s="4" t="s">
        <v>25</v>
      </c>
      <c r="D4" s="4" t="s">
        <v>18</v>
      </c>
      <c r="E4" s="4"/>
      <c r="F4" s="4" t="n">
        <v>80</v>
      </c>
      <c r="G4" s="4" t="n">
        <v>2500</v>
      </c>
      <c r="L4" s="1" t="str">
        <f aca="false">IF(ISNUMBER(SEARCH("Bundle",C4)),"Bundles",IF(ISNUMBER(SEARCH("Airtime",C4)),"Bundles",IF(ISNUMBER(SEARCH("Merchant",C4)),"Merchant Payment",IF(ISNUMBER(SEARCH("Offnet C2B",C4)),"Merchant Payment",IF(ISNUMBER(SEARCH("Offnet B2C",C4)),"Merchant Payment",IF(ISNUMBER(SEARCH("Customer Payment to Small",C4)),"Merchant Payment",IF(ISNUMBER(SEARCH("Payment to Small Business",C4)),"Merchant Payment",IF(ISNUMBER(SEARCH("Sent to",C4)),"Sent to Person",IF(ISNUMBER(SEARCH("Customer Transfer to",C4)),"Sent to Person",IF(ISNUMBER(SEARCH("Business Payment",C4)),"Money In",IF(ISNUMBER(SEARCH("Funds Received",C4)),"Money In",IF(ISNUMBER(SEARCH("Receive International",C4)),"Money In",IF(ISNUMBER(SEARCH("Send Money Reversal",C4)),"Money In",IF(ISNUMBER(SEARCH("Pay Utility Reversal",C4)),"Money In",IF(ISNUMBER(SEARCH("Customer Transfer",C4)),"Money In",IF(ISNUMBER(SEARCH("Ziidi",C4)),"Investment",IF(ISNUMBER(SEARCH("Nabo",C4)),"Investment",IF(ISNUMBER(SEARCH("Paybill Online",C4)),"Pay Bill",IF(ISNUMBER(SEARCH("Pay Bill",C4)),"Pay Bill",IF(ISNUMBER(SEARCH("Spotify",C4)),"Pay Bill",IF(ISNUMBER(SEARCH("M-Shwari",C4)),"Mshwari",IF(ISNUMBER(SEARCH("Mshwari",C4)),"Mshwari",IF(ISNUMBER(SEARCH("Withdrawal charge",C4)),"Fees",IF(ISNUMBER(SEARCH("Customer Withdrawal",C4)),"Fees",IF(ISNUMBER(SEARCH("charge",C4)),"Fees","Other")))))))))))))))))))))))))</f>
        <v>Merchant Payment</v>
      </c>
      <c r="N4" s="1" t="s">
        <v>26</v>
      </c>
      <c r="O4" s="1" t="n">
        <f aca="false">SUMIF(L:L,"Pay Bill",F:F)</f>
        <v>16212</v>
      </c>
      <c r="R4" s="1" t="str">
        <f aca="false">TEXT(B2,"MMM YYYY")</f>
        <v>Jan 2026</v>
      </c>
      <c r="S4" s="6" t="n">
        <v>46082</v>
      </c>
      <c r="T4" s="7" t="n">
        <f aca="false">SUMIF(R:R,"Mar 2026",F:F)</f>
        <v>35418.22</v>
      </c>
      <c r="U4" s="7" t="n">
        <f aca="false">SUMIF(R:R,"Mar 2026",E:E)</f>
        <v>35435</v>
      </c>
    </row>
    <row r="5" customFormat="false" ht="13.8" hidden="false" customHeight="false" outlineLevel="0" collapsed="false">
      <c r="A5" s="4" t="s">
        <v>27</v>
      </c>
      <c r="B5" s="4" t="s">
        <v>28</v>
      </c>
      <c r="C5" s="4" t="s">
        <v>29</v>
      </c>
      <c r="D5" s="4" t="s">
        <v>18</v>
      </c>
      <c r="E5" s="4"/>
      <c r="F5" s="4" t="n">
        <v>20</v>
      </c>
      <c r="G5" s="4" t="n">
        <v>2480</v>
      </c>
      <c r="L5" s="1" t="str">
        <f aca="false">IF(ISNUMBER(SEARCH("Bundle",C5)),"Bundles",IF(ISNUMBER(SEARCH("Airtime",C5)),"Bundles",IF(ISNUMBER(SEARCH("Merchant",C5)),"Merchant Payment",IF(ISNUMBER(SEARCH("Offnet C2B",C5)),"Merchant Payment",IF(ISNUMBER(SEARCH("Offnet B2C",C5)),"Merchant Payment",IF(ISNUMBER(SEARCH("Customer Payment to Small",C5)),"Merchant Payment",IF(ISNUMBER(SEARCH("Payment to Small Business",C5)),"Merchant Payment",IF(ISNUMBER(SEARCH("Sent to",C5)),"Sent to Person",IF(ISNUMBER(SEARCH("Customer Transfer to",C5)),"Sent to Person",IF(ISNUMBER(SEARCH("Business Payment",C5)),"Money In",IF(ISNUMBER(SEARCH("Funds Received",C5)),"Money In",IF(ISNUMBER(SEARCH("Receive International",C5)),"Money In",IF(ISNUMBER(SEARCH("Send Money Reversal",C5)),"Money In",IF(ISNUMBER(SEARCH("Pay Utility Reversal",C5)),"Money In",IF(ISNUMBER(SEARCH("Customer Transfer",C5)),"Money In",IF(ISNUMBER(SEARCH("Ziidi",C5)),"Investment",IF(ISNUMBER(SEARCH("Nabo",C5)),"Investment",IF(ISNUMBER(SEARCH("Paybill Online",C5)),"Pay Bill",IF(ISNUMBER(SEARCH("Pay Bill",C5)),"Pay Bill",IF(ISNUMBER(SEARCH("Spotify",C5)),"Pay Bill",IF(ISNUMBER(SEARCH("M-Shwari",C5)),"Mshwari",IF(ISNUMBER(SEARCH("Mshwari",C5)),"Mshwari",IF(ISNUMBER(SEARCH("Withdrawal charge",C5)),"Fees",IF(ISNUMBER(SEARCH("Customer Withdrawal",C5)),"Fees",IF(ISNUMBER(SEARCH("charge",C5)),"Fees","Other")))))))))))))))))))))))))</f>
        <v>Bundles</v>
      </c>
      <c r="N5" s="1" t="s">
        <v>15</v>
      </c>
      <c r="P5" s="1" t="n">
        <f aca="false">SUMIF(L:L,"Money In",E:E)</f>
        <v>117178</v>
      </c>
      <c r="R5" s="1" t="str">
        <f aca="false">TEXT(B2,"MMM YYYY")</f>
        <v>Jan 2026</v>
      </c>
      <c r="S5" s="6" t="n">
        <v>46113</v>
      </c>
      <c r="T5" s="7" t="n">
        <f aca="false">SUMIF(R:R,"Apr 2026",F:F)</f>
        <v>31669</v>
      </c>
      <c r="U5" s="7" t="n">
        <f aca="false">SUMIF(R:R,"Apr 2026",E:E)</f>
        <v>31579</v>
      </c>
    </row>
    <row r="6" customFormat="false" ht="13.8" hidden="false" customHeight="false" outlineLevel="0" collapsed="false">
      <c r="A6" s="4" t="s">
        <v>30</v>
      </c>
      <c r="B6" s="4" t="s">
        <v>31</v>
      </c>
      <c r="C6" s="4" t="s">
        <v>29</v>
      </c>
      <c r="D6" s="4" t="s">
        <v>18</v>
      </c>
      <c r="E6" s="4"/>
      <c r="F6" s="4" t="n">
        <v>10</v>
      </c>
      <c r="G6" s="4" t="n">
        <v>2470</v>
      </c>
      <c r="L6" s="1" t="str">
        <f aca="false">IF(ISNUMBER(SEARCH("Bundle",C6)),"Bundles",IF(ISNUMBER(SEARCH("Airtime",C6)),"Bundles",IF(ISNUMBER(SEARCH("Merchant",C6)),"Merchant Payment",IF(ISNUMBER(SEARCH("Offnet C2B",C6)),"Merchant Payment",IF(ISNUMBER(SEARCH("Offnet B2C",C6)),"Merchant Payment",IF(ISNUMBER(SEARCH("Customer Payment to Small",C6)),"Merchant Payment",IF(ISNUMBER(SEARCH("Payment to Small Business",C6)),"Merchant Payment",IF(ISNUMBER(SEARCH("Sent to",C6)),"Sent to Person",IF(ISNUMBER(SEARCH("Customer Transfer to",C6)),"Sent to Person",IF(ISNUMBER(SEARCH("Business Payment",C6)),"Money In",IF(ISNUMBER(SEARCH("Funds Received",C6)),"Money In",IF(ISNUMBER(SEARCH("Receive International",C6)),"Money In",IF(ISNUMBER(SEARCH("Send Money Reversal",C6)),"Money In",IF(ISNUMBER(SEARCH("Pay Utility Reversal",C6)),"Money In",IF(ISNUMBER(SEARCH("Customer Transfer",C6)),"Money In",IF(ISNUMBER(SEARCH("Ziidi",C6)),"Investment",IF(ISNUMBER(SEARCH("Nabo",C6)),"Investment",IF(ISNUMBER(SEARCH("Paybill Online",C6)),"Pay Bill",IF(ISNUMBER(SEARCH("Pay Bill",C6)),"Pay Bill",IF(ISNUMBER(SEARCH("Spotify",C6)),"Pay Bill",IF(ISNUMBER(SEARCH("M-Shwari",C6)),"Mshwari",IF(ISNUMBER(SEARCH("Mshwari",C6)),"Mshwari",IF(ISNUMBER(SEARCH("Withdrawal charge",C6)),"Fees",IF(ISNUMBER(SEARCH("Customer Withdrawal",C6)),"Fees",IF(ISNUMBER(SEARCH("charge",C6)),"Fees","Other")))))))))))))))))))))))))</f>
        <v>Bundles</v>
      </c>
      <c r="N6" s="1" t="s">
        <v>32</v>
      </c>
      <c r="O6" s="1" t="n">
        <f aca="false">SUMIF(L:L,"Fees",F:F)</f>
        <v>1780</v>
      </c>
      <c r="R6" s="1" t="str">
        <f aca="false">TEXT(B2,"MMM YYYY")</f>
        <v>Jan 2026</v>
      </c>
      <c r="S6" s="6" t="n">
        <v>46143</v>
      </c>
      <c r="T6" s="7" t="n">
        <f aca="false">SUMIF(R:R,"May 2026",F:F)</f>
        <v>22867</v>
      </c>
      <c r="U6" s="7" t="n">
        <f aca="false">SUMIF(R:R,"May 2026",E:E)</f>
        <v>23720</v>
      </c>
    </row>
    <row r="7" customFormat="false" ht="13.8" hidden="false" customHeight="false" outlineLevel="0" collapsed="false">
      <c r="A7" s="4" t="s">
        <v>33</v>
      </c>
      <c r="B7" s="4" t="s">
        <v>34</v>
      </c>
      <c r="C7" s="4" t="s">
        <v>29</v>
      </c>
      <c r="D7" s="4" t="s">
        <v>18</v>
      </c>
      <c r="E7" s="4"/>
      <c r="F7" s="4" t="n">
        <v>10</v>
      </c>
      <c r="G7" s="4" t="n">
        <v>2460</v>
      </c>
      <c r="L7" s="1" t="str">
        <f aca="false">IF(ISNUMBER(SEARCH("Bundle",C7)),"Bundles",IF(ISNUMBER(SEARCH("Airtime",C7)),"Bundles",IF(ISNUMBER(SEARCH("Merchant",C7)),"Merchant Payment",IF(ISNUMBER(SEARCH("Offnet C2B",C7)),"Merchant Payment",IF(ISNUMBER(SEARCH("Offnet B2C",C7)),"Merchant Payment",IF(ISNUMBER(SEARCH("Customer Payment to Small",C7)),"Merchant Payment",IF(ISNUMBER(SEARCH("Payment to Small Business",C7)),"Merchant Payment",IF(ISNUMBER(SEARCH("Sent to",C7)),"Sent to Person",IF(ISNUMBER(SEARCH("Customer Transfer to",C7)),"Sent to Person",IF(ISNUMBER(SEARCH("Business Payment",C7)),"Money In",IF(ISNUMBER(SEARCH("Funds Received",C7)),"Money In",IF(ISNUMBER(SEARCH("Receive International",C7)),"Money In",IF(ISNUMBER(SEARCH("Send Money Reversal",C7)),"Money In",IF(ISNUMBER(SEARCH("Pay Utility Reversal",C7)),"Money In",IF(ISNUMBER(SEARCH("Customer Transfer",C7)),"Money In",IF(ISNUMBER(SEARCH("Ziidi",C7)),"Investment",IF(ISNUMBER(SEARCH("Nabo",C7)),"Investment",IF(ISNUMBER(SEARCH("Paybill Online",C7)),"Pay Bill",IF(ISNUMBER(SEARCH("Pay Bill",C7)),"Pay Bill",IF(ISNUMBER(SEARCH("Spotify",C7)),"Pay Bill",IF(ISNUMBER(SEARCH("M-Shwari",C7)),"Mshwari",IF(ISNUMBER(SEARCH("Mshwari",C7)),"Mshwari",IF(ISNUMBER(SEARCH("Withdrawal charge",C7)),"Fees",IF(ISNUMBER(SEARCH("Customer Withdrawal",C7)),"Fees",IF(ISNUMBER(SEARCH("charge",C7)),"Fees","Other")))))))))))))))))))))))))</f>
        <v>Bundles</v>
      </c>
      <c r="N7" s="1" t="s">
        <v>35</v>
      </c>
      <c r="O7" s="1" t="n">
        <f aca="false">SUMIF(L:L,"Sent to Person",F:F)</f>
        <v>25295</v>
      </c>
      <c r="R7" s="1" t="str">
        <f aca="false">TEXT(B2,"MMM YYYY")</f>
        <v>Jan 2026</v>
      </c>
      <c r="S7" s="1" t="s">
        <v>36</v>
      </c>
      <c r="T7" s="7" t="n">
        <f aca="false">SUM(T2:T6)</f>
        <v>159485.22</v>
      </c>
      <c r="U7" s="7" t="n">
        <f aca="false">SUM(U2:U6)</f>
        <v>164313</v>
      </c>
    </row>
    <row r="8" customFormat="false" ht="13.8" hidden="false" customHeight="false" outlineLevel="0" collapsed="false">
      <c r="A8" s="4" t="s">
        <v>37</v>
      </c>
      <c r="B8" s="4" t="s">
        <v>38</v>
      </c>
      <c r="C8" s="4" t="s">
        <v>17</v>
      </c>
      <c r="D8" s="4" t="s">
        <v>18</v>
      </c>
      <c r="E8" s="4"/>
      <c r="F8" s="4" t="n">
        <v>20</v>
      </c>
      <c r="G8" s="4" t="n">
        <v>2440</v>
      </c>
      <c r="L8" s="1" t="str">
        <f aca="false">IF(ISNUMBER(SEARCH("Bundle",C8)),"Bundles",IF(ISNUMBER(SEARCH("Airtime",C8)),"Bundles",IF(ISNUMBER(SEARCH("Merchant",C8)),"Merchant Payment",IF(ISNUMBER(SEARCH("Offnet C2B",C8)),"Merchant Payment",IF(ISNUMBER(SEARCH("Offnet B2C",C8)),"Merchant Payment",IF(ISNUMBER(SEARCH("Customer Payment to Small",C8)),"Merchant Payment",IF(ISNUMBER(SEARCH("Payment to Small Business",C8)),"Merchant Payment",IF(ISNUMBER(SEARCH("Sent to",C8)),"Sent to Person",IF(ISNUMBER(SEARCH("Customer Transfer to",C8)),"Sent to Person",IF(ISNUMBER(SEARCH("Business Payment",C8)),"Money In",IF(ISNUMBER(SEARCH("Funds Received",C8)),"Money In",IF(ISNUMBER(SEARCH("Receive International",C8)),"Money In",IF(ISNUMBER(SEARCH("Send Money Reversal",C8)),"Money In",IF(ISNUMBER(SEARCH("Pay Utility Reversal",C8)),"Money In",IF(ISNUMBER(SEARCH("Customer Transfer",C8)),"Money In",IF(ISNUMBER(SEARCH("Ziidi",C8)),"Investment",IF(ISNUMBER(SEARCH("Nabo",C8)),"Investment",IF(ISNUMBER(SEARCH("Paybill Online",C8)),"Pay Bill",IF(ISNUMBER(SEARCH("Pay Bill",C8)),"Pay Bill",IF(ISNUMBER(SEARCH("Spotify",C8)),"Pay Bill",IF(ISNUMBER(SEARCH("M-Shwari",C8)),"Mshwari",IF(ISNUMBER(SEARCH("Mshwari",C8)),"Mshwari",IF(ISNUMBER(SEARCH("Withdrawal charge",C8)),"Fees",IF(ISNUMBER(SEARCH("Customer Withdrawal",C8)),"Fees",IF(ISNUMBER(SEARCH("charge",C8)),"Fees","Other")))))))))))))))))))))))))</f>
        <v>Bundles</v>
      </c>
      <c r="N8" s="1" t="s">
        <v>39</v>
      </c>
      <c r="O8" s="1" t="n">
        <f aca="false">SUMIF(L:L,"Mshwari",F:F)</f>
        <v>42300</v>
      </c>
      <c r="P8" s="1" t="n">
        <f aca="false">SUMIF(L:L,"Mshwari",E:E)</f>
        <v>47895</v>
      </c>
      <c r="R8" s="1" t="str">
        <f aca="false">TEXT(B2,"MMM YYYY")</f>
        <v>Jan 2026</v>
      </c>
    </row>
    <row r="9" customFormat="false" ht="13.8" hidden="false" customHeight="false" outlineLevel="0" collapsed="false">
      <c r="A9" s="4" t="s">
        <v>40</v>
      </c>
      <c r="B9" s="4" t="s">
        <v>41</v>
      </c>
      <c r="C9" s="4" t="s">
        <v>29</v>
      </c>
      <c r="D9" s="4" t="s">
        <v>18</v>
      </c>
      <c r="E9" s="4"/>
      <c r="F9" s="4" t="n">
        <v>30</v>
      </c>
      <c r="G9" s="4" t="n">
        <v>2410</v>
      </c>
      <c r="L9" s="1" t="str">
        <f aca="false">IF(ISNUMBER(SEARCH("Bundle",C9)),"Bundles",IF(ISNUMBER(SEARCH("Airtime",C9)),"Bundles",IF(ISNUMBER(SEARCH("Merchant",C9)),"Merchant Payment",IF(ISNUMBER(SEARCH("Offnet C2B",C9)),"Merchant Payment",IF(ISNUMBER(SEARCH("Offnet B2C",C9)),"Merchant Payment",IF(ISNUMBER(SEARCH("Customer Payment to Small",C9)),"Merchant Payment",IF(ISNUMBER(SEARCH("Payment to Small Business",C9)),"Merchant Payment",IF(ISNUMBER(SEARCH("Sent to",C9)),"Sent to Person",IF(ISNUMBER(SEARCH("Customer Transfer to",C9)),"Sent to Person",IF(ISNUMBER(SEARCH("Business Payment",C9)),"Money In",IF(ISNUMBER(SEARCH("Funds Received",C9)),"Money In",IF(ISNUMBER(SEARCH("Receive International",C9)),"Money In",IF(ISNUMBER(SEARCH("Send Money Reversal",C9)),"Money In",IF(ISNUMBER(SEARCH("Pay Utility Reversal",C9)),"Money In",IF(ISNUMBER(SEARCH("Customer Transfer",C9)),"Money In",IF(ISNUMBER(SEARCH("Ziidi",C9)),"Investment",IF(ISNUMBER(SEARCH("Nabo",C9)),"Investment",IF(ISNUMBER(SEARCH("Paybill Online",C9)),"Pay Bill",IF(ISNUMBER(SEARCH("Pay Bill",C9)),"Pay Bill",IF(ISNUMBER(SEARCH("Spotify",C9)),"Pay Bill",IF(ISNUMBER(SEARCH("M-Shwari",C9)),"Mshwari",IF(ISNUMBER(SEARCH("Mshwari",C9)),"Mshwari",IF(ISNUMBER(SEARCH("Withdrawal charge",C9)),"Fees",IF(ISNUMBER(SEARCH("Customer Withdrawal",C9)),"Fees",IF(ISNUMBER(SEARCH("charge",C9)),"Fees","Other")))))))))))))))))))))))))</f>
        <v>Bundles</v>
      </c>
      <c r="N9" s="1" t="s">
        <v>13</v>
      </c>
      <c r="O9" s="1" t="s">
        <v>42</v>
      </c>
      <c r="Q9" s="1" t="n">
        <v>27313</v>
      </c>
      <c r="R9" s="1" t="str">
        <f aca="false">TEXT(B2,"MMM YYYY")</f>
        <v>Jan 2026</v>
      </c>
    </row>
    <row r="10" customFormat="false" ht="13.8" hidden="false" customHeight="false" outlineLevel="0" collapsed="false">
      <c r="A10" s="4" t="s">
        <v>43</v>
      </c>
      <c r="B10" s="4" t="s">
        <v>44</v>
      </c>
      <c r="C10" s="4" t="s">
        <v>45</v>
      </c>
      <c r="D10" s="4" t="s">
        <v>18</v>
      </c>
      <c r="E10" s="4"/>
      <c r="F10" s="4" t="n">
        <v>90</v>
      </c>
      <c r="G10" s="4" t="n">
        <v>2320</v>
      </c>
      <c r="L10" s="1" t="str">
        <f aca="false">IF(ISNUMBER(SEARCH("Bundle",C10)),"Bundles",IF(ISNUMBER(SEARCH("Airtime",C10)),"Bundles",IF(ISNUMBER(SEARCH("Merchant",C10)),"Merchant Payment",IF(ISNUMBER(SEARCH("Offnet C2B",C10)),"Merchant Payment",IF(ISNUMBER(SEARCH("Offnet B2C",C10)),"Merchant Payment",IF(ISNUMBER(SEARCH("Customer Payment to Small",C10)),"Merchant Payment",IF(ISNUMBER(SEARCH("Payment to Small Business",C10)),"Merchant Payment",IF(ISNUMBER(SEARCH("Sent to",C10)),"Sent to Person",IF(ISNUMBER(SEARCH("Customer Transfer to",C10)),"Sent to Person",IF(ISNUMBER(SEARCH("Business Payment",C10)),"Money In",IF(ISNUMBER(SEARCH("Funds Received",C10)),"Money In",IF(ISNUMBER(SEARCH("Receive International",C10)),"Money In",IF(ISNUMBER(SEARCH("Send Money Reversal",C10)),"Money In",IF(ISNUMBER(SEARCH("Pay Utility Reversal",C10)),"Money In",IF(ISNUMBER(SEARCH("Customer Transfer",C10)),"Money In",IF(ISNUMBER(SEARCH("Ziidi",C10)),"Investment",IF(ISNUMBER(SEARCH("Nabo",C10)),"Investment",IF(ISNUMBER(SEARCH("Paybill Online",C10)),"Pay Bill",IF(ISNUMBER(SEARCH("Pay Bill",C10)),"Pay Bill",IF(ISNUMBER(SEARCH("Spotify",C10)),"Pay Bill",IF(ISNUMBER(SEARCH("M-Shwari",C10)),"Mshwari",IF(ISNUMBER(SEARCH("Mshwari",C10)),"Mshwari",IF(ISNUMBER(SEARCH("Withdrawal charge",C10)),"Fees",IF(ISNUMBER(SEARCH("Customer Withdrawal",C10)),"Fees",IF(ISNUMBER(SEARCH("charge",C10)),"Fees","Other")))))))))))))))))))))))))</f>
        <v>Merchant Payment</v>
      </c>
      <c r="N10" s="1" t="s">
        <v>46</v>
      </c>
      <c r="O10" s="1" t="n">
        <f aca="false">SUMIF(L:L,"Other",F:F)</f>
        <v>0</v>
      </c>
      <c r="R10" s="1" t="str">
        <f aca="false">TEXT(B2,"MMM YYYY")</f>
        <v>Jan 2026</v>
      </c>
    </row>
    <row r="11" customFormat="false" ht="13.8" hidden="false" customHeight="false" outlineLevel="0" collapsed="false">
      <c r="A11" s="4" t="s">
        <v>47</v>
      </c>
      <c r="B11" s="4" t="s">
        <v>48</v>
      </c>
      <c r="C11" s="4" t="s">
        <v>49</v>
      </c>
      <c r="D11" s="4" t="s">
        <v>18</v>
      </c>
      <c r="E11" s="4"/>
      <c r="F11" s="4" t="n">
        <v>100</v>
      </c>
      <c r="G11" s="4" t="n">
        <v>2220</v>
      </c>
      <c r="L11" s="1" t="str">
        <f aca="false">IF(ISNUMBER(SEARCH("Bundle",C11)),"Bundles",IF(ISNUMBER(SEARCH("Airtime",C11)),"Bundles",IF(ISNUMBER(SEARCH("Merchant",C11)),"Merchant Payment",IF(ISNUMBER(SEARCH("Offnet C2B",C11)),"Merchant Payment",IF(ISNUMBER(SEARCH("Offnet B2C",C11)),"Merchant Payment",IF(ISNUMBER(SEARCH("Customer Payment to Small",C11)),"Merchant Payment",IF(ISNUMBER(SEARCH("Payment to Small Business",C11)),"Merchant Payment",IF(ISNUMBER(SEARCH("Sent to",C11)),"Sent to Person",IF(ISNUMBER(SEARCH("Customer Transfer to",C11)),"Sent to Person",IF(ISNUMBER(SEARCH("Business Payment",C11)),"Money In",IF(ISNUMBER(SEARCH("Funds Received",C11)),"Money In",IF(ISNUMBER(SEARCH("Receive International",C11)),"Money In",IF(ISNUMBER(SEARCH("Send Money Reversal",C11)),"Money In",IF(ISNUMBER(SEARCH("Pay Utility Reversal",C11)),"Money In",IF(ISNUMBER(SEARCH("Customer Transfer",C11)),"Money In",IF(ISNUMBER(SEARCH("Ziidi",C11)),"Investment",IF(ISNUMBER(SEARCH("Nabo",C11)),"Investment",IF(ISNUMBER(SEARCH("Paybill Online",C11)),"Pay Bill",IF(ISNUMBER(SEARCH("Pay Bill",C11)),"Pay Bill",IF(ISNUMBER(SEARCH("Spotify",C11)),"Pay Bill",IF(ISNUMBER(SEARCH("M-Shwari",C11)),"Mshwari",IF(ISNUMBER(SEARCH("Mshwari",C11)),"Mshwari",IF(ISNUMBER(SEARCH("Withdrawal charge",C11)),"Fees",IF(ISNUMBER(SEARCH("Customer Withdrawal",C11)),"Fees",IF(ISNUMBER(SEARCH("charge",C11)),"Fees","Other")))))))))))))))))))))))))</f>
        <v>Merchant Payment</v>
      </c>
      <c r="N11" s="1" t="s">
        <v>50</v>
      </c>
      <c r="O11" s="1" t="n">
        <f aca="false">SUM(O2:O10)</f>
        <v>133741</v>
      </c>
      <c r="P11" s="1" t="n">
        <f aca="false">SUM(P2:P9)</f>
        <v>165073</v>
      </c>
      <c r="Q11" s="1" t="n">
        <v>27313</v>
      </c>
      <c r="R11" s="1" t="str">
        <f aca="false">TEXT(B2,"MMM YYYY")</f>
        <v>Jan 2026</v>
      </c>
    </row>
    <row r="12" customFormat="false" ht="13.8" hidden="false" customHeight="false" outlineLevel="0" collapsed="false">
      <c r="A12" s="4" t="s">
        <v>51</v>
      </c>
      <c r="B12" s="4" t="s">
        <v>52</v>
      </c>
      <c r="C12" s="4" t="s">
        <v>29</v>
      </c>
      <c r="D12" s="4" t="s">
        <v>18</v>
      </c>
      <c r="E12" s="4"/>
      <c r="F12" s="4" t="n">
        <v>10</v>
      </c>
      <c r="G12" s="4" t="n">
        <v>2210</v>
      </c>
      <c r="L12" s="1" t="str">
        <f aca="false">IF(ISNUMBER(SEARCH("Bundle",C12)),"Bundles",IF(ISNUMBER(SEARCH("Airtime",C12)),"Bundles",IF(ISNUMBER(SEARCH("Merchant",C12)),"Merchant Payment",IF(ISNUMBER(SEARCH("Offnet C2B",C12)),"Merchant Payment",IF(ISNUMBER(SEARCH("Offnet B2C",C12)),"Merchant Payment",IF(ISNUMBER(SEARCH("Customer Payment to Small",C12)),"Merchant Payment",IF(ISNUMBER(SEARCH("Payment to Small Business",C12)),"Merchant Payment",IF(ISNUMBER(SEARCH("Sent to",C12)),"Sent to Person",IF(ISNUMBER(SEARCH("Customer Transfer to",C12)),"Sent to Person",IF(ISNUMBER(SEARCH("Business Payment",C12)),"Money In",IF(ISNUMBER(SEARCH("Funds Received",C12)),"Money In",IF(ISNUMBER(SEARCH("Receive International",C12)),"Money In",IF(ISNUMBER(SEARCH("Send Money Reversal",C12)),"Money In",IF(ISNUMBER(SEARCH("Pay Utility Reversal",C12)),"Money In",IF(ISNUMBER(SEARCH("Customer Transfer",C12)),"Money In",IF(ISNUMBER(SEARCH("Ziidi",C12)),"Investment",IF(ISNUMBER(SEARCH("Nabo",C12)),"Investment",IF(ISNUMBER(SEARCH("Paybill Online",C12)),"Pay Bill",IF(ISNUMBER(SEARCH("Pay Bill",C12)),"Pay Bill",IF(ISNUMBER(SEARCH("Spotify",C12)),"Pay Bill",IF(ISNUMBER(SEARCH("M-Shwari",C12)),"Mshwari",IF(ISNUMBER(SEARCH("Mshwari",C12)),"Mshwari",IF(ISNUMBER(SEARCH("Withdrawal charge",C12)),"Fees",IF(ISNUMBER(SEARCH("Customer Withdrawal",C12)),"Fees",IF(ISNUMBER(SEARCH("charge",C12)),"Fees","Other")))))))))))))))))))))))))</f>
        <v>Bundles</v>
      </c>
      <c r="R12" s="1" t="str">
        <f aca="false">TEXT(B2,"MMM YYYY")</f>
        <v>Jan 2026</v>
      </c>
    </row>
    <row r="13" customFormat="false" ht="13.8" hidden="false" customHeight="false" outlineLevel="0" collapsed="false">
      <c r="A13" s="4" t="s">
        <v>53</v>
      </c>
      <c r="B13" s="4" t="s">
        <v>54</v>
      </c>
      <c r="C13" s="4" t="s">
        <v>29</v>
      </c>
      <c r="D13" s="4" t="s">
        <v>18</v>
      </c>
      <c r="E13" s="4"/>
      <c r="F13" s="4" t="n">
        <v>30</v>
      </c>
      <c r="G13" s="4" t="n">
        <v>2180</v>
      </c>
      <c r="L13" s="1" t="str">
        <f aca="false">IF(ISNUMBER(SEARCH("Bundle",C13)),"Bundles",IF(ISNUMBER(SEARCH("Airtime",C13)),"Bundles",IF(ISNUMBER(SEARCH("Merchant",C13)),"Merchant Payment",IF(ISNUMBER(SEARCH("Offnet C2B",C13)),"Merchant Payment",IF(ISNUMBER(SEARCH("Offnet B2C",C13)),"Merchant Payment",IF(ISNUMBER(SEARCH("Customer Payment to Small",C13)),"Merchant Payment",IF(ISNUMBER(SEARCH("Payment to Small Business",C13)),"Merchant Payment",IF(ISNUMBER(SEARCH("Sent to",C13)),"Sent to Person",IF(ISNUMBER(SEARCH("Customer Transfer to",C13)),"Sent to Person",IF(ISNUMBER(SEARCH("Business Payment",C13)),"Money In",IF(ISNUMBER(SEARCH("Funds Received",C13)),"Money In",IF(ISNUMBER(SEARCH("Receive International",C13)),"Money In",IF(ISNUMBER(SEARCH("Send Money Reversal",C13)),"Money In",IF(ISNUMBER(SEARCH("Pay Utility Reversal",C13)),"Money In",IF(ISNUMBER(SEARCH("Customer Transfer",C13)),"Money In",IF(ISNUMBER(SEARCH("Ziidi",C13)),"Investment",IF(ISNUMBER(SEARCH("Nabo",C13)),"Investment",IF(ISNUMBER(SEARCH("Paybill Online",C13)),"Pay Bill",IF(ISNUMBER(SEARCH("Pay Bill",C13)),"Pay Bill",IF(ISNUMBER(SEARCH("Spotify",C13)),"Pay Bill",IF(ISNUMBER(SEARCH("M-Shwari",C13)),"Mshwari",IF(ISNUMBER(SEARCH("Mshwari",C13)),"Mshwari",IF(ISNUMBER(SEARCH("Withdrawal charge",C13)),"Fees",IF(ISNUMBER(SEARCH("Customer Withdrawal",C13)),"Fees",IF(ISNUMBER(SEARCH("charge",C13)),"Fees","Other")))))))))))))))))))))))))</f>
        <v>Bundles</v>
      </c>
      <c r="R13" s="1" t="str">
        <f aca="false">TEXT(B2,"MMM YYYY")</f>
        <v>Jan 2026</v>
      </c>
    </row>
    <row r="14" customFormat="false" ht="13.8" hidden="false" customHeight="false" outlineLevel="0" collapsed="false">
      <c r="A14" s="4" t="s">
        <v>55</v>
      </c>
      <c r="B14" s="4" t="s">
        <v>56</v>
      </c>
      <c r="C14" s="4" t="s">
        <v>57</v>
      </c>
      <c r="D14" s="4" t="s">
        <v>18</v>
      </c>
      <c r="E14" s="4"/>
      <c r="F14" s="4" t="n">
        <v>80</v>
      </c>
      <c r="G14" s="4" t="n">
        <v>2100</v>
      </c>
      <c r="L14" s="1" t="str">
        <f aca="false">IF(ISNUMBER(SEARCH("Bundle",C14)),"Bundles",IF(ISNUMBER(SEARCH("Airtime",C14)),"Bundles",IF(ISNUMBER(SEARCH("Merchant",C14)),"Merchant Payment",IF(ISNUMBER(SEARCH("Offnet C2B",C14)),"Merchant Payment",IF(ISNUMBER(SEARCH("Offnet B2C",C14)),"Merchant Payment",IF(ISNUMBER(SEARCH("Customer Payment to Small",C14)),"Merchant Payment",IF(ISNUMBER(SEARCH("Payment to Small Business",C14)),"Merchant Payment",IF(ISNUMBER(SEARCH("Sent to",C14)),"Sent to Person",IF(ISNUMBER(SEARCH("Customer Transfer to",C14)),"Sent to Person",IF(ISNUMBER(SEARCH("Business Payment",C14)),"Money In",IF(ISNUMBER(SEARCH("Funds Received",C14)),"Money In",IF(ISNUMBER(SEARCH("Receive International",C14)),"Money In",IF(ISNUMBER(SEARCH("Send Money Reversal",C14)),"Money In",IF(ISNUMBER(SEARCH("Pay Utility Reversal",C14)),"Money In",IF(ISNUMBER(SEARCH("Customer Transfer",C14)),"Money In",IF(ISNUMBER(SEARCH("Ziidi",C14)),"Investment",IF(ISNUMBER(SEARCH("Nabo",C14)),"Investment",IF(ISNUMBER(SEARCH("Paybill Online",C14)),"Pay Bill",IF(ISNUMBER(SEARCH("Pay Bill",C14)),"Pay Bill",IF(ISNUMBER(SEARCH("Spotify",C14)),"Pay Bill",IF(ISNUMBER(SEARCH("M-Shwari",C14)),"Mshwari",IF(ISNUMBER(SEARCH("Mshwari",C14)),"Mshwari",IF(ISNUMBER(SEARCH("Withdrawal charge",C14)),"Fees",IF(ISNUMBER(SEARCH("Customer Withdrawal",C14)),"Fees",IF(ISNUMBER(SEARCH("charge",C14)),"Fees","Other")))))))))))))))))))))))))</f>
        <v>Merchant Payment</v>
      </c>
      <c r="R14" s="1" t="str">
        <f aca="false">TEXT(B2,"MMM YYYY")</f>
        <v>Jan 2026</v>
      </c>
    </row>
    <row r="15" customFormat="false" ht="13.8" hidden="false" customHeight="false" outlineLevel="0" collapsed="false">
      <c r="A15" s="4" t="s">
        <v>58</v>
      </c>
      <c r="B15" s="4" t="s">
        <v>59</v>
      </c>
      <c r="C15" s="4" t="s">
        <v>29</v>
      </c>
      <c r="D15" s="4" t="s">
        <v>18</v>
      </c>
      <c r="E15" s="4"/>
      <c r="F15" s="4" t="n">
        <v>10</v>
      </c>
      <c r="G15" s="4" t="n">
        <v>2090</v>
      </c>
      <c r="L15" s="1" t="str">
        <f aca="false">IF(ISNUMBER(SEARCH("Bundle",C15)),"Bundles",IF(ISNUMBER(SEARCH("Airtime",C15)),"Bundles",IF(ISNUMBER(SEARCH("Merchant",C15)),"Merchant Payment",IF(ISNUMBER(SEARCH("Offnet C2B",C15)),"Merchant Payment",IF(ISNUMBER(SEARCH("Offnet B2C",C15)),"Merchant Payment",IF(ISNUMBER(SEARCH("Customer Payment to Small",C15)),"Merchant Payment",IF(ISNUMBER(SEARCH("Payment to Small Business",C15)),"Merchant Payment",IF(ISNUMBER(SEARCH("Sent to",C15)),"Sent to Person",IF(ISNUMBER(SEARCH("Customer Transfer to",C15)),"Sent to Person",IF(ISNUMBER(SEARCH("Business Payment",C15)),"Money In",IF(ISNUMBER(SEARCH("Funds Received",C15)),"Money In",IF(ISNUMBER(SEARCH("Receive International",C15)),"Money In",IF(ISNUMBER(SEARCH("Send Money Reversal",C15)),"Money In",IF(ISNUMBER(SEARCH("Pay Utility Reversal",C15)),"Money In",IF(ISNUMBER(SEARCH("Customer Transfer",C15)),"Money In",IF(ISNUMBER(SEARCH("Ziidi",C15)),"Investment",IF(ISNUMBER(SEARCH("Nabo",C15)),"Investment",IF(ISNUMBER(SEARCH("Paybill Online",C15)),"Pay Bill",IF(ISNUMBER(SEARCH("Pay Bill",C15)),"Pay Bill",IF(ISNUMBER(SEARCH("Spotify",C15)),"Pay Bill",IF(ISNUMBER(SEARCH("M-Shwari",C15)),"Mshwari",IF(ISNUMBER(SEARCH("Mshwari",C15)),"Mshwari",IF(ISNUMBER(SEARCH("Withdrawal charge",C15)),"Fees",IF(ISNUMBER(SEARCH("Customer Withdrawal",C15)),"Fees",IF(ISNUMBER(SEARCH("charge",C15)),"Fees","Other")))))))))))))))))))))))))</f>
        <v>Bundles</v>
      </c>
      <c r="R15" s="1" t="str">
        <f aca="false">TEXT(B2,"MMM YYYY")</f>
        <v>Jan 2026</v>
      </c>
    </row>
    <row r="16" customFormat="false" ht="13.8" hidden="false" customHeight="false" outlineLevel="0" collapsed="false">
      <c r="A16" s="4" t="s">
        <v>60</v>
      </c>
      <c r="B16" s="4" t="s">
        <v>61</v>
      </c>
      <c r="C16" s="4" t="s">
        <v>17</v>
      </c>
      <c r="D16" s="4" t="s">
        <v>18</v>
      </c>
      <c r="E16" s="4"/>
      <c r="F16" s="4" t="n">
        <v>10</v>
      </c>
      <c r="G16" s="4" t="n">
        <v>2080</v>
      </c>
      <c r="L16" s="1" t="str">
        <f aca="false">IF(ISNUMBER(SEARCH("Bundle",C16)),"Bundles",IF(ISNUMBER(SEARCH("Airtime",C16)),"Bundles",IF(ISNUMBER(SEARCH("Merchant",C16)),"Merchant Payment",IF(ISNUMBER(SEARCH("Offnet C2B",C16)),"Merchant Payment",IF(ISNUMBER(SEARCH("Offnet B2C",C16)),"Merchant Payment",IF(ISNUMBER(SEARCH("Customer Payment to Small",C16)),"Merchant Payment",IF(ISNUMBER(SEARCH("Payment to Small Business",C16)),"Merchant Payment",IF(ISNUMBER(SEARCH("Sent to",C16)),"Sent to Person",IF(ISNUMBER(SEARCH("Customer Transfer to",C16)),"Sent to Person",IF(ISNUMBER(SEARCH("Business Payment",C16)),"Money In",IF(ISNUMBER(SEARCH("Funds Received",C16)),"Money In",IF(ISNUMBER(SEARCH("Receive International",C16)),"Money In",IF(ISNUMBER(SEARCH("Send Money Reversal",C16)),"Money In",IF(ISNUMBER(SEARCH("Pay Utility Reversal",C16)),"Money In",IF(ISNUMBER(SEARCH("Customer Transfer",C16)),"Money In",IF(ISNUMBER(SEARCH("Ziidi",C16)),"Investment",IF(ISNUMBER(SEARCH("Nabo",C16)),"Investment",IF(ISNUMBER(SEARCH("Paybill Online",C16)),"Pay Bill",IF(ISNUMBER(SEARCH("Pay Bill",C16)),"Pay Bill",IF(ISNUMBER(SEARCH("Spotify",C16)),"Pay Bill",IF(ISNUMBER(SEARCH("M-Shwari",C16)),"Mshwari",IF(ISNUMBER(SEARCH("Mshwari",C16)),"Mshwari",IF(ISNUMBER(SEARCH("Withdrawal charge",C16)),"Fees",IF(ISNUMBER(SEARCH("Customer Withdrawal",C16)),"Fees",IF(ISNUMBER(SEARCH("charge",C16)),"Fees","Other")))))))))))))))))))))))))</f>
        <v>Bundles</v>
      </c>
      <c r="R16" s="1" t="str">
        <f aca="false">TEXT(B2,"MMM YYYY")</f>
        <v>Jan 2026</v>
      </c>
    </row>
    <row r="17" customFormat="false" ht="13.8" hidden="false" customHeight="false" outlineLevel="0" collapsed="false">
      <c r="A17" s="4" t="s">
        <v>62</v>
      </c>
      <c r="B17" s="4" t="s">
        <v>63</v>
      </c>
      <c r="C17" s="4" t="s">
        <v>29</v>
      </c>
      <c r="D17" s="4" t="s">
        <v>18</v>
      </c>
      <c r="E17" s="4"/>
      <c r="F17" s="4" t="n">
        <v>10</v>
      </c>
      <c r="G17" s="4" t="n">
        <v>2070</v>
      </c>
      <c r="L17" s="1" t="str">
        <f aca="false">IF(ISNUMBER(SEARCH("Bundle",C17)),"Bundles",IF(ISNUMBER(SEARCH("Airtime",C17)),"Bundles",IF(ISNUMBER(SEARCH("Merchant",C17)),"Merchant Payment",IF(ISNUMBER(SEARCH("Offnet C2B",C17)),"Merchant Payment",IF(ISNUMBER(SEARCH("Offnet B2C",C17)),"Merchant Payment",IF(ISNUMBER(SEARCH("Customer Payment to Small",C17)),"Merchant Payment",IF(ISNUMBER(SEARCH("Payment to Small Business",C17)),"Merchant Payment",IF(ISNUMBER(SEARCH("Sent to",C17)),"Sent to Person",IF(ISNUMBER(SEARCH("Customer Transfer to",C17)),"Sent to Person",IF(ISNUMBER(SEARCH("Business Payment",C17)),"Money In",IF(ISNUMBER(SEARCH("Funds Received",C17)),"Money In",IF(ISNUMBER(SEARCH("Receive International",C17)),"Money In",IF(ISNUMBER(SEARCH("Send Money Reversal",C17)),"Money In",IF(ISNUMBER(SEARCH("Pay Utility Reversal",C17)),"Money In",IF(ISNUMBER(SEARCH("Customer Transfer",C17)),"Money In",IF(ISNUMBER(SEARCH("Ziidi",C17)),"Investment",IF(ISNUMBER(SEARCH("Nabo",C17)),"Investment",IF(ISNUMBER(SEARCH("Paybill Online",C17)),"Pay Bill",IF(ISNUMBER(SEARCH("Pay Bill",C17)),"Pay Bill",IF(ISNUMBER(SEARCH("Spotify",C17)),"Pay Bill",IF(ISNUMBER(SEARCH("M-Shwari",C17)),"Mshwari",IF(ISNUMBER(SEARCH("Mshwari",C17)),"Mshwari",IF(ISNUMBER(SEARCH("Withdrawal charge",C17)),"Fees",IF(ISNUMBER(SEARCH("Customer Withdrawal",C17)),"Fees",IF(ISNUMBER(SEARCH("charge",C17)),"Fees","Other")))))))))))))))))))))))))</f>
        <v>Bundles</v>
      </c>
      <c r="R17" s="1" t="str">
        <f aca="false">TEXT(B2,"MMM YYYY")</f>
        <v>Jan 2026</v>
      </c>
    </row>
    <row r="18" customFormat="false" ht="13.8" hidden="false" customHeight="false" outlineLevel="0" collapsed="false">
      <c r="A18" s="4" t="s">
        <v>64</v>
      </c>
      <c r="B18" s="4" t="s">
        <v>65</v>
      </c>
      <c r="C18" s="4" t="s">
        <v>29</v>
      </c>
      <c r="D18" s="4" t="s">
        <v>18</v>
      </c>
      <c r="E18" s="4"/>
      <c r="F18" s="4" t="n">
        <v>10</v>
      </c>
      <c r="G18" s="4" t="n">
        <v>2060</v>
      </c>
      <c r="L18" s="1" t="str">
        <f aca="false">IF(ISNUMBER(SEARCH("Bundle",C18)),"Bundles",IF(ISNUMBER(SEARCH("Airtime",C18)),"Bundles",IF(ISNUMBER(SEARCH("Merchant",C18)),"Merchant Payment",IF(ISNUMBER(SEARCH("Offnet C2B",C18)),"Merchant Payment",IF(ISNUMBER(SEARCH("Offnet B2C",C18)),"Merchant Payment",IF(ISNUMBER(SEARCH("Customer Payment to Small",C18)),"Merchant Payment",IF(ISNUMBER(SEARCH("Payment to Small Business",C18)),"Merchant Payment",IF(ISNUMBER(SEARCH("Sent to",C18)),"Sent to Person",IF(ISNUMBER(SEARCH("Customer Transfer to",C18)),"Sent to Person",IF(ISNUMBER(SEARCH("Business Payment",C18)),"Money In",IF(ISNUMBER(SEARCH("Funds Received",C18)),"Money In",IF(ISNUMBER(SEARCH("Receive International",C18)),"Money In",IF(ISNUMBER(SEARCH("Send Money Reversal",C18)),"Money In",IF(ISNUMBER(SEARCH("Pay Utility Reversal",C18)),"Money In",IF(ISNUMBER(SEARCH("Customer Transfer",C18)),"Money In",IF(ISNUMBER(SEARCH("Ziidi",C18)),"Investment",IF(ISNUMBER(SEARCH("Nabo",C18)),"Investment",IF(ISNUMBER(SEARCH("Paybill Online",C18)),"Pay Bill",IF(ISNUMBER(SEARCH("Pay Bill",C18)),"Pay Bill",IF(ISNUMBER(SEARCH("Spotify",C18)),"Pay Bill",IF(ISNUMBER(SEARCH("M-Shwari",C18)),"Mshwari",IF(ISNUMBER(SEARCH("Mshwari",C18)),"Mshwari",IF(ISNUMBER(SEARCH("Withdrawal charge",C18)),"Fees",IF(ISNUMBER(SEARCH("Customer Withdrawal",C18)),"Fees",IF(ISNUMBER(SEARCH("charge",C18)),"Fees","Other")))))))))))))))))))))))))</f>
        <v>Bundles</v>
      </c>
      <c r="R18" s="1" t="str">
        <f aca="false">TEXT(B2,"MMM YYYY")</f>
        <v>Jan 2026</v>
      </c>
    </row>
    <row r="19" customFormat="false" ht="13.8" hidden="false" customHeight="false" outlineLevel="0" collapsed="false">
      <c r="A19" s="4" t="s">
        <v>66</v>
      </c>
      <c r="B19" s="4" t="s">
        <v>67</v>
      </c>
      <c r="C19" s="4" t="s">
        <v>29</v>
      </c>
      <c r="D19" s="4" t="s">
        <v>18</v>
      </c>
      <c r="E19" s="4"/>
      <c r="F19" s="4" t="n">
        <v>10</v>
      </c>
      <c r="G19" s="4" t="n">
        <v>2050</v>
      </c>
      <c r="L19" s="1" t="str">
        <f aca="false">IF(ISNUMBER(SEARCH("Bundle",C19)),"Bundles",IF(ISNUMBER(SEARCH("Airtime",C19)),"Bundles",IF(ISNUMBER(SEARCH("Merchant",C19)),"Merchant Payment",IF(ISNUMBER(SEARCH("Offnet C2B",C19)),"Merchant Payment",IF(ISNUMBER(SEARCH("Offnet B2C",C19)),"Merchant Payment",IF(ISNUMBER(SEARCH("Customer Payment to Small",C19)),"Merchant Payment",IF(ISNUMBER(SEARCH("Payment to Small Business",C19)),"Merchant Payment",IF(ISNUMBER(SEARCH("Sent to",C19)),"Sent to Person",IF(ISNUMBER(SEARCH("Customer Transfer to",C19)),"Sent to Person",IF(ISNUMBER(SEARCH("Business Payment",C19)),"Money In",IF(ISNUMBER(SEARCH("Funds Received",C19)),"Money In",IF(ISNUMBER(SEARCH("Receive International",C19)),"Money In",IF(ISNUMBER(SEARCH("Send Money Reversal",C19)),"Money In",IF(ISNUMBER(SEARCH("Pay Utility Reversal",C19)),"Money In",IF(ISNUMBER(SEARCH("Customer Transfer",C19)),"Money In",IF(ISNUMBER(SEARCH("Ziidi",C19)),"Investment",IF(ISNUMBER(SEARCH("Nabo",C19)),"Investment",IF(ISNUMBER(SEARCH("Paybill Online",C19)),"Pay Bill",IF(ISNUMBER(SEARCH("Pay Bill",C19)),"Pay Bill",IF(ISNUMBER(SEARCH("Spotify",C19)),"Pay Bill",IF(ISNUMBER(SEARCH("M-Shwari",C19)),"Mshwari",IF(ISNUMBER(SEARCH("Mshwari",C19)),"Mshwari",IF(ISNUMBER(SEARCH("Withdrawal charge",C19)),"Fees",IF(ISNUMBER(SEARCH("Customer Withdrawal",C19)),"Fees",IF(ISNUMBER(SEARCH("charge",C19)),"Fees","Other")))))))))))))))))))))))))</f>
        <v>Bundles</v>
      </c>
      <c r="R19" s="1" t="str">
        <f aca="false">TEXT(B2,"MMM YYYY")</f>
        <v>Jan 2026</v>
      </c>
    </row>
    <row r="20" customFormat="false" ht="13.8" hidden="false" customHeight="false" outlineLevel="0" collapsed="false">
      <c r="A20" s="4" t="s">
        <v>68</v>
      </c>
      <c r="B20" s="4" t="s">
        <v>69</v>
      </c>
      <c r="C20" s="4" t="s">
        <v>29</v>
      </c>
      <c r="D20" s="4" t="s">
        <v>18</v>
      </c>
      <c r="E20" s="4"/>
      <c r="F20" s="4" t="n">
        <v>10</v>
      </c>
      <c r="G20" s="4" t="n">
        <v>2040</v>
      </c>
      <c r="L20" s="1" t="str">
        <f aca="false">IF(ISNUMBER(SEARCH("Bundle",C20)),"Bundles",IF(ISNUMBER(SEARCH("Airtime",C20)),"Bundles",IF(ISNUMBER(SEARCH("Merchant",C20)),"Merchant Payment",IF(ISNUMBER(SEARCH("Offnet C2B",C20)),"Merchant Payment",IF(ISNUMBER(SEARCH("Offnet B2C",C20)),"Merchant Payment",IF(ISNUMBER(SEARCH("Customer Payment to Small",C20)),"Merchant Payment",IF(ISNUMBER(SEARCH("Payment to Small Business",C20)),"Merchant Payment",IF(ISNUMBER(SEARCH("Sent to",C20)),"Sent to Person",IF(ISNUMBER(SEARCH("Customer Transfer to",C20)),"Sent to Person",IF(ISNUMBER(SEARCH("Business Payment",C20)),"Money In",IF(ISNUMBER(SEARCH("Funds Received",C20)),"Money In",IF(ISNUMBER(SEARCH("Receive International",C20)),"Money In",IF(ISNUMBER(SEARCH("Send Money Reversal",C20)),"Money In",IF(ISNUMBER(SEARCH("Pay Utility Reversal",C20)),"Money In",IF(ISNUMBER(SEARCH("Customer Transfer",C20)),"Money In",IF(ISNUMBER(SEARCH("Ziidi",C20)),"Investment",IF(ISNUMBER(SEARCH("Nabo",C20)),"Investment",IF(ISNUMBER(SEARCH("Paybill Online",C20)),"Pay Bill",IF(ISNUMBER(SEARCH("Pay Bill",C20)),"Pay Bill",IF(ISNUMBER(SEARCH("Spotify",C20)),"Pay Bill",IF(ISNUMBER(SEARCH("M-Shwari",C20)),"Mshwari",IF(ISNUMBER(SEARCH("Mshwari",C20)),"Mshwari",IF(ISNUMBER(SEARCH("Withdrawal charge",C20)),"Fees",IF(ISNUMBER(SEARCH("Customer Withdrawal",C20)),"Fees",IF(ISNUMBER(SEARCH("charge",C20)),"Fees","Other")))))))))))))))))))))))))</f>
        <v>Bundles</v>
      </c>
      <c r="R20" s="1" t="str">
        <f aca="false">TEXT(B2,"MMM YYYY")</f>
        <v>Jan 2026</v>
      </c>
    </row>
    <row r="21" customFormat="false" ht="13.8" hidden="false" customHeight="false" outlineLevel="0" collapsed="false">
      <c r="A21" s="4" t="s">
        <v>70</v>
      </c>
      <c r="B21" s="4" t="s">
        <v>71</v>
      </c>
      <c r="C21" s="4" t="s">
        <v>29</v>
      </c>
      <c r="D21" s="4" t="s">
        <v>18</v>
      </c>
      <c r="E21" s="4"/>
      <c r="F21" s="4" t="n">
        <v>30</v>
      </c>
      <c r="G21" s="4" t="n">
        <v>2010</v>
      </c>
      <c r="L21" s="1" t="str">
        <f aca="false">IF(ISNUMBER(SEARCH("Bundle",C21)),"Bundles",IF(ISNUMBER(SEARCH("Airtime",C21)),"Bundles",IF(ISNUMBER(SEARCH("Merchant",C21)),"Merchant Payment",IF(ISNUMBER(SEARCH("Offnet C2B",C21)),"Merchant Payment",IF(ISNUMBER(SEARCH("Offnet B2C",C21)),"Merchant Payment",IF(ISNUMBER(SEARCH("Customer Payment to Small",C21)),"Merchant Payment",IF(ISNUMBER(SEARCH("Payment to Small Business",C21)),"Merchant Payment",IF(ISNUMBER(SEARCH("Sent to",C21)),"Sent to Person",IF(ISNUMBER(SEARCH("Customer Transfer to",C21)),"Sent to Person",IF(ISNUMBER(SEARCH("Business Payment",C21)),"Money In",IF(ISNUMBER(SEARCH("Funds Received",C21)),"Money In",IF(ISNUMBER(SEARCH("Receive International",C21)),"Money In",IF(ISNUMBER(SEARCH("Send Money Reversal",C21)),"Money In",IF(ISNUMBER(SEARCH("Pay Utility Reversal",C21)),"Money In",IF(ISNUMBER(SEARCH("Customer Transfer",C21)),"Money In",IF(ISNUMBER(SEARCH("Ziidi",C21)),"Investment",IF(ISNUMBER(SEARCH("Nabo",C21)),"Investment",IF(ISNUMBER(SEARCH("Paybill Online",C21)),"Pay Bill",IF(ISNUMBER(SEARCH("Pay Bill",C21)),"Pay Bill",IF(ISNUMBER(SEARCH("Spotify",C21)),"Pay Bill",IF(ISNUMBER(SEARCH("M-Shwari",C21)),"Mshwari",IF(ISNUMBER(SEARCH("Mshwari",C21)),"Mshwari",IF(ISNUMBER(SEARCH("Withdrawal charge",C21)),"Fees",IF(ISNUMBER(SEARCH("Customer Withdrawal",C21)),"Fees",IF(ISNUMBER(SEARCH("charge",C21)),"Fees","Other")))))))))))))))))))))))))</f>
        <v>Bundles</v>
      </c>
      <c r="R21" s="1" t="str">
        <f aca="false">TEXT(B2,"MMM YYYY")</f>
        <v>Jan 2026</v>
      </c>
    </row>
    <row r="22" customFormat="false" ht="13.8" hidden="false" customHeight="false" outlineLevel="0" collapsed="false">
      <c r="A22" s="4" t="s">
        <v>72</v>
      </c>
      <c r="B22" s="4" t="s">
        <v>73</v>
      </c>
      <c r="C22" s="4" t="s">
        <v>29</v>
      </c>
      <c r="D22" s="4" t="s">
        <v>18</v>
      </c>
      <c r="E22" s="4"/>
      <c r="F22" s="4" t="n">
        <v>30</v>
      </c>
      <c r="G22" s="4" t="n">
        <v>1980</v>
      </c>
      <c r="L22" s="1" t="str">
        <f aca="false">IF(ISNUMBER(SEARCH("Bundle",C22)),"Bundles",IF(ISNUMBER(SEARCH("Airtime",C22)),"Bundles",IF(ISNUMBER(SEARCH("Merchant",C22)),"Merchant Payment",IF(ISNUMBER(SEARCH("Offnet C2B",C22)),"Merchant Payment",IF(ISNUMBER(SEARCH("Offnet B2C",C22)),"Merchant Payment",IF(ISNUMBER(SEARCH("Customer Payment to Small",C22)),"Merchant Payment",IF(ISNUMBER(SEARCH("Payment to Small Business",C22)),"Merchant Payment",IF(ISNUMBER(SEARCH("Sent to",C22)),"Sent to Person",IF(ISNUMBER(SEARCH("Customer Transfer to",C22)),"Sent to Person",IF(ISNUMBER(SEARCH("Business Payment",C22)),"Money In",IF(ISNUMBER(SEARCH("Funds Received",C22)),"Money In",IF(ISNUMBER(SEARCH("Receive International",C22)),"Money In",IF(ISNUMBER(SEARCH("Send Money Reversal",C22)),"Money In",IF(ISNUMBER(SEARCH("Pay Utility Reversal",C22)),"Money In",IF(ISNUMBER(SEARCH("Customer Transfer",C22)),"Money In",IF(ISNUMBER(SEARCH("Ziidi",C22)),"Investment",IF(ISNUMBER(SEARCH("Nabo",C22)),"Investment",IF(ISNUMBER(SEARCH("Paybill Online",C22)),"Pay Bill",IF(ISNUMBER(SEARCH("Pay Bill",C22)),"Pay Bill",IF(ISNUMBER(SEARCH("Spotify",C22)),"Pay Bill",IF(ISNUMBER(SEARCH("M-Shwari",C22)),"Mshwari",IF(ISNUMBER(SEARCH("Mshwari",C22)),"Mshwari",IF(ISNUMBER(SEARCH("Withdrawal charge",C22)),"Fees",IF(ISNUMBER(SEARCH("Customer Withdrawal",C22)),"Fees",IF(ISNUMBER(SEARCH("charge",C22)),"Fees","Other")))))))))))))))))))))))))</f>
        <v>Bundles</v>
      </c>
      <c r="R22" s="1" t="str">
        <f aca="false">TEXT(B2,"MMM YYYY")</f>
        <v>Jan 2026</v>
      </c>
    </row>
    <row r="23" customFormat="false" ht="13.8" hidden="false" customHeight="false" outlineLevel="0" collapsed="false">
      <c r="A23" s="4" t="s">
        <v>74</v>
      </c>
      <c r="B23" s="4" t="s">
        <v>75</v>
      </c>
      <c r="C23" s="4" t="s">
        <v>29</v>
      </c>
      <c r="D23" s="4" t="s">
        <v>18</v>
      </c>
      <c r="E23" s="4"/>
      <c r="F23" s="4" t="n">
        <v>30</v>
      </c>
      <c r="G23" s="4" t="n">
        <v>1950</v>
      </c>
      <c r="L23" s="1" t="str">
        <f aca="false">IF(ISNUMBER(SEARCH("Bundle",C23)),"Bundles",IF(ISNUMBER(SEARCH("Airtime",C23)),"Bundles",IF(ISNUMBER(SEARCH("Merchant",C23)),"Merchant Payment",IF(ISNUMBER(SEARCH("Offnet C2B",C23)),"Merchant Payment",IF(ISNUMBER(SEARCH("Offnet B2C",C23)),"Merchant Payment",IF(ISNUMBER(SEARCH("Customer Payment to Small",C23)),"Merchant Payment",IF(ISNUMBER(SEARCH("Payment to Small Business",C23)),"Merchant Payment",IF(ISNUMBER(SEARCH("Sent to",C23)),"Sent to Person",IF(ISNUMBER(SEARCH("Customer Transfer to",C23)),"Sent to Person",IF(ISNUMBER(SEARCH("Business Payment",C23)),"Money In",IF(ISNUMBER(SEARCH("Funds Received",C23)),"Money In",IF(ISNUMBER(SEARCH("Receive International",C23)),"Money In",IF(ISNUMBER(SEARCH("Send Money Reversal",C23)),"Money In",IF(ISNUMBER(SEARCH("Pay Utility Reversal",C23)),"Money In",IF(ISNUMBER(SEARCH("Customer Transfer",C23)),"Money In",IF(ISNUMBER(SEARCH("Ziidi",C23)),"Investment",IF(ISNUMBER(SEARCH("Nabo",C23)),"Investment",IF(ISNUMBER(SEARCH("Paybill Online",C23)),"Pay Bill",IF(ISNUMBER(SEARCH("Pay Bill",C23)),"Pay Bill",IF(ISNUMBER(SEARCH("Spotify",C23)),"Pay Bill",IF(ISNUMBER(SEARCH("M-Shwari",C23)),"Mshwari",IF(ISNUMBER(SEARCH("Mshwari",C23)),"Mshwari",IF(ISNUMBER(SEARCH("Withdrawal charge",C23)),"Fees",IF(ISNUMBER(SEARCH("Customer Withdrawal",C23)),"Fees",IF(ISNUMBER(SEARCH("charge",C23)),"Fees","Other")))))))))))))))))))))))))</f>
        <v>Bundles</v>
      </c>
      <c r="R23" s="1" t="str">
        <f aca="false">TEXT(B2,"MMM YYYY")</f>
        <v>Jan 2026</v>
      </c>
    </row>
    <row r="24" customFormat="false" ht="13.8" hidden="false" customHeight="false" outlineLevel="0" collapsed="false">
      <c r="A24" s="4" t="s">
        <v>76</v>
      </c>
      <c r="B24" s="4" t="s">
        <v>77</v>
      </c>
      <c r="C24" s="4" t="s">
        <v>29</v>
      </c>
      <c r="D24" s="4" t="s">
        <v>18</v>
      </c>
      <c r="E24" s="4"/>
      <c r="F24" s="4" t="n">
        <v>30</v>
      </c>
      <c r="G24" s="4" t="n">
        <v>1920</v>
      </c>
      <c r="L24" s="1" t="str">
        <f aca="false">IF(ISNUMBER(SEARCH("Bundle",C24)),"Bundles",IF(ISNUMBER(SEARCH("Airtime",C24)),"Bundles",IF(ISNUMBER(SEARCH("Merchant",C24)),"Merchant Payment",IF(ISNUMBER(SEARCH("Offnet C2B",C24)),"Merchant Payment",IF(ISNUMBER(SEARCH("Offnet B2C",C24)),"Merchant Payment",IF(ISNUMBER(SEARCH("Customer Payment to Small",C24)),"Merchant Payment",IF(ISNUMBER(SEARCH("Payment to Small Business",C24)),"Merchant Payment",IF(ISNUMBER(SEARCH("Sent to",C24)),"Sent to Person",IF(ISNUMBER(SEARCH("Customer Transfer to",C24)),"Sent to Person",IF(ISNUMBER(SEARCH("Business Payment",C24)),"Money In",IF(ISNUMBER(SEARCH("Funds Received",C24)),"Money In",IF(ISNUMBER(SEARCH("Receive International",C24)),"Money In",IF(ISNUMBER(SEARCH("Send Money Reversal",C24)),"Money In",IF(ISNUMBER(SEARCH("Pay Utility Reversal",C24)),"Money In",IF(ISNUMBER(SEARCH("Customer Transfer",C24)),"Money In",IF(ISNUMBER(SEARCH("Ziidi",C24)),"Investment",IF(ISNUMBER(SEARCH("Nabo",C24)),"Investment",IF(ISNUMBER(SEARCH("Paybill Online",C24)),"Pay Bill",IF(ISNUMBER(SEARCH("Pay Bill",C24)),"Pay Bill",IF(ISNUMBER(SEARCH("Spotify",C24)),"Pay Bill",IF(ISNUMBER(SEARCH("M-Shwari",C24)),"Mshwari",IF(ISNUMBER(SEARCH("Mshwari",C24)),"Mshwari",IF(ISNUMBER(SEARCH("Withdrawal charge",C24)),"Fees",IF(ISNUMBER(SEARCH("Customer Withdrawal",C24)),"Fees",IF(ISNUMBER(SEARCH("charge",C24)),"Fees","Other")))))))))))))))))))))))))</f>
        <v>Bundles</v>
      </c>
      <c r="R24" s="1" t="str">
        <f aca="false">TEXT(B2,"MMM YYYY")</f>
        <v>Jan 2026</v>
      </c>
    </row>
    <row r="25" customFormat="false" ht="13.8" hidden="false" customHeight="false" outlineLevel="0" collapsed="false">
      <c r="A25" s="4" t="s">
        <v>78</v>
      </c>
      <c r="B25" s="4" t="s">
        <v>79</v>
      </c>
      <c r="C25" s="4" t="s">
        <v>29</v>
      </c>
      <c r="D25" s="4" t="s">
        <v>18</v>
      </c>
      <c r="E25" s="4"/>
      <c r="F25" s="4" t="n">
        <v>10</v>
      </c>
      <c r="G25" s="4" t="n">
        <v>1910</v>
      </c>
      <c r="L25" s="1" t="str">
        <f aca="false">IF(ISNUMBER(SEARCH("Bundle",C25)),"Bundles",IF(ISNUMBER(SEARCH("Airtime",C25)),"Bundles",IF(ISNUMBER(SEARCH("Merchant",C25)),"Merchant Payment",IF(ISNUMBER(SEARCH("Offnet C2B",C25)),"Merchant Payment",IF(ISNUMBER(SEARCH("Offnet B2C",C25)),"Merchant Payment",IF(ISNUMBER(SEARCH("Customer Payment to Small",C25)),"Merchant Payment",IF(ISNUMBER(SEARCH("Payment to Small Business",C25)),"Merchant Payment",IF(ISNUMBER(SEARCH("Sent to",C25)),"Sent to Person",IF(ISNUMBER(SEARCH("Customer Transfer to",C25)),"Sent to Person",IF(ISNUMBER(SEARCH("Business Payment",C25)),"Money In",IF(ISNUMBER(SEARCH("Funds Received",C25)),"Money In",IF(ISNUMBER(SEARCH("Receive International",C25)),"Money In",IF(ISNUMBER(SEARCH("Send Money Reversal",C25)),"Money In",IF(ISNUMBER(SEARCH("Pay Utility Reversal",C25)),"Money In",IF(ISNUMBER(SEARCH("Customer Transfer",C25)),"Money In",IF(ISNUMBER(SEARCH("Ziidi",C25)),"Investment",IF(ISNUMBER(SEARCH("Nabo",C25)),"Investment",IF(ISNUMBER(SEARCH("Paybill Online",C25)),"Pay Bill",IF(ISNUMBER(SEARCH("Pay Bill",C25)),"Pay Bill",IF(ISNUMBER(SEARCH("Spotify",C25)),"Pay Bill",IF(ISNUMBER(SEARCH("M-Shwari",C25)),"Mshwari",IF(ISNUMBER(SEARCH("Mshwari",C25)),"Mshwari",IF(ISNUMBER(SEARCH("Withdrawal charge",C25)),"Fees",IF(ISNUMBER(SEARCH("Customer Withdrawal",C25)),"Fees",IF(ISNUMBER(SEARCH("charge",C25)),"Fees","Other")))))))))))))))))))))))))</f>
        <v>Bundles</v>
      </c>
      <c r="R25" s="1" t="str">
        <f aca="false">TEXT(B2,"MMM YYYY")</f>
        <v>Jan 2026</v>
      </c>
    </row>
    <row r="26" customFormat="false" ht="13.8" hidden="false" customHeight="false" outlineLevel="0" collapsed="false">
      <c r="A26" s="4" t="s">
        <v>80</v>
      </c>
      <c r="B26" s="4" t="s">
        <v>81</v>
      </c>
      <c r="C26" s="4" t="s">
        <v>29</v>
      </c>
      <c r="D26" s="4" t="s">
        <v>18</v>
      </c>
      <c r="E26" s="4"/>
      <c r="F26" s="4" t="n">
        <v>10</v>
      </c>
      <c r="G26" s="4" t="n">
        <v>1900</v>
      </c>
      <c r="L26" s="1" t="str">
        <f aca="false">IF(ISNUMBER(SEARCH("Bundle",C26)),"Bundles",IF(ISNUMBER(SEARCH("Airtime",C26)),"Bundles",IF(ISNUMBER(SEARCH("Merchant",C26)),"Merchant Payment",IF(ISNUMBER(SEARCH("Offnet C2B",C26)),"Merchant Payment",IF(ISNUMBER(SEARCH("Offnet B2C",C26)),"Merchant Payment",IF(ISNUMBER(SEARCH("Customer Payment to Small",C26)),"Merchant Payment",IF(ISNUMBER(SEARCH("Payment to Small Business",C26)),"Merchant Payment",IF(ISNUMBER(SEARCH("Sent to",C26)),"Sent to Person",IF(ISNUMBER(SEARCH("Customer Transfer to",C26)),"Sent to Person",IF(ISNUMBER(SEARCH("Business Payment",C26)),"Money In",IF(ISNUMBER(SEARCH("Funds Received",C26)),"Money In",IF(ISNUMBER(SEARCH("Receive International",C26)),"Money In",IF(ISNUMBER(SEARCH("Send Money Reversal",C26)),"Money In",IF(ISNUMBER(SEARCH("Pay Utility Reversal",C26)),"Money In",IF(ISNUMBER(SEARCH("Customer Transfer",C26)),"Money In",IF(ISNUMBER(SEARCH("Ziidi",C26)),"Investment",IF(ISNUMBER(SEARCH("Nabo",C26)),"Investment",IF(ISNUMBER(SEARCH("Paybill Online",C26)),"Pay Bill",IF(ISNUMBER(SEARCH("Pay Bill",C26)),"Pay Bill",IF(ISNUMBER(SEARCH("Spotify",C26)),"Pay Bill",IF(ISNUMBER(SEARCH("M-Shwari",C26)),"Mshwari",IF(ISNUMBER(SEARCH("Mshwari",C26)),"Mshwari",IF(ISNUMBER(SEARCH("Withdrawal charge",C26)),"Fees",IF(ISNUMBER(SEARCH("Customer Withdrawal",C26)),"Fees",IF(ISNUMBER(SEARCH("charge",C26)),"Fees","Other")))))))))))))))))))))))))</f>
        <v>Bundles</v>
      </c>
      <c r="R26" s="1" t="str">
        <f aca="false">TEXT(B2,"MMM YYYY")</f>
        <v>Jan 2026</v>
      </c>
    </row>
    <row r="27" customFormat="false" ht="13.8" hidden="false" customHeight="false" outlineLevel="0" collapsed="false">
      <c r="A27" s="4" t="s">
        <v>82</v>
      </c>
      <c r="B27" s="4" t="s">
        <v>83</v>
      </c>
      <c r="C27" s="4" t="s">
        <v>29</v>
      </c>
      <c r="D27" s="4" t="s">
        <v>18</v>
      </c>
      <c r="E27" s="4"/>
      <c r="F27" s="4" t="n">
        <v>30</v>
      </c>
      <c r="G27" s="4" t="n">
        <v>1870</v>
      </c>
      <c r="L27" s="1" t="str">
        <f aca="false">IF(ISNUMBER(SEARCH("Bundle",C27)),"Bundles",IF(ISNUMBER(SEARCH("Airtime",C27)),"Bundles",IF(ISNUMBER(SEARCH("Merchant",C27)),"Merchant Payment",IF(ISNUMBER(SEARCH("Offnet C2B",C27)),"Merchant Payment",IF(ISNUMBER(SEARCH("Offnet B2C",C27)),"Merchant Payment",IF(ISNUMBER(SEARCH("Customer Payment to Small",C27)),"Merchant Payment",IF(ISNUMBER(SEARCH("Payment to Small Business",C27)),"Merchant Payment",IF(ISNUMBER(SEARCH("Sent to",C27)),"Sent to Person",IF(ISNUMBER(SEARCH("Customer Transfer to",C27)),"Sent to Person",IF(ISNUMBER(SEARCH("Business Payment",C27)),"Money In",IF(ISNUMBER(SEARCH("Funds Received",C27)),"Money In",IF(ISNUMBER(SEARCH("Receive International",C27)),"Money In",IF(ISNUMBER(SEARCH("Send Money Reversal",C27)),"Money In",IF(ISNUMBER(SEARCH("Pay Utility Reversal",C27)),"Money In",IF(ISNUMBER(SEARCH("Customer Transfer",C27)),"Money In",IF(ISNUMBER(SEARCH("Ziidi",C27)),"Investment",IF(ISNUMBER(SEARCH("Nabo",C27)),"Investment",IF(ISNUMBER(SEARCH("Paybill Online",C27)),"Pay Bill",IF(ISNUMBER(SEARCH("Pay Bill",C27)),"Pay Bill",IF(ISNUMBER(SEARCH("Spotify",C27)),"Pay Bill",IF(ISNUMBER(SEARCH("M-Shwari",C27)),"Mshwari",IF(ISNUMBER(SEARCH("Mshwari",C27)),"Mshwari",IF(ISNUMBER(SEARCH("Withdrawal charge",C27)),"Fees",IF(ISNUMBER(SEARCH("Customer Withdrawal",C27)),"Fees",IF(ISNUMBER(SEARCH("charge",C27)),"Fees","Other")))))))))))))))))))))))))</f>
        <v>Bundles</v>
      </c>
      <c r="R27" s="1" t="str">
        <f aca="false">TEXT(B2,"MMM YYYY")</f>
        <v>Jan 2026</v>
      </c>
    </row>
    <row r="28" customFormat="false" ht="13.8" hidden="false" customHeight="false" outlineLevel="0" collapsed="false">
      <c r="A28" s="4" t="s">
        <v>84</v>
      </c>
      <c r="B28" s="4" t="s">
        <v>85</v>
      </c>
      <c r="C28" s="4" t="s">
        <v>29</v>
      </c>
      <c r="D28" s="4" t="s">
        <v>18</v>
      </c>
      <c r="E28" s="4"/>
      <c r="F28" s="4" t="n">
        <v>20</v>
      </c>
      <c r="G28" s="4" t="n">
        <v>1850</v>
      </c>
      <c r="L28" s="1" t="str">
        <f aca="false">IF(ISNUMBER(SEARCH("Bundle",C28)),"Bundles",IF(ISNUMBER(SEARCH("Airtime",C28)),"Bundles",IF(ISNUMBER(SEARCH("Merchant",C28)),"Merchant Payment",IF(ISNUMBER(SEARCH("Offnet C2B",C28)),"Merchant Payment",IF(ISNUMBER(SEARCH("Offnet B2C",C28)),"Merchant Payment",IF(ISNUMBER(SEARCH("Customer Payment to Small",C28)),"Merchant Payment",IF(ISNUMBER(SEARCH("Payment to Small Business",C28)),"Merchant Payment",IF(ISNUMBER(SEARCH("Sent to",C28)),"Sent to Person",IF(ISNUMBER(SEARCH("Customer Transfer to",C28)),"Sent to Person",IF(ISNUMBER(SEARCH("Business Payment",C28)),"Money In",IF(ISNUMBER(SEARCH("Funds Received",C28)),"Money In",IF(ISNUMBER(SEARCH("Receive International",C28)),"Money In",IF(ISNUMBER(SEARCH("Send Money Reversal",C28)),"Money In",IF(ISNUMBER(SEARCH("Pay Utility Reversal",C28)),"Money In",IF(ISNUMBER(SEARCH("Customer Transfer",C28)),"Money In",IF(ISNUMBER(SEARCH("Ziidi",C28)),"Investment",IF(ISNUMBER(SEARCH("Nabo",C28)),"Investment",IF(ISNUMBER(SEARCH("Paybill Online",C28)),"Pay Bill",IF(ISNUMBER(SEARCH("Pay Bill",C28)),"Pay Bill",IF(ISNUMBER(SEARCH("Spotify",C28)),"Pay Bill",IF(ISNUMBER(SEARCH("M-Shwari",C28)),"Mshwari",IF(ISNUMBER(SEARCH("Mshwari",C28)),"Mshwari",IF(ISNUMBER(SEARCH("Withdrawal charge",C28)),"Fees",IF(ISNUMBER(SEARCH("Customer Withdrawal",C28)),"Fees",IF(ISNUMBER(SEARCH("charge",C28)),"Fees","Other")))))))))))))))))))))))))</f>
        <v>Bundles</v>
      </c>
      <c r="R28" s="6"/>
    </row>
    <row r="29" customFormat="false" ht="13.8" hidden="false" customHeight="false" outlineLevel="0" collapsed="false">
      <c r="A29" s="4" t="s">
        <v>86</v>
      </c>
      <c r="B29" s="4" t="s">
        <v>87</v>
      </c>
      <c r="C29" s="4" t="s">
        <v>29</v>
      </c>
      <c r="D29" s="4" t="s">
        <v>18</v>
      </c>
      <c r="E29" s="4"/>
      <c r="F29" s="4" t="n">
        <v>10</v>
      </c>
      <c r="G29" s="4" t="n">
        <v>1840</v>
      </c>
      <c r="L29" s="1" t="str">
        <f aca="false">IF(ISNUMBER(SEARCH("Bundle",C29)),"Bundles",IF(ISNUMBER(SEARCH("Airtime",C29)),"Bundles",IF(ISNUMBER(SEARCH("Merchant",C29)),"Merchant Payment",IF(ISNUMBER(SEARCH("Offnet C2B",C29)),"Merchant Payment",IF(ISNUMBER(SEARCH("Offnet B2C",C29)),"Merchant Payment",IF(ISNUMBER(SEARCH("Customer Payment to Small",C29)),"Merchant Payment",IF(ISNUMBER(SEARCH("Payment to Small Business",C29)),"Merchant Payment",IF(ISNUMBER(SEARCH("Sent to",C29)),"Sent to Person",IF(ISNUMBER(SEARCH("Customer Transfer to",C29)),"Sent to Person",IF(ISNUMBER(SEARCH("Business Payment",C29)),"Money In",IF(ISNUMBER(SEARCH("Funds Received",C29)),"Money In",IF(ISNUMBER(SEARCH("Receive International",C29)),"Money In",IF(ISNUMBER(SEARCH("Send Money Reversal",C29)),"Money In",IF(ISNUMBER(SEARCH("Pay Utility Reversal",C29)),"Money In",IF(ISNUMBER(SEARCH("Customer Transfer",C29)),"Money In",IF(ISNUMBER(SEARCH("Ziidi",C29)),"Investment",IF(ISNUMBER(SEARCH("Nabo",C29)),"Investment",IF(ISNUMBER(SEARCH("Paybill Online",C29)),"Pay Bill",IF(ISNUMBER(SEARCH("Pay Bill",C29)),"Pay Bill",IF(ISNUMBER(SEARCH("Spotify",C29)),"Pay Bill",IF(ISNUMBER(SEARCH("M-Shwari",C29)),"Mshwari",IF(ISNUMBER(SEARCH("Mshwari",C29)),"Mshwari",IF(ISNUMBER(SEARCH("Withdrawal charge",C29)),"Fees",IF(ISNUMBER(SEARCH("Customer Withdrawal",C29)),"Fees",IF(ISNUMBER(SEARCH("charge",C29)),"Fees","Other")))))))))))))))))))))))))</f>
        <v>Bundles</v>
      </c>
    </row>
    <row r="30" customFormat="false" ht="13.8" hidden="false" customHeight="false" outlineLevel="0" collapsed="false">
      <c r="A30" s="4" t="s">
        <v>88</v>
      </c>
      <c r="B30" s="4" t="s">
        <v>89</v>
      </c>
      <c r="C30" s="4" t="s">
        <v>90</v>
      </c>
      <c r="D30" s="4" t="s">
        <v>18</v>
      </c>
      <c r="E30" s="4"/>
      <c r="F30" s="4" t="n">
        <v>10</v>
      </c>
      <c r="G30" s="4" t="n">
        <v>1830</v>
      </c>
      <c r="L30" s="1" t="str">
        <f aca="false">IF(ISNUMBER(SEARCH("Bundle",C30)),"Bundles",IF(ISNUMBER(SEARCH("Airtime",C30)),"Bundles",IF(ISNUMBER(SEARCH("Merchant",C30)),"Merchant Payment",IF(ISNUMBER(SEARCH("Offnet C2B",C30)),"Merchant Payment",IF(ISNUMBER(SEARCH("Offnet B2C",C30)),"Merchant Payment",IF(ISNUMBER(SEARCH("Customer Payment to Small",C30)),"Merchant Payment",IF(ISNUMBER(SEARCH("Payment to Small Business",C30)),"Merchant Payment",IF(ISNUMBER(SEARCH("Sent to",C30)),"Sent to Person",IF(ISNUMBER(SEARCH("Customer Transfer to",C30)),"Sent to Person",IF(ISNUMBER(SEARCH("Business Payment",C30)),"Money In",IF(ISNUMBER(SEARCH("Funds Received",C30)),"Money In",IF(ISNUMBER(SEARCH("Receive International",C30)),"Money In",IF(ISNUMBER(SEARCH("Send Money Reversal",C30)),"Money In",IF(ISNUMBER(SEARCH("Pay Utility Reversal",C30)),"Money In",IF(ISNUMBER(SEARCH("Customer Transfer",C30)),"Money In",IF(ISNUMBER(SEARCH("Ziidi",C30)),"Investment",IF(ISNUMBER(SEARCH("Nabo",C30)),"Investment",IF(ISNUMBER(SEARCH("Paybill Online",C30)),"Pay Bill",IF(ISNUMBER(SEARCH("Pay Bill",C30)),"Pay Bill",IF(ISNUMBER(SEARCH("Spotify",C30)),"Pay Bill",IF(ISNUMBER(SEARCH("M-Shwari",C30)),"Mshwari",IF(ISNUMBER(SEARCH("Mshwari",C30)),"Mshwari",IF(ISNUMBER(SEARCH("Withdrawal charge",C30)),"Fees",IF(ISNUMBER(SEARCH("Customer Withdrawal",C30)),"Fees",IF(ISNUMBER(SEARCH("charge",C30)),"Fees","Other")))))))))))))))))))))))))</f>
        <v>Bundles</v>
      </c>
      <c r="R30" s="6"/>
    </row>
    <row r="31" customFormat="false" ht="13.8" hidden="false" customHeight="false" outlineLevel="0" collapsed="false">
      <c r="A31" s="4" t="s">
        <v>91</v>
      </c>
      <c r="B31" s="4" t="s">
        <v>92</v>
      </c>
      <c r="C31" s="4" t="s">
        <v>90</v>
      </c>
      <c r="D31" s="4" t="s">
        <v>18</v>
      </c>
      <c r="E31" s="4"/>
      <c r="F31" s="4" t="n">
        <v>10</v>
      </c>
      <c r="G31" s="4" t="n">
        <v>1820</v>
      </c>
      <c r="L31" s="1" t="str">
        <f aca="false">IF(ISNUMBER(SEARCH("Bundle",C31)),"Bundles",IF(ISNUMBER(SEARCH("Airtime",C31)),"Bundles",IF(ISNUMBER(SEARCH("Merchant",C31)),"Merchant Payment",IF(ISNUMBER(SEARCH("Offnet C2B",C31)),"Merchant Payment",IF(ISNUMBER(SEARCH("Offnet B2C",C31)),"Merchant Payment",IF(ISNUMBER(SEARCH("Customer Payment to Small",C31)),"Merchant Payment",IF(ISNUMBER(SEARCH("Payment to Small Business",C31)),"Merchant Payment",IF(ISNUMBER(SEARCH("Sent to",C31)),"Sent to Person",IF(ISNUMBER(SEARCH("Customer Transfer to",C31)),"Sent to Person",IF(ISNUMBER(SEARCH("Business Payment",C31)),"Money In",IF(ISNUMBER(SEARCH("Funds Received",C31)),"Money In",IF(ISNUMBER(SEARCH("Receive International",C31)),"Money In",IF(ISNUMBER(SEARCH("Send Money Reversal",C31)),"Money In",IF(ISNUMBER(SEARCH("Pay Utility Reversal",C31)),"Money In",IF(ISNUMBER(SEARCH("Customer Transfer",C31)),"Money In",IF(ISNUMBER(SEARCH("Ziidi",C31)),"Investment",IF(ISNUMBER(SEARCH("Nabo",C31)),"Investment",IF(ISNUMBER(SEARCH("Paybill Online",C31)),"Pay Bill",IF(ISNUMBER(SEARCH("Pay Bill",C31)),"Pay Bill",IF(ISNUMBER(SEARCH("Spotify",C31)),"Pay Bill",IF(ISNUMBER(SEARCH("M-Shwari",C31)),"Mshwari",IF(ISNUMBER(SEARCH("Mshwari",C31)),"Mshwari",IF(ISNUMBER(SEARCH("Withdrawal charge",C31)),"Fees",IF(ISNUMBER(SEARCH("Customer Withdrawal",C31)),"Fees",IF(ISNUMBER(SEARCH("charge",C31)),"Fees","Other")))))))))))))))))))))))))</f>
        <v>Bundles</v>
      </c>
      <c r="R31" s="1" t="str">
        <f aca="false">TEXT(B2,"MMM YYYY")</f>
        <v>Jan 2026</v>
      </c>
    </row>
    <row r="32" customFormat="false" ht="13.8" hidden="false" customHeight="false" outlineLevel="0" collapsed="false">
      <c r="A32" s="4" t="s">
        <v>93</v>
      </c>
      <c r="B32" s="4" t="s">
        <v>94</v>
      </c>
      <c r="C32" s="4" t="s">
        <v>90</v>
      </c>
      <c r="D32" s="4" t="s">
        <v>18</v>
      </c>
      <c r="E32" s="4"/>
      <c r="F32" s="4" t="n">
        <v>30</v>
      </c>
      <c r="G32" s="4" t="n">
        <v>1790</v>
      </c>
      <c r="L32" s="1" t="str">
        <f aca="false">IF(ISNUMBER(SEARCH("Bundle",C32)),"Bundles",IF(ISNUMBER(SEARCH("Airtime",C32)),"Bundles",IF(ISNUMBER(SEARCH("Merchant",C32)),"Merchant Payment",IF(ISNUMBER(SEARCH("Offnet C2B",C32)),"Merchant Payment",IF(ISNUMBER(SEARCH("Offnet B2C",C32)),"Merchant Payment",IF(ISNUMBER(SEARCH("Customer Payment to Small",C32)),"Merchant Payment",IF(ISNUMBER(SEARCH("Payment to Small Business",C32)),"Merchant Payment",IF(ISNUMBER(SEARCH("Sent to",C32)),"Sent to Person",IF(ISNUMBER(SEARCH("Customer Transfer to",C32)),"Sent to Person",IF(ISNUMBER(SEARCH("Business Payment",C32)),"Money In",IF(ISNUMBER(SEARCH("Funds Received",C32)),"Money In",IF(ISNUMBER(SEARCH("Receive International",C32)),"Money In",IF(ISNUMBER(SEARCH("Send Money Reversal",C32)),"Money In",IF(ISNUMBER(SEARCH("Pay Utility Reversal",C32)),"Money In",IF(ISNUMBER(SEARCH("Customer Transfer",C32)),"Money In",IF(ISNUMBER(SEARCH("Ziidi",C32)),"Investment",IF(ISNUMBER(SEARCH("Nabo",C32)),"Investment",IF(ISNUMBER(SEARCH("Paybill Online",C32)),"Pay Bill",IF(ISNUMBER(SEARCH("Pay Bill",C32)),"Pay Bill",IF(ISNUMBER(SEARCH("Spotify",C32)),"Pay Bill",IF(ISNUMBER(SEARCH("M-Shwari",C32)),"Mshwari",IF(ISNUMBER(SEARCH("Mshwari",C32)),"Mshwari",IF(ISNUMBER(SEARCH("Withdrawal charge",C32)),"Fees",IF(ISNUMBER(SEARCH("Customer Withdrawal",C32)),"Fees",IF(ISNUMBER(SEARCH("charge",C32)),"Fees","Other")))))))))))))))))))))))))</f>
        <v>Bundles</v>
      </c>
      <c r="R32" s="1" t="str">
        <f aca="false">TEXT(B2,"MMM YYYY")</f>
        <v>Jan 2026</v>
      </c>
    </row>
    <row r="33" customFormat="false" ht="13.8" hidden="false" customHeight="false" outlineLevel="0" collapsed="false">
      <c r="A33" s="4" t="s">
        <v>95</v>
      </c>
      <c r="B33" s="4" t="s">
        <v>96</v>
      </c>
      <c r="C33" s="4" t="s">
        <v>90</v>
      </c>
      <c r="D33" s="4" t="s">
        <v>18</v>
      </c>
      <c r="E33" s="4"/>
      <c r="F33" s="4" t="n">
        <v>10</v>
      </c>
      <c r="G33" s="4" t="n">
        <v>1780</v>
      </c>
      <c r="L33" s="1" t="str">
        <f aca="false">IF(ISNUMBER(SEARCH("Bundle",C33)),"Bundles",IF(ISNUMBER(SEARCH("Airtime",C33)),"Bundles",IF(ISNUMBER(SEARCH("Merchant",C33)),"Merchant Payment",IF(ISNUMBER(SEARCH("Offnet C2B",C33)),"Merchant Payment",IF(ISNUMBER(SEARCH("Offnet B2C",C33)),"Merchant Payment",IF(ISNUMBER(SEARCH("Customer Payment to Small",C33)),"Merchant Payment",IF(ISNUMBER(SEARCH("Payment to Small Business",C33)),"Merchant Payment",IF(ISNUMBER(SEARCH("Sent to",C33)),"Sent to Person",IF(ISNUMBER(SEARCH("Customer Transfer to",C33)),"Sent to Person",IF(ISNUMBER(SEARCH("Business Payment",C33)),"Money In",IF(ISNUMBER(SEARCH("Funds Received",C33)),"Money In",IF(ISNUMBER(SEARCH("Receive International",C33)),"Money In",IF(ISNUMBER(SEARCH("Send Money Reversal",C33)),"Money In",IF(ISNUMBER(SEARCH("Pay Utility Reversal",C33)),"Money In",IF(ISNUMBER(SEARCH("Customer Transfer",C33)),"Money In",IF(ISNUMBER(SEARCH("Ziidi",C33)),"Investment",IF(ISNUMBER(SEARCH("Nabo",C33)),"Investment",IF(ISNUMBER(SEARCH("Paybill Online",C33)),"Pay Bill",IF(ISNUMBER(SEARCH("Pay Bill",C33)),"Pay Bill",IF(ISNUMBER(SEARCH("Spotify",C33)),"Pay Bill",IF(ISNUMBER(SEARCH("M-Shwari",C33)),"Mshwari",IF(ISNUMBER(SEARCH("Mshwari",C33)),"Mshwari",IF(ISNUMBER(SEARCH("Withdrawal charge",C33)),"Fees",IF(ISNUMBER(SEARCH("Customer Withdrawal",C33)),"Fees",IF(ISNUMBER(SEARCH("charge",C33)),"Fees","Other")))))))))))))))))))))))))</f>
        <v>Bundles</v>
      </c>
      <c r="R33" s="1" t="str">
        <f aca="false">TEXT(B33,"MMM YYYY")</f>
        <v>Jan 2026</v>
      </c>
    </row>
    <row r="34" customFormat="false" ht="13.8" hidden="false" customHeight="false" outlineLevel="0" collapsed="false">
      <c r="A34" s="4" t="s">
        <v>97</v>
      </c>
      <c r="B34" s="4" t="s">
        <v>98</v>
      </c>
      <c r="C34" s="4" t="s">
        <v>90</v>
      </c>
      <c r="D34" s="4" t="s">
        <v>18</v>
      </c>
      <c r="E34" s="4"/>
      <c r="F34" s="4" t="n">
        <v>10</v>
      </c>
      <c r="G34" s="4" t="n">
        <v>1770</v>
      </c>
      <c r="L34" s="1" t="str">
        <f aca="false">IF(ISNUMBER(SEARCH("Bundle",C34)),"Bundles",IF(ISNUMBER(SEARCH("Airtime",C34)),"Bundles",IF(ISNUMBER(SEARCH("Merchant",C34)),"Merchant Payment",IF(ISNUMBER(SEARCH("Offnet C2B",C34)),"Merchant Payment",IF(ISNUMBER(SEARCH("Offnet B2C",C34)),"Merchant Payment",IF(ISNUMBER(SEARCH("Customer Payment to Small",C34)),"Merchant Payment",IF(ISNUMBER(SEARCH("Payment to Small Business",C34)),"Merchant Payment",IF(ISNUMBER(SEARCH("Sent to",C34)),"Sent to Person",IF(ISNUMBER(SEARCH("Customer Transfer to",C34)),"Sent to Person",IF(ISNUMBER(SEARCH("Business Payment",C34)),"Money In",IF(ISNUMBER(SEARCH("Funds Received",C34)),"Money In",IF(ISNUMBER(SEARCH("Receive International",C34)),"Money In",IF(ISNUMBER(SEARCH("Send Money Reversal",C34)),"Money In",IF(ISNUMBER(SEARCH("Pay Utility Reversal",C34)),"Money In",IF(ISNUMBER(SEARCH("Customer Transfer",C34)),"Money In",IF(ISNUMBER(SEARCH("Ziidi",C34)),"Investment",IF(ISNUMBER(SEARCH("Nabo",C34)),"Investment",IF(ISNUMBER(SEARCH("Paybill Online",C34)),"Pay Bill",IF(ISNUMBER(SEARCH("Pay Bill",C34)),"Pay Bill",IF(ISNUMBER(SEARCH("Spotify",C34)),"Pay Bill",IF(ISNUMBER(SEARCH("M-Shwari",C34)),"Mshwari",IF(ISNUMBER(SEARCH("Mshwari",C34)),"Mshwari",IF(ISNUMBER(SEARCH("Withdrawal charge",C34)),"Fees",IF(ISNUMBER(SEARCH("Customer Withdrawal",C34)),"Fees",IF(ISNUMBER(SEARCH("charge",C34)),"Fees","Other")))))))))))))))))))))))))</f>
        <v>Bundles</v>
      </c>
      <c r="R34" s="1" t="str">
        <f aca="false">TEXT(B34,"MMM YYYY")</f>
        <v>Jan 2026</v>
      </c>
    </row>
    <row r="35" customFormat="false" ht="13.8" hidden="false" customHeight="false" outlineLevel="0" collapsed="false">
      <c r="A35" s="4" t="s">
        <v>99</v>
      </c>
      <c r="B35" s="4" t="s">
        <v>100</v>
      </c>
      <c r="C35" s="4" t="s">
        <v>90</v>
      </c>
      <c r="D35" s="4" t="s">
        <v>18</v>
      </c>
      <c r="E35" s="4"/>
      <c r="F35" s="4" t="n">
        <v>10</v>
      </c>
      <c r="G35" s="4" t="n">
        <v>1760</v>
      </c>
      <c r="L35" s="1" t="str">
        <f aca="false">IF(ISNUMBER(SEARCH("Bundle",C35)),"Bundles",IF(ISNUMBER(SEARCH("Airtime",C35)),"Bundles",IF(ISNUMBER(SEARCH("Merchant",C35)),"Merchant Payment",IF(ISNUMBER(SEARCH("Offnet C2B",C35)),"Merchant Payment",IF(ISNUMBER(SEARCH("Offnet B2C",C35)),"Merchant Payment",IF(ISNUMBER(SEARCH("Customer Payment to Small",C35)),"Merchant Payment",IF(ISNUMBER(SEARCH("Payment to Small Business",C35)),"Merchant Payment",IF(ISNUMBER(SEARCH("Sent to",C35)),"Sent to Person",IF(ISNUMBER(SEARCH("Customer Transfer to",C35)),"Sent to Person",IF(ISNUMBER(SEARCH("Business Payment",C35)),"Money In",IF(ISNUMBER(SEARCH("Funds Received",C35)),"Money In",IF(ISNUMBER(SEARCH("Receive International",C35)),"Money In",IF(ISNUMBER(SEARCH("Send Money Reversal",C35)),"Money In",IF(ISNUMBER(SEARCH("Pay Utility Reversal",C35)),"Money In",IF(ISNUMBER(SEARCH("Customer Transfer",C35)),"Money In",IF(ISNUMBER(SEARCH("Ziidi",C35)),"Investment",IF(ISNUMBER(SEARCH("Nabo",C35)),"Investment",IF(ISNUMBER(SEARCH("Paybill Online",C35)),"Pay Bill",IF(ISNUMBER(SEARCH("Pay Bill",C35)),"Pay Bill",IF(ISNUMBER(SEARCH("Spotify",C35)),"Pay Bill",IF(ISNUMBER(SEARCH("M-Shwari",C35)),"Mshwari",IF(ISNUMBER(SEARCH("Mshwari",C35)),"Mshwari",IF(ISNUMBER(SEARCH("Withdrawal charge",C35)),"Fees",IF(ISNUMBER(SEARCH("Customer Withdrawal",C35)),"Fees",IF(ISNUMBER(SEARCH("charge",C35)),"Fees","Other")))))))))))))))))))))))))</f>
        <v>Bundles</v>
      </c>
      <c r="R35" s="1" t="str">
        <f aca="false">TEXT(B35,"MMM YYYY")</f>
        <v>Jan 2026</v>
      </c>
    </row>
    <row r="36" customFormat="false" ht="13.8" hidden="false" customHeight="false" outlineLevel="0" collapsed="false">
      <c r="A36" s="4" t="s">
        <v>101</v>
      </c>
      <c r="B36" s="4" t="s">
        <v>102</v>
      </c>
      <c r="C36" s="4" t="s">
        <v>90</v>
      </c>
      <c r="D36" s="4" t="s">
        <v>18</v>
      </c>
      <c r="E36" s="4"/>
      <c r="F36" s="4" t="n">
        <v>10</v>
      </c>
      <c r="G36" s="4" t="n">
        <v>1750</v>
      </c>
      <c r="L36" s="1" t="str">
        <f aca="false">IF(ISNUMBER(SEARCH("Bundle",C36)),"Bundles",IF(ISNUMBER(SEARCH("Airtime",C36)),"Bundles",IF(ISNUMBER(SEARCH("Merchant",C36)),"Merchant Payment",IF(ISNUMBER(SEARCH("Offnet C2B",C36)),"Merchant Payment",IF(ISNUMBER(SEARCH("Offnet B2C",C36)),"Merchant Payment",IF(ISNUMBER(SEARCH("Customer Payment to Small",C36)),"Merchant Payment",IF(ISNUMBER(SEARCH("Payment to Small Business",C36)),"Merchant Payment",IF(ISNUMBER(SEARCH("Sent to",C36)),"Sent to Person",IF(ISNUMBER(SEARCH("Customer Transfer to",C36)),"Sent to Person",IF(ISNUMBER(SEARCH("Business Payment",C36)),"Money In",IF(ISNUMBER(SEARCH("Funds Received",C36)),"Money In",IF(ISNUMBER(SEARCH("Receive International",C36)),"Money In",IF(ISNUMBER(SEARCH("Send Money Reversal",C36)),"Money In",IF(ISNUMBER(SEARCH("Pay Utility Reversal",C36)),"Money In",IF(ISNUMBER(SEARCH("Customer Transfer",C36)),"Money In",IF(ISNUMBER(SEARCH("Ziidi",C36)),"Investment",IF(ISNUMBER(SEARCH("Nabo",C36)),"Investment",IF(ISNUMBER(SEARCH("Paybill Online",C36)),"Pay Bill",IF(ISNUMBER(SEARCH("Pay Bill",C36)),"Pay Bill",IF(ISNUMBER(SEARCH("Spotify",C36)),"Pay Bill",IF(ISNUMBER(SEARCH("M-Shwari",C36)),"Mshwari",IF(ISNUMBER(SEARCH("Mshwari",C36)),"Mshwari",IF(ISNUMBER(SEARCH("Withdrawal charge",C36)),"Fees",IF(ISNUMBER(SEARCH("Customer Withdrawal",C36)),"Fees",IF(ISNUMBER(SEARCH("charge",C36)),"Fees","Other")))))))))))))))))))))))))</f>
        <v>Bundles</v>
      </c>
      <c r="R36" s="1" t="str">
        <f aca="false">TEXT(B36,"MMM YYYY")</f>
        <v>Jan 2026</v>
      </c>
    </row>
    <row r="37" customFormat="false" ht="13.8" hidden="false" customHeight="false" outlineLevel="0" collapsed="false">
      <c r="A37" s="4" t="s">
        <v>103</v>
      </c>
      <c r="B37" s="4" t="s">
        <v>104</v>
      </c>
      <c r="C37" s="4" t="s">
        <v>90</v>
      </c>
      <c r="D37" s="4" t="s">
        <v>18</v>
      </c>
      <c r="E37" s="4"/>
      <c r="F37" s="4" t="n">
        <v>30</v>
      </c>
      <c r="G37" s="4" t="n">
        <v>1720</v>
      </c>
      <c r="L37" s="1" t="str">
        <f aca="false">IF(ISNUMBER(SEARCH("Bundle",C37)),"Bundles",IF(ISNUMBER(SEARCH("Airtime",C37)),"Bundles",IF(ISNUMBER(SEARCH("Merchant",C37)),"Merchant Payment",IF(ISNUMBER(SEARCH("Offnet C2B",C37)),"Merchant Payment",IF(ISNUMBER(SEARCH("Offnet B2C",C37)),"Merchant Payment",IF(ISNUMBER(SEARCH("Customer Payment to Small",C37)),"Merchant Payment",IF(ISNUMBER(SEARCH("Payment to Small Business",C37)),"Merchant Payment",IF(ISNUMBER(SEARCH("Sent to",C37)),"Sent to Person",IF(ISNUMBER(SEARCH("Customer Transfer to",C37)),"Sent to Person",IF(ISNUMBER(SEARCH("Business Payment",C37)),"Money In",IF(ISNUMBER(SEARCH("Funds Received",C37)),"Money In",IF(ISNUMBER(SEARCH("Receive International",C37)),"Money In",IF(ISNUMBER(SEARCH("Send Money Reversal",C37)),"Money In",IF(ISNUMBER(SEARCH("Pay Utility Reversal",C37)),"Money In",IF(ISNUMBER(SEARCH("Customer Transfer",C37)),"Money In",IF(ISNUMBER(SEARCH("Ziidi",C37)),"Investment",IF(ISNUMBER(SEARCH("Nabo",C37)),"Investment",IF(ISNUMBER(SEARCH("Paybill Online",C37)),"Pay Bill",IF(ISNUMBER(SEARCH("Pay Bill",C37)),"Pay Bill",IF(ISNUMBER(SEARCH("Spotify",C37)),"Pay Bill",IF(ISNUMBER(SEARCH("M-Shwari",C37)),"Mshwari",IF(ISNUMBER(SEARCH("Mshwari",C37)),"Mshwari",IF(ISNUMBER(SEARCH("Withdrawal charge",C37)),"Fees",IF(ISNUMBER(SEARCH("Customer Withdrawal",C37)),"Fees",IF(ISNUMBER(SEARCH("charge",C37)),"Fees","Other")))))))))))))))))))))))))</f>
        <v>Bundles</v>
      </c>
      <c r="R37" s="1" t="str">
        <f aca="false">TEXT(B37,"MMM YYYY")</f>
        <v>Jan 2026</v>
      </c>
    </row>
    <row r="38" customFormat="false" ht="13.8" hidden="false" customHeight="false" outlineLevel="0" collapsed="false">
      <c r="A38" s="4" t="s">
        <v>105</v>
      </c>
      <c r="B38" s="4" t="s">
        <v>106</v>
      </c>
      <c r="C38" s="4" t="s">
        <v>90</v>
      </c>
      <c r="D38" s="4" t="s">
        <v>18</v>
      </c>
      <c r="E38" s="4"/>
      <c r="F38" s="4" t="n">
        <v>10</v>
      </c>
      <c r="G38" s="4" t="n">
        <v>1710</v>
      </c>
      <c r="L38" s="1" t="str">
        <f aca="false">IF(ISNUMBER(SEARCH("Bundle",C38)),"Bundles",IF(ISNUMBER(SEARCH("Airtime",C38)),"Bundles",IF(ISNUMBER(SEARCH("Merchant",C38)),"Merchant Payment",IF(ISNUMBER(SEARCH("Offnet C2B",C38)),"Merchant Payment",IF(ISNUMBER(SEARCH("Offnet B2C",C38)),"Merchant Payment",IF(ISNUMBER(SEARCH("Customer Payment to Small",C38)),"Merchant Payment",IF(ISNUMBER(SEARCH("Payment to Small Business",C38)),"Merchant Payment",IF(ISNUMBER(SEARCH("Sent to",C38)),"Sent to Person",IF(ISNUMBER(SEARCH("Customer Transfer to",C38)),"Sent to Person",IF(ISNUMBER(SEARCH("Business Payment",C38)),"Money In",IF(ISNUMBER(SEARCH("Funds Received",C38)),"Money In",IF(ISNUMBER(SEARCH("Receive International",C38)),"Money In",IF(ISNUMBER(SEARCH("Send Money Reversal",C38)),"Money In",IF(ISNUMBER(SEARCH("Pay Utility Reversal",C38)),"Money In",IF(ISNUMBER(SEARCH("Customer Transfer",C38)),"Money In",IF(ISNUMBER(SEARCH("Ziidi",C38)),"Investment",IF(ISNUMBER(SEARCH("Nabo",C38)),"Investment",IF(ISNUMBER(SEARCH("Paybill Online",C38)),"Pay Bill",IF(ISNUMBER(SEARCH("Pay Bill",C38)),"Pay Bill",IF(ISNUMBER(SEARCH("Spotify",C38)),"Pay Bill",IF(ISNUMBER(SEARCH("M-Shwari",C38)),"Mshwari",IF(ISNUMBER(SEARCH("Mshwari",C38)),"Mshwari",IF(ISNUMBER(SEARCH("Withdrawal charge",C38)),"Fees",IF(ISNUMBER(SEARCH("Customer Withdrawal",C38)),"Fees",IF(ISNUMBER(SEARCH("charge",C38)),"Fees","Other")))))))))))))))))))))))))</f>
        <v>Bundles</v>
      </c>
      <c r="R38" s="1" t="str">
        <f aca="false">TEXT(B38,"MMM YYYY")</f>
        <v>Jan 2026</v>
      </c>
    </row>
    <row r="39" customFormat="false" ht="13.8" hidden="false" customHeight="false" outlineLevel="0" collapsed="false">
      <c r="A39" s="4" t="s">
        <v>107</v>
      </c>
      <c r="B39" s="4" t="s">
        <v>108</v>
      </c>
      <c r="C39" s="4" t="s">
        <v>90</v>
      </c>
      <c r="D39" s="4" t="s">
        <v>18</v>
      </c>
      <c r="E39" s="4"/>
      <c r="F39" s="4" t="n">
        <v>30</v>
      </c>
      <c r="G39" s="4" t="n">
        <v>1680</v>
      </c>
      <c r="L39" s="1" t="str">
        <f aca="false">IF(ISNUMBER(SEARCH("Bundle",C39)),"Bundles",IF(ISNUMBER(SEARCH("Airtime",C39)),"Bundles",IF(ISNUMBER(SEARCH("Merchant",C39)),"Merchant Payment",IF(ISNUMBER(SEARCH("Offnet C2B",C39)),"Merchant Payment",IF(ISNUMBER(SEARCH("Offnet B2C",C39)),"Merchant Payment",IF(ISNUMBER(SEARCH("Customer Payment to Small",C39)),"Merchant Payment",IF(ISNUMBER(SEARCH("Payment to Small Business",C39)),"Merchant Payment",IF(ISNUMBER(SEARCH("Sent to",C39)),"Sent to Person",IF(ISNUMBER(SEARCH("Customer Transfer to",C39)),"Sent to Person",IF(ISNUMBER(SEARCH("Business Payment",C39)),"Money In",IF(ISNUMBER(SEARCH("Funds Received",C39)),"Money In",IF(ISNUMBER(SEARCH("Receive International",C39)),"Money In",IF(ISNUMBER(SEARCH("Send Money Reversal",C39)),"Money In",IF(ISNUMBER(SEARCH("Pay Utility Reversal",C39)),"Money In",IF(ISNUMBER(SEARCH("Customer Transfer",C39)),"Money In",IF(ISNUMBER(SEARCH("Ziidi",C39)),"Investment",IF(ISNUMBER(SEARCH("Nabo",C39)),"Investment",IF(ISNUMBER(SEARCH("Paybill Online",C39)),"Pay Bill",IF(ISNUMBER(SEARCH("Pay Bill",C39)),"Pay Bill",IF(ISNUMBER(SEARCH("Spotify",C39)),"Pay Bill",IF(ISNUMBER(SEARCH("M-Shwari",C39)),"Mshwari",IF(ISNUMBER(SEARCH("Mshwari",C39)),"Mshwari",IF(ISNUMBER(SEARCH("Withdrawal charge",C39)),"Fees",IF(ISNUMBER(SEARCH("Customer Withdrawal",C39)),"Fees",IF(ISNUMBER(SEARCH("charge",C39)),"Fees","Other")))))))))))))))))))))))))</f>
        <v>Bundles</v>
      </c>
      <c r="R39" s="1" t="str">
        <f aca="false">TEXT(B39,"MMM YYYY")</f>
        <v>Jan 2026</v>
      </c>
    </row>
    <row r="40" customFormat="false" ht="13.8" hidden="false" customHeight="false" outlineLevel="0" collapsed="false">
      <c r="A40" s="4" t="s">
        <v>109</v>
      </c>
      <c r="B40" s="4" t="s">
        <v>110</v>
      </c>
      <c r="C40" s="4" t="s">
        <v>90</v>
      </c>
      <c r="D40" s="4" t="s">
        <v>18</v>
      </c>
      <c r="E40" s="4"/>
      <c r="F40" s="4" t="n">
        <v>10</v>
      </c>
      <c r="G40" s="4" t="n">
        <v>1670</v>
      </c>
      <c r="L40" s="1" t="str">
        <f aca="false">IF(ISNUMBER(SEARCH("Bundle",C40)),"Bundles",IF(ISNUMBER(SEARCH("Airtime",C40)),"Bundles",IF(ISNUMBER(SEARCH("Merchant",C40)),"Merchant Payment",IF(ISNUMBER(SEARCH("Offnet C2B",C40)),"Merchant Payment",IF(ISNUMBER(SEARCH("Offnet B2C",C40)),"Merchant Payment",IF(ISNUMBER(SEARCH("Customer Payment to Small",C40)),"Merchant Payment",IF(ISNUMBER(SEARCH("Payment to Small Business",C40)),"Merchant Payment",IF(ISNUMBER(SEARCH("Sent to",C40)),"Sent to Person",IF(ISNUMBER(SEARCH("Customer Transfer to",C40)),"Sent to Person",IF(ISNUMBER(SEARCH("Business Payment",C40)),"Money In",IF(ISNUMBER(SEARCH("Funds Received",C40)),"Money In",IF(ISNUMBER(SEARCH("Receive International",C40)),"Money In",IF(ISNUMBER(SEARCH("Send Money Reversal",C40)),"Money In",IF(ISNUMBER(SEARCH("Pay Utility Reversal",C40)),"Money In",IF(ISNUMBER(SEARCH("Customer Transfer",C40)),"Money In",IF(ISNUMBER(SEARCH("Ziidi",C40)),"Investment",IF(ISNUMBER(SEARCH("Nabo",C40)),"Investment",IF(ISNUMBER(SEARCH("Paybill Online",C40)),"Pay Bill",IF(ISNUMBER(SEARCH("Pay Bill",C40)),"Pay Bill",IF(ISNUMBER(SEARCH("Spotify",C40)),"Pay Bill",IF(ISNUMBER(SEARCH("M-Shwari",C40)),"Mshwari",IF(ISNUMBER(SEARCH("Mshwari",C40)),"Mshwari",IF(ISNUMBER(SEARCH("Withdrawal charge",C40)),"Fees",IF(ISNUMBER(SEARCH("Customer Withdrawal",C40)),"Fees",IF(ISNUMBER(SEARCH("charge",C40)),"Fees","Other")))))))))))))))))))))))))</f>
        <v>Bundles</v>
      </c>
      <c r="R40" s="1" t="str">
        <f aca="false">TEXT(B40,"MMM YYYY")</f>
        <v>Jan 2026</v>
      </c>
    </row>
    <row r="41" customFormat="false" ht="13.8" hidden="false" customHeight="false" outlineLevel="0" collapsed="false">
      <c r="A41" s="4" t="s">
        <v>111</v>
      </c>
      <c r="B41" s="4" t="s">
        <v>112</v>
      </c>
      <c r="C41" s="4" t="s">
        <v>90</v>
      </c>
      <c r="D41" s="4" t="s">
        <v>18</v>
      </c>
      <c r="E41" s="4"/>
      <c r="F41" s="4" t="n">
        <v>10</v>
      </c>
      <c r="G41" s="4" t="n">
        <v>1660</v>
      </c>
      <c r="L41" s="1" t="str">
        <f aca="false">IF(ISNUMBER(SEARCH("Bundle",C41)),"Bundles",IF(ISNUMBER(SEARCH("Airtime",C41)),"Bundles",IF(ISNUMBER(SEARCH("Merchant",C41)),"Merchant Payment",IF(ISNUMBER(SEARCH("Offnet C2B",C41)),"Merchant Payment",IF(ISNUMBER(SEARCH("Offnet B2C",C41)),"Merchant Payment",IF(ISNUMBER(SEARCH("Customer Payment to Small",C41)),"Merchant Payment",IF(ISNUMBER(SEARCH("Payment to Small Business",C41)),"Merchant Payment",IF(ISNUMBER(SEARCH("Sent to",C41)),"Sent to Person",IF(ISNUMBER(SEARCH("Customer Transfer to",C41)),"Sent to Person",IF(ISNUMBER(SEARCH("Business Payment",C41)),"Money In",IF(ISNUMBER(SEARCH("Funds Received",C41)),"Money In",IF(ISNUMBER(SEARCH("Receive International",C41)),"Money In",IF(ISNUMBER(SEARCH("Send Money Reversal",C41)),"Money In",IF(ISNUMBER(SEARCH("Pay Utility Reversal",C41)),"Money In",IF(ISNUMBER(SEARCH("Customer Transfer",C41)),"Money In",IF(ISNUMBER(SEARCH("Ziidi",C41)),"Investment",IF(ISNUMBER(SEARCH("Nabo",C41)),"Investment",IF(ISNUMBER(SEARCH("Paybill Online",C41)),"Pay Bill",IF(ISNUMBER(SEARCH("Pay Bill",C41)),"Pay Bill",IF(ISNUMBER(SEARCH("Spotify",C41)),"Pay Bill",IF(ISNUMBER(SEARCH("M-Shwari",C41)),"Mshwari",IF(ISNUMBER(SEARCH("Mshwari",C41)),"Mshwari",IF(ISNUMBER(SEARCH("Withdrawal charge",C41)),"Fees",IF(ISNUMBER(SEARCH("Customer Withdrawal",C41)),"Fees",IF(ISNUMBER(SEARCH("charge",C41)),"Fees","Other")))))))))))))))))))))))))</f>
        <v>Bundles</v>
      </c>
      <c r="R41" s="1" t="str">
        <f aca="false">TEXT(B41,"MMM YYYY")</f>
        <v>Jan 2026</v>
      </c>
    </row>
    <row r="42" customFormat="false" ht="13.8" hidden="false" customHeight="false" outlineLevel="0" collapsed="false">
      <c r="A42" s="4" t="s">
        <v>113</v>
      </c>
      <c r="B42" s="4" t="s">
        <v>114</v>
      </c>
      <c r="C42" s="4" t="s">
        <v>90</v>
      </c>
      <c r="D42" s="4" t="s">
        <v>18</v>
      </c>
      <c r="E42" s="4"/>
      <c r="F42" s="4" t="n">
        <v>30</v>
      </c>
      <c r="G42" s="4" t="n">
        <v>1630</v>
      </c>
      <c r="L42" s="1" t="str">
        <f aca="false">IF(ISNUMBER(SEARCH("Bundle",C42)),"Bundles",IF(ISNUMBER(SEARCH("Airtime",C42)),"Bundles",IF(ISNUMBER(SEARCH("Merchant",C42)),"Merchant Payment",IF(ISNUMBER(SEARCH("Offnet C2B",C42)),"Merchant Payment",IF(ISNUMBER(SEARCH("Offnet B2C",C42)),"Merchant Payment",IF(ISNUMBER(SEARCH("Customer Payment to Small",C42)),"Merchant Payment",IF(ISNUMBER(SEARCH("Payment to Small Business",C42)),"Merchant Payment",IF(ISNUMBER(SEARCH("Sent to",C42)),"Sent to Person",IF(ISNUMBER(SEARCH("Customer Transfer to",C42)),"Sent to Person",IF(ISNUMBER(SEARCH("Business Payment",C42)),"Money In",IF(ISNUMBER(SEARCH("Funds Received",C42)),"Money In",IF(ISNUMBER(SEARCH("Receive International",C42)),"Money In",IF(ISNUMBER(SEARCH("Send Money Reversal",C42)),"Money In",IF(ISNUMBER(SEARCH("Pay Utility Reversal",C42)),"Money In",IF(ISNUMBER(SEARCH("Customer Transfer",C42)),"Money In",IF(ISNUMBER(SEARCH("Ziidi",C42)),"Investment",IF(ISNUMBER(SEARCH("Nabo",C42)),"Investment",IF(ISNUMBER(SEARCH("Paybill Online",C42)),"Pay Bill",IF(ISNUMBER(SEARCH("Pay Bill",C42)),"Pay Bill",IF(ISNUMBER(SEARCH("Spotify",C42)),"Pay Bill",IF(ISNUMBER(SEARCH("M-Shwari",C42)),"Mshwari",IF(ISNUMBER(SEARCH("Mshwari",C42)),"Mshwari",IF(ISNUMBER(SEARCH("Withdrawal charge",C42)),"Fees",IF(ISNUMBER(SEARCH("Customer Withdrawal",C42)),"Fees",IF(ISNUMBER(SEARCH("charge",C42)),"Fees","Other")))))))))))))))))))))))))</f>
        <v>Bundles</v>
      </c>
      <c r="R42" s="1" t="str">
        <f aca="false">TEXT(B42,"MMM YYYY")</f>
        <v>Jan 2026</v>
      </c>
    </row>
    <row r="43" customFormat="false" ht="13.8" hidden="false" customHeight="false" outlineLevel="0" collapsed="false">
      <c r="A43" s="4" t="s">
        <v>115</v>
      </c>
      <c r="B43" s="4" t="s">
        <v>116</v>
      </c>
      <c r="C43" s="4" t="s">
        <v>90</v>
      </c>
      <c r="D43" s="4" t="s">
        <v>18</v>
      </c>
      <c r="E43" s="4"/>
      <c r="F43" s="4" t="n">
        <v>10</v>
      </c>
      <c r="G43" s="4" t="n">
        <v>1620</v>
      </c>
      <c r="L43" s="1" t="str">
        <f aca="false">IF(ISNUMBER(SEARCH("Bundle",C43)),"Bundles",IF(ISNUMBER(SEARCH("Airtime",C43)),"Bundles",IF(ISNUMBER(SEARCH("Merchant",C43)),"Merchant Payment",IF(ISNUMBER(SEARCH("Offnet C2B",C43)),"Merchant Payment",IF(ISNUMBER(SEARCH("Offnet B2C",C43)),"Merchant Payment",IF(ISNUMBER(SEARCH("Customer Payment to Small",C43)),"Merchant Payment",IF(ISNUMBER(SEARCH("Payment to Small Business",C43)),"Merchant Payment",IF(ISNUMBER(SEARCH("Sent to",C43)),"Sent to Person",IF(ISNUMBER(SEARCH("Customer Transfer to",C43)),"Sent to Person",IF(ISNUMBER(SEARCH("Business Payment",C43)),"Money In",IF(ISNUMBER(SEARCH("Funds Received",C43)),"Money In",IF(ISNUMBER(SEARCH("Receive International",C43)),"Money In",IF(ISNUMBER(SEARCH("Send Money Reversal",C43)),"Money In",IF(ISNUMBER(SEARCH("Pay Utility Reversal",C43)),"Money In",IF(ISNUMBER(SEARCH("Customer Transfer",C43)),"Money In",IF(ISNUMBER(SEARCH("Ziidi",C43)),"Investment",IF(ISNUMBER(SEARCH("Nabo",C43)),"Investment",IF(ISNUMBER(SEARCH("Paybill Online",C43)),"Pay Bill",IF(ISNUMBER(SEARCH("Pay Bill",C43)),"Pay Bill",IF(ISNUMBER(SEARCH("Spotify",C43)),"Pay Bill",IF(ISNUMBER(SEARCH("M-Shwari",C43)),"Mshwari",IF(ISNUMBER(SEARCH("Mshwari",C43)),"Mshwari",IF(ISNUMBER(SEARCH("Withdrawal charge",C43)),"Fees",IF(ISNUMBER(SEARCH("Customer Withdrawal",C43)),"Fees",IF(ISNUMBER(SEARCH("charge",C43)),"Fees","Other")))))))))))))))))))))))))</f>
        <v>Bundles</v>
      </c>
      <c r="R43" s="1" t="str">
        <f aca="false">TEXT(B43,"MMM YYYY")</f>
        <v>Jan 2026</v>
      </c>
    </row>
    <row r="44" customFormat="false" ht="13.8" hidden="false" customHeight="false" outlineLevel="0" collapsed="false">
      <c r="A44" s="4" t="s">
        <v>117</v>
      </c>
      <c r="B44" s="4" t="s">
        <v>118</v>
      </c>
      <c r="C44" s="4" t="s">
        <v>90</v>
      </c>
      <c r="D44" s="4" t="s">
        <v>18</v>
      </c>
      <c r="E44" s="4"/>
      <c r="F44" s="4" t="n">
        <v>30</v>
      </c>
      <c r="G44" s="4" t="n">
        <v>1590</v>
      </c>
      <c r="L44" s="1" t="str">
        <f aca="false">IF(ISNUMBER(SEARCH("Bundle",C44)),"Bundles",IF(ISNUMBER(SEARCH("Airtime",C44)),"Bundles",IF(ISNUMBER(SEARCH("Merchant",C44)),"Merchant Payment",IF(ISNUMBER(SEARCH("Offnet C2B",C44)),"Merchant Payment",IF(ISNUMBER(SEARCH("Offnet B2C",C44)),"Merchant Payment",IF(ISNUMBER(SEARCH("Customer Payment to Small",C44)),"Merchant Payment",IF(ISNUMBER(SEARCH("Payment to Small Business",C44)),"Merchant Payment",IF(ISNUMBER(SEARCH("Sent to",C44)),"Sent to Person",IF(ISNUMBER(SEARCH("Customer Transfer to",C44)),"Sent to Person",IF(ISNUMBER(SEARCH("Business Payment",C44)),"Money In",IF(ISNUMBER(SEARCH("Funds Received",C44)),"Money In",IF(ISNUMBER(SEARCH("Receive International",C44)),"Money In",IF(ISNUMBER(SEARCH("Send Money Reversal",C44)),"Money In",IF(ISNUMBER(SEARCH("Pay Utility Reversal",C44)),"Money In",IF(ISNUMBER(SEARCH("Customer Transfer",C44)),"Money In",IF(ISNUMBER(SEARCH("Ziidi",C44)),"Investment",IF(ISNUMBER(SEARCH("Nabo",C44)),"Investment",IF(ISNUMBER(SEARCH("Paybill Online",C44)),"Pay Bill",IF(ISNUMBER(SEARCH("Pay Bill",C44)),"Pay Bill",IF(ISNUMBER(SEARCH("Spotify",C44)),"Pay Bill",IF(ISNUMBER(SEARCH("M-Shwari",C44)),"Mshwari",IF(ISNUMBER(SEARCH("Mshwari",C44)),"Mshwari",IF(ISNUMBER(SEARCH("Withdrawal charge",C44)),"Fees",IF(ISNUMBER(SEARCH("Customer Withdrawal",C44)),"Fees",IF(ISNUMBER(SEARCH("charge",C44)),"Fees","Other")))))))))))))))))))))))))</f>
        <v>Bundles</v>
      </c>
      <c r="R44" s="1" t="str">
        <f aca="false">TEXT(B44,"MMM YYYY")</f>
        <v>Jan 2026</v>
      </c>
    </row>
    <row r="45" customFormat="false" ht="13.8" hidden="false" customHeight="false" outlineLevel="0" collapsed="false">
      <c r="A45" s="4" t="s">
        <v>119</v>
      </c>
      <c r="B45" s="4" t="s">
        <v>120</v>
      </c>
      <c r="C45" s="4" t="s">
        <v>90</v>
      </c>
      <c r="D45" s="4" t="s">
        <v>18</v>
      </c>
      <c r="E45" s="4"/>
      <c r="F45" s="4" t="n">
        <v>10</v>
      </c>
      <c r="G45" s="4" t="n">
        <v>1580</v>
      </c>
      <c r="L45" s="1" t="str">
        <f aca="false">IF(ISNUMBER(SEARCH("Bundle",C45)),"Bundles",IF(ISNUMBER(SEARCH("Airtime",C45)),"Bundles",IF(ISNUMBER(SEARCH("Merchant",C45)),"Merchant Payment",IF(ISNUMBER(SEARCH("Offnet C2B",C45)),"Merchant Payment",IF(ISNUMBER(SEARCH("Offnet B2C",C45)),"Merchant Payment",IF(ISNUMBER(SEARCH("Customer Payment to Small",C45)),"Merchant Payment",IF(ISNUMBER(SEARCH("Payment to Small Business",C45)),"Merchant Payment",IF(ISNUMBER(SEARCH("Sent to",C45)),"Sent to Person",IF(ISNUMBER(SEARCH("Customer Transfer to",C45)),"Sent to Person",IF(ISNUMBER(SEARCH("Business Payment",C45)),"Money In",IF(ISNUMBER(SEARCH("Funds Received",C45)),"Money In",IF(ISNUMBER(SEARCH("Receive International",C45)),"Money In",IF(ISNUMBER(SEARCH("Send Money Reversal",C45)),"Money In",IF(ISNUMBER(SEARCH("Pay Utility Reversal",C45)),"Money In",IF(ISNUMBER(SEARCH("Customer Transfer",C45)),"Money In",IF(ISNUMBER(SEARCH("Ziidi",C45)),"Investment",IF(ISNUMBER(SEARCH("Nabo",C45)),"Investment",IF(ISNUMBER(SEARCH("Paybill Online",C45)),"Pay Bill",IF(ISNUMBER(SEARCH("Pay Bill",C45)),"Pay Bill",IF(ISNUMBER(SEARCH("Spotify",C45)),"Pay Bill",IF(ISNUMBER(SEARCH("M-Shwari",C45)),"Mshwari",IF(ISNUMBER(SEARCH("Mshwari",C45)),"Mshwari",IF(ISNUMBER(SEARCH("Withdrawal charge",C45)),"Fees",IF(ISNUMBER(SEARCH("Customer Withdrawal",C45)),"Fees",IF(ISNUMBER(SEARCH("charge",C45)),"Fees","Other")))))))))))))))))))))))))</f>
        <v>Bundles</v>
      </c>
      <c r="R45" s="1" t="str">
        <f aca="false">TEXT(B45,"MMM YYYY")</f>
        <v>Jan 2026</v>
      </c>
    </row>
    <row r="46" customFormat="false" ht="13.8" hidden="false" customHeight="false" outlineLevel="0" collapsed="false">
      <c r="A46" s="4" t="s">
        <v>121</v>
      </c>
      <c r="B46" s="4" t="s">
        <v>122</v>
      </c>
      <c r="C46" s="4" t="s">
        <v>90</v>
      </c>
      <c r="D46" s="4" t="s">
        <v>18</v>
      </c>
      <c r="E46" s="4"/>
      <c r="F46" s="4" t="n">
        <v>10</v>
      </c>
      <c r="G46" s="4" t="n">
        <v>1570</v>
      </c>
      <c r="L46" s="1" t="str">
        <f aca="false">IF(ISNUMBER(SEARCH("Bundle",C46)),"Bundles",IF(ISNUMBER(SEARCH("Airtime",C46)),"Bundles",IF(ISNUMBER(SEARCH("Merchant",C46)),"Merchant Payment",IF(ISNUMBER(SEARCH("Offnet C2B",C46)),"Merchant Payment",IF(ISNUMBER(SEARCH("Offnet B2C",C46)),"Merchant Payment",IF(ISNUMBER(SEARCH("Customer Payment to Small",C46)),"Merchant Payment",IF(ISNUMBER(SEARCH("Payment to Small Business",C46)),"Merchant Payment",IF(ISNUMBER(SEARCH("Sent to",C46)),"Sent to Person",IF(ISNUMBER(SEARCH("Customer Transfer to",C46)),"Sent to Person",IF(ISNUMBER(SEARCH("Business Payment",C46)),"Money In",IF(ISNUMBER(SEARCH("Funds Received",C46)),"Money In",IF(ISNUMBER(SEARCH("Receive International",C46)),"Money In",IF(ISNUMBER(SEARCH("Send Money Reversal",C46)),"Money In",IF(ISNUMBER(SEARCH("Pay Utility Reversal",C46)),"Money In",IF(ISNUMBER(SEARCH("Customer Transfer",C46)),"Money In",IF(ISNUMBER(SEARCH("Ziidi",C46)),"Investment",IF(ISNUMBER(SEARCH("Nabo",C46)),"Investment",IF(ISNUMBER(SEARCH("Paybill Online",C46)),"Pay Bill",IF(ISNUMBER(SEARCH("Pay Bill",C46)),"Pay Bill",IF(ISNUMBER(SEARCH("Spotify",C46)),"Pay Bill",IF(ISNUMBER(SEARCH("M-Shwari",C46)),"Mshwari",IF(ISNUMBER(SEARCH("Mshwari",C46)),"Mshwari",IF(ISNUMBER(SEARCH("Withdrawal charge",C46)),"Fees",IF(ISNUMBER(SEARCH("Customer Withdrawal",C46)),"Fees",IF(ISNUMBER(SEARCH("charge",C46)),"Fees","Other")))))))))))))))))))))))))</f>
        <v>Bundles</v>
      </c>
      <c r="R46" s="1" t="str">
        <f aca="false">TEXT(B46,"MMM YYYY")</f>
        <v>Jan 2026</v>
      </c>
    </row>
    <row r="47" customFormat="false" ht="13.8" hidden="false" customHeight="false" outlineLevel="0" collapsed="false">
      <c r="A47" s="4" t="s">
        <v>123</v>
      </c>
      <c r="B47" s="4" t="s">
        <v>124</v>
      </c>
      <c r="C47" s="4" t="s">
        <v>90</v>
      </c>
      <c r="D47" s="4" t="s">
        <v>18</v>
      </c>
      <c r="E47" s="4"/>
      <c r="F47" s="4" t="n">
        <v>30</v>
      </c>
      <c r="G47" s="4" t="n">
        <v>1540</v>
      </c>
      <c r="L47" s="1" t="str">
        <f aca="false">IF(ISNUMBER(SEARCH("Bundle",C47)),"Bundles",IF(ISNUMBER(SEARCH("Airtime",C47)),"Bundles",IF(ISNUMBER(SEARCH("Merchant",C47)),"Merchant Payment",IF(ISNUMBER(SEARCH("Offnet C2B",C47)),"Merchant Payment",IF(ISNUMBER(SEARCH("Offnet B2C",C47)),"Merchant Payment",IF(ISNUMBER(SEARCH("Customer Payment to Small",C47)),"Merchant Payment",IF(ISNUMBER(SEARCH("Payment to Small Business",C47)),"Merchant Payment",IF(ISNUMBER(SEARCH("Sent to",C47)),"Sent to Person",IF(ISNUMBER(SEARCH("Customer Transfer to",C47)),"Sent to Person",IF(ISNUMBER(SEARCH("Business Payment",C47)),"Money In",IF(ISNUMBER(SEARCH("Funds Received",C47)),"Money In",IF(ISNUMBER(SEARCH("Receive International",C47)),"Money In",IF(ISNUMBER(SEARCH("Send Money Reversal",C47)),"Money In",IF(ISNUMBER(SEARCH("Pay Utility Reversal",C47)),"Money In",IF(ISNUMBER(SEARCH("Customer Transfer",C47)),"Money In",IF(ISNUMBER(SEARCH("Ziidi",C47)),"Investment",IF(ISNUMBER(SEARCH("Nabo",C47)),"Investment",IF(ISNUMBER(SEARCH("Paybill Online",C47)),"Pay Bill",IF(ISNUMBER(SEARCH("Pay Bill",C47)),"Pay Bill",IF(ISNUMBER(SEARCH("Spotify",C47)),"Pay Bill",IF(ISNUMBER(SEARCH("M-Shwari",C47)),"Mshwari",IF(ISNUMBER(SEARCH("Mshwari",C47)),"Mshwari",IF(ISNUMBER(SEARCH("Withdrawal charge",C47)),"Fees",IF(ISNUMBER(SEARCH("Customer Withdrawal",C47)),"Fees",IF(ISNUMBER(SEARCH("charge",C47)),"Fees","Other")))))))))))))))))))))))))</f>
        <v>Bundles</v>
      </c>
      <c r="R47" s="1" t="str">
        <f aca="false">TEXT(B47,"MMM YYYY")</f>
        <v>Jan 2026</v>
      </c>
    </row>
    <row r="48" customFormat="false" ht="13.8" hidden="false" customHeight="false" outlineLevel="0" collapsed="false">
      <c r="A48" s="4" t="s">
        <v>125</v>
      </c>
      <c r="B48" s="4" t="s">
        <v>126</v>
      </c>
      <c r="C48" s="4" t="s">
        <v>90</v>
      </c>
      <c r="D48" s="4" t="s">
        <v>18</v>
      </c>
      <c r="E48" s="4"/>
      <c r="F48" s="4" t="n">
        <v>30</v>
      </c>
      <c r="G48" s="4" t="n">
        <v>1510</v>
      </c>
      <c r="L48" s="1" t="str">
        <f aca="false">IF(ISNUMBER(SEARCH("Bundle",C48)),"Bundles",IF(ISNUMBER(SEARCH("Airtime",C48)),"Bundles",IF(ISNUMBER(SEARCH("Merchant",C48)),"Merchant Payment",IF(ISNUMBER(SEARCH("Offnet C2B",C48)),"Merchant Payment",IF(ISNUMBER(SEARCH("Offnet B2C",C48)),"Merchant Payment",IF(ISNUMBER(SEARCH("Customer Payment to Small",C48)),"Merchant Payment",IF(ISNUMBER(SEARCH("Payment to Small Business",C48)),"Merchant Payment",IF(ISNUMBER(SEARCH("Sent to",C48)),"Sent to Person",IF(ISNUMBER(SEARCH("Customer Transfer to",C48)),"Sent to Person",IF(ISNUMBER(SEARCH("Business Payment",C48)),"Money In",IF(ISNUMBER(SEARCH("Funds Received",C48)),"Money In",IF(ISNUMBER(SEARCH("Receive International",C48)),"Money In",IF(ISNUMBER(SEARCH("Send Money Reversal",C48)),"Money In",IF(ISNUMBER(SEARCH("Pay Utility Reversal",C48)),"Money In",IF(ISNUMBER(SEARCH("Customer Transfer",C48)),"Money In",IF(ISNUMBER(SEARCH("Ziidi",C48)),"Investment",IF(ISNUMBER(SEARCH("Nabo",C48)),"Investment",IF(ISNUMBER(SEARCH("Paybill Online",C48)),"Pay Bill",IF(ISNUMBER(SEARCH("Pay Bill",C48)),"Pay Bill",IF(ISNUMBER(SEARCH("Spotify",C48)),"Pay Bill",IF(ISNUMBER(SEARCH("M-Shwari",C48)),"Mshwari",IF(ISNUMBER(SEARCH("Mshwari",C48)),"Mshwari",IF(ISNUMBER(SEARCH("Withdrawal charge",C48)),"Fees",IF(ISNUMBER(SEARCH("Customer Withdrawal",C48)),"Fees",IF(ISNUMBER(SEARCH("charge",C48)),"Fees","Other")))))))))))))))))))))))))</f>
        <v>Bundles</v>
      </c>
      <c r="R48" s="1" t="str">
        <f aca="false">TEXT(B48,"MMM YYYY")</f>
        <v>Jan 2026</v>
      </c>
    </row>
    <row r="49" customFormat="false" ht="13.8" hidden="false" customHeight="false" outlineLevel="0" collapsed="false">
      <c r="A49" s="4" t="s">
        <v>127</v>
      </c>
      <c r="B49" s="4" t="s">
        <v>128</v>
      </c>
      <c r="C49" s="4" t="s">
        <v>90</v>
      </c>
      <c r="D49" s="4" t="s">
        <v>18</v>
      </c>
      <c r="E49" s="4"/>
      <c r="F49" s="4" t="n">
        <v>30</v>
      </c>
      <c r="G49" s="4" t="n">
        <v>1480</v>
      </c>
      <c r="L49" s="1" t="str">
        <f aca="false">IF(ISNUMBER(SEARCH("Bundle",C49)),"Bundles",IF(ISNUMBER(SEARCH("Airtime",C49)),"Bundles",IF(ISNUMBER(SEARCH("Merchant",C49)),"Merchant Payment",IF(ISNUMBER(SEARCH("Offnet C2B",C49)),"Merchant Payment",IF(ISNUMBER(SEARCH("Offnet B2C",C49)),"Merchant Payment",IF(ISNUMBER(SEARCH("Customer Payment to Small",C49)),"Merchant Payment",IF(ISNUMBER(SEARCH("Payment to Small Business",C49)),"Merchant Payment",IF(ISNUMBER(SEARCH("Sent to",C49)),"Sent to Person",IF(ISNUMBER(SEARCH("Customer Transfer to",C49)),"Sent to Person",IF(ISNUMBER(SEARCH("Business Payment",C49)),"Money In",IF(ISNUMBER(SEARCH("Funds Received",C49)),"Money In",IF(ISNUMBER(SEARCH("Receive International",C49)),"Money In",IF(ISNUMBER(SEARCH("Send Money Reversal",C49)),"Money In",IF(ISNUMBER(SEARCH("Pay Utility Reversal",C49)),"Money In",IF(ISNUMBER(SEARCH("Customer Transfer",C49)),"Money In",IF(ISNUMBER(SEARCH("Ziidi",C49)),"Investment",IF(ISNUMBER(SEARCH("Nabo",C49)),"Investment",IF(ISNUMBER(SEARCH("Paybill Online",C49)),"Pay Bill",IF(ISNUMBER(SEARCH("Pay Bill",C49)),"Pay Bill",IF(ISNUMBER(SEARCH("Spotify",C49)),"Pay Bill",IF(ISNUMBER(SEARCH("M-Shwari",C49)),"Mshwari",IF(ISNUMBER(SEARCH("Mshwari",C49)),"Mshwari",IF(ISNUMBER(SEARCH("Withdrawal charge",C49)),"Fees",IF(ISNUMBER(SEARCH("Customer Withdrawal",C49)),"Fees",IF(ISNUMBER(SEARCH("charge",C49)),"Fees","Other")))))))))))))))))))))))))</f>
        <v>Bundles</v>
      </c>
      <c r="R49" s="1" t="str">
        <f aca="false">TEXT(B49,"MMM YYYY")</f>
        <v>Jan 2026</v>
      </c>
    </row>
    <row r="50" customFormat="false" ht="13.8" hidden="false" customHeight="false" outlineLevel="0" collapsed="false">
      <c r="A50" s="4" t="s">
        <v>129</v>
      </c>
      <c r="B50" s="4" t="s">
        <v>130</v>
      </c>
      <c r="C50" s="4" t="s">
        <v>90</v>
      </c>
      <c r="D50" s="4" t="s">
        <v>18</v>
      </c>
      <c r="E50" s="4"/>
      <c r="F50" s="4" t="n">
        <v>30</v>
      </c>
      <c r="G50" s="4" t="n">
        <v>1450</v>
      </c>
      <c r="L50" s="1" t="str">
        <f aca="false">IF(ISNUMBER(SEARCH("Bundle",C50)),"Bundles",IF(ISNUMBER(SEARCH("Airtime",C50)),"Bundles",IF(ISNUMBER(SEARCH("Merchant",C50)),"Merchant Payment",IF(ISNUMBER(SEARCH("Offnet C2B",C50)),"Merchant Payment",IF(ISNUMBER(SEARCH("Offnet B2C",C50)),"Merchant Payment",IF(ISNUMBER(SEARCH("Customer Payment to Small",C50)),"Merchant Payment",IF(ISNUMBER(SEARCH("Payment to Small Business",C50)),"Merchant Payment",IF(ISNUMBER(SEARCH("Sent to",C50)),"Sent to Person",IF(ISNUMBER(SEARCH("Customer Transfer to",C50)),"Sent to Person",IF(ISNUMBER(SEARCH("Business Payment",C50)),"Money In",IF(ISNUMBER(SEARCH("Funds Received",C50)),"Money In",IF(ISNUMBER(SEARCH("Receive International",C50)),"Money In",IF(ISNUMBER(SEARCH("Send Money Reversal",C50)),"Money In",IF(ISNUMBER(SEARCH("Pay Utility Reversal",C50)),"Money In",IF(ISNUMBER(SEARCH("Customer Transfer",C50)),"Money In",IF(ISNUMBER(SEARCH("Ziidi",C50)),"Investment",IF(ISNUMBER(SEARCH("Nabo",C50)),"Investment",IF(ISNUMBER(SEARCH("Paybill Online",C50)),"Pay Bill",IF(ISNUMBER(SEARCH("Pay Bill",C50)),"Pay Bill",IF(ISNUMBER(SEARCH("Spotify",C50)),"Pay Bill",IF(ISNUMBER(SEARCH("M-Shwari",C50)),"Mshwari",IF(ISNUMBER(SEARCH("Mshwari",C50)),"Mshwari",IF(ISNUMBER(SEARCH("Withdrawal charge",C50)),"Fees",IF(ISNUMBER(SEARCH("Customer Withdrawal",C50)),"Fees",IF(ISNUMBER(SEARCH("charge",C50)),"Fees","Other")))))))))))))))))))))))))</f>
        <v>Bundles</v>
      </c>
      <c r="R50" s="1" t="str">
        <f aca="false">TEXT(B50,"MMM YYYY")</f>
        <v>Jan 2026</v>
      </c>
    </row>
    <row r="51" customFormat="false" ht="13.8" hidden="false" customHeight="false" outlineLevel="0" collapsed="false">
      <c r="A51" s="4" t="s">
        <v>131</v>
      </c>
      <c r="B51" s="4" t="s">
        <v>132</v>
      </c>
      <c r="C51" s="4" t="s">
        <v>90</v>
      </c>
      <c r="D51" s="4" t="s">
        <v>18</v>
      </c>
      <c r="E51" s="4"/>
      <c r="F51" s="4" t="n">
        <v>10</v>
      </c>
      <c r="G51" s="4" t="n">
        <v>1440</v>
      </c>
      <c r="L51" s="1" t="str">
        <f aca="false">IF(ISNUMBER(SEARCH("Bundle",C51)),"Bundles",IF(ISNUMBER(SEARCH("Airtime",C51)),"Bundles",IF(ISNUMBER(SEARCH("Merchant",C51)),"Merchant Payment",IF(ISNUMBER(SEARCH("Offnet C2B",C51)),"Merchant Payment",IF(ISNUMBER(SEARCH("Offnet B2C",C51)),"Merchant Payment",IF(ISNUMBER(SEARCH("Customer Payment to Small",C51)),"Merchant Payment",IF(ISNUMBER(SEARCH("Payment to Small Business",C51)),"Merchant Payment",IF(ISNUMBER(SEARCH("Sent to",C51)),"Sent to Person",IF(ISNUMBER(SEARCH("Customer Transfer to",C51)),"Sent to Person",IF(ISNUMBER(SEARCH("Business Payment",C51)),"Money In",IF(ISNUMBER(SEARCH("Funds Received",C51)),"Money In",IF(ISNUMBER(SEARCH("Receive International",C51)),"Money In",IF(ISNUMBER(SEARCH("Send Money Reversal",C51)),"Money In",IF(ISNUMBER(SEARCH("Pay Utility Reversal",C51)),"Money In",IF(ISNUMBER(SEARCH("Customer Transfer",C51)),"Money In",IF(ISNUMBER(SEARCH("Ziidi",C51)),"Investment",IF(ISNUMBER(SEARCH("Nabo",C51)),"Investment",IF(ISNUMBER(SEARCH("Paybill Online",C51)),"Pay Bill",IF(ISNUMBER(SEARCH("Pay Bill",C51)),"Pay Bill",IF(ISNUMBER(SEARCH("Spotify",C51)),"Pay Bill",IF(ISNUMBER(SEARCH("M-Shwari",C51)),"Mshwari",IF(ISNUMBER(SEARCH("Mshwari",C51)),"Mshwari",IF(ISNUMBER(SEARCH("Withdrawal charge",C51)),"Fees",IF(ISNUMBER(SEARCH("Customer Withdrawal",C51)),"Fees",IF(ISNUMBER(SEARCH("charge",C51)),"Fees","Other")))))))))))))))))))))))))</f>
        <v>Bundles</v>
      </c>
      <c r="R51" s="1" t="str">
        <f aca="false">TEXT(B51,"MMM YYYY")</f>
        <v>Jan 2026</v>
      </c>
    </row>
    <row r="52" customFormat="false" ht="13.8" hidden="false" customHeight="false" outlineLevel="0" collapsed="false">
      <c r="A52" s="4" t="s">
        <v>133</v>
      </c>
      <c r="B52" s="4" t="s">
        <v>134</v>
      </c>
      <c r="C52" s="4" t="s">
        <v>90</v>
      </c>
      <c r="D52" s="4" t="s">
        <v>18</v>
      </c>
      <c r="E52" s="4"/>
      <c r="F52" s="4" t="n">
        <v>10</v>
      </c>
      <c r="G52" s="4" t="n">
        <v>1430</v>
      </c>
      <c r="L52" s="1" t="str">
        <f aca="false">IF(ISNUMBER(SEARCH("Bundle",C52)),"Bundles",IF(ISNUMBER(SEARCH("Airtime",C52)),"Bundles",IF(ISNUMBER(SEARCH("Merchant",C52)),"Merchant Payment",IF(ISNUMBER(SEARCH("Offnet C2B",C52)),"Merchant Payment",IF(ISNUMBER(SEARCH("Offnet B2C",C52)),"Merchant Payment",IF(ISNUMBER(SEARCH("Customer Payment to Small",C52)),"Merchant Payment",IF(ISNUMBER(SEARCH("Payment to Small Business",C52)),"Merchant Payment",IF(ISNUMBER(SEARCH("Sent to",C52)),"Sent to Person",IF(ISNUMBER(SEARCH("Customer Transfer to",C52)),"Sent to Person",IF(ISNUMBER(SEARCH("Business Payment",C52)),"Money In",IF(ISNUMBER(SEARCH("Funds Received",C52)),"Money In",IF(ISNUMBER(SEARCH("Receive International",C52)),"Money In",IF(ISNUMBER(SEARCH("Send Money Reversal",C52)),"Money In",IF(ISNUMBER(SEARCH("Pay Utility Reversal",C52)),"Money In",IF(ISNUMBER(SEARCH("Customer Transfer",C52)),"Money In",IF(ISNUMBER(SEARCH("Ziidi",C52)),"Investment",IF(ISNUMBER(SEARCH("Nabo",C52)),"Investment",IF(ISNUMBER(SEARCH("Paybill Online",C52)),"Pay Bill",IF(ISNUMBER(SEARCH("Pay Bill",C52)),"Pay Bill",IF(ISNUMBER(SEARCH("Spotify",C52)),"Pay Bill",IF(ISNUMBER(SEARCH("M-Shwari",C52)),"Mshwari",IF(ISNUMBER(SEARCH("Mshwari",C52)),"Mshwari",IF(ISNUMBER(SEARCH("Withdrawal charge",C52)),"Fees",IF(ISNUMBER(SEARCH("Customer Withdrawal",C52)),"Fees",IF(ISNUMBER(SEARCH("charge",C52)),"Fees","Other")))))))))))))))))))))))))</f>
        <v>Bundles</v>
      </c>
      <c r="R52" s="1" t="str">
        <f aca="false">TEXT(B52,"MMM YYYY")</f>
        <v>Jan 2026</v>
      </c>
    </row>
    <row r="53" customFormat="false" ht="13.8" hidden="false" customHeight="false" outlineLevel="0" collapsed="false">
      <c r="A53" s="4" t="s">
        <v>135</v>
      </c>
      <c r="B53" s="4" t="s">
        <v>136</v>
      </c>
      <c r="C53" s="4" t="s">
        <v>29</v>
      </c>
      <c r="D53" s="4" t="s">
        <v>18</v>
      </c>
      <c r="E53" s="4"/>
      <c r="F53" s="4" t="n">
        <v>30</v>
      </c>
      <c r="G53" s="4" t="n">
        <v>1400</v>
      </c>
      <c r="L53" s="1" t="str">
        <f aca="false">IF(ISNUMBER(SEARCH("Bundle",C53)),"Bundles",IF(ISNUMBER(SEARCH("Airtime",C53)),"Bundles",IF(ISNUMBER(SEARCH("Merchant",C53)),"Merchant Payment",IF(ISNUMBER(SEARCH("Offnet C2B",C53)),"Merchant Payment",IF(ISNUMBER(SEARCH("Offnet B2C",C53)),"Merchant Payment",IF(ISNUMBER(SEARCH("Customer Payment to Small",C53)),"Merchant Payment",IF(ISNUMBER(SEARCH("Payment to Small Business",C53)),"Merchant Payment",IF(ISNUMBER(SEARCH("Sent to",C53)),"Sent to Person",IF(ISNUMBER(SEARCH("Customer Transfer to",C53)),"Sent to Person",IF(ISNUMBER(SEARCH("Business Payment",C53)),"Money In",IF(ISNUMBER(SEARCH("Funds Received",C53)),"Money In",IF(ISNUMBER(SEARCH("Receive International",C53)),"Money In",IF(ISNUMBER(SEARCH("Send Money Reversal",C53)),"Money In",IF(ISNUMBER(SEARCH("Pay Utility Reversal",C53)),"Money In",IF(ISNUMBER(SEARCH("Customer Transfer",C53)),"Money In",IF(ISNUMBER(SEARCH("Ziidi",C53)),"Investment",IF(ISNUMBER(SEARCH("Nabo",C53)),"Investment",IF(ISNUMBER(SEARCH("Paybill Online",C53)),"Pay Bill",IF(ISNUMBER(SEARCH("Pay Bill",C53)),"Pay Bill",IF(ISNUMBER(SEARCH("Spotify",C53)),"Pay Bill",IF(ISNUMBER(SEARCH("M-Shwari",C53)),"Mshwari",IF(ISNUMBER(SEARCH("Mshwari",C53)),"Mshwari",IF(ISNUMBER(SEARCH("Withdrawal charge",C53)),"Fees",IF(ISNUMBER(SEARCH("Customer Withdrawal",C53)),"Fees",IF(ISNUMBER(SEARCH("charge",C53)),"Fees","Other")))))))))))))))))))))))))</f>
        <v>Bundles</v>
      </c>
      <c r="R53" s="1" t="str">
        <f aca="false">TEXT(B53,"MMM YYYY")</f>
        <v>Jan 2026</v>
      </c>
    </row>
    <row r="54" customFormat="false" ht="13.8" hidden="false" customHeight="false" outlineLevel="0" collapsed="false">
      <c r="A54" s="4" t="s">
        <v>137</v>
      </c>
      <c r="B54" s="4" t="s">
        <v>138</v>
      </c>
      <c r="C54" s="4" t="s">
        <v>29</v>
      </c>
      <c r="D54" s="4" t="s">
        <v>18</v>
      </c>
      <c r="E54" s="4"/>
      <c r="F54" s="4" t="n">
        <v>10</v>
      </c>
      <c r="G54" s="4" t="n">
        <v>1390</v>
      </c>
      <c r="L54" s="1" t="str">
        <f aca="false">IF(ISNUMBER(SEARCH("Bundle",C54)),"Bundles",IF(ISNUMBER(SEARCH("Airtime",C54)),"Bundles",IF(ISNUMBER(SEARCH("Merchant",C54)),"Merchant Payment",IF(ISNUMBER(SEARCH("Offnet C2B",C54)),"Merchant Payment",IF(ISNUMBER(SEARCH("Offnet B2C",C54)),"Merchant Payment",IF(ISNUMBER(SEARCH("Customer Payment to Small",C54)),"Merchant Payment",IF(ISNUMBER(SEARCH("Payment to Small Business",C54)),"Merchant Payment",IF(ISNUMBER(SEARCH("Sent to",C54)),"Sent to Person",IF(ISNUMBER(SEARCH("Customer Transfer to",C54)),"Sent to Person",IF(ISNUMBER(SEARCH("Business Payment",C54)),"Money In",IF(ISNUMBER(SEARCH("Funds Received",C54)),"Money In",IF(ISNUMBER(SEARCH("Receive International",C54)),"Money In",IF(ISNUMBER(SEARCH("Send Money Reversal",C54)),"Money In",IF(ISNUMBER(SEARCH("Pay Utility Reversal",C54)),"Money In",IF(ISNUMBER(SEARCH("Customer Transfer",C54)),"Money In",IF(ISNUMBER(SEARCH("Ziidi",C54)),"Investment",IF(ISNUMBER(SEARCH("Nabo",C54)),"Investment",IF(ISNUMBER(SEARCH("Paybill Online",C54)),"Pay Bill",IF(ISNUMBER(SEARCH("Pay Bill",C54)),"Pay Bill",IF(ISNUMBER(SEARCH("Spotify",C54)),"Pay Bill",IF(ISNUMBER(SEARCH("M-Shwari",C54)),"Mshwari",IF(ISNUMBER(SEARCH("Mshwari",C54)),"Mshwari",IF(ISNUMBER(SEARCH("Withdrawal charge",C54)),"Fees",IF(ISNUMBER(SEARCH("Customer Withdrawal",C54)),"Fees",IF(ISNUMBER(SEARCH("charge",C54)),"Fees","Other")))))))))))))))))))))))))</f>
        <v>Bundles</v>
      </c>
      <c r="R54" s="1" t="str">
        <f aca="false">TEXT(B54,"MMM YYYY")</f>
        <v>Jan 2026</v>
      </c>
    </row>
    <row r="55" customFormat="false" ht="13.8" hidden="false" customHeight="false" outlineLevel="0" collapsed="false">
      <c r="A55" s="4" t="s">
        <v>139</v>
      </c>
      <c r="B55" s="4" t="s">
        <v>140</v>
      </c>
      <c r="C55" s="4" t="s">
        <v>29</v>
      </c>
      <c r="D55" s="4" t="s">
        <v>18</v>
      </c>
      <c r="E55" s="4"/>
      <c r="F55" s="4" t="n">
        <v>10</v>
      </c>
      <c r="G55" s="4" t="n">
        <v>1380</v>
      </c>
      <c r="L55" s="1" t="str">
        <f aca="false">IF(ISNUMBER(SEARCH("Bundle",C55)),"Bundles",IF(ISNUMBER(SEARCH("Airtime",C55)),"Bundles",IF(ISNUMBER(SEARCH("Merchant",C55)),"Merchant Payment",IF(ISNUMBER(SEARCH("Offnet C2B",C55)),"Merchant Payment",IF(ISNUMBER(SEARCH("Offnet B2C",C55)),"Merchant Payment",IF(ISNUMBER(SEARCH("Customer Payment to Small",C55)),"Merchant Payment",IF(ISNUMBER(SEARCH("Payment to Small Business",C55)),"Merchant Payment",IF(ISNUMBER(SEARCH("Sent to",C55)),"Sent to Person",IF(ISNUMBER(SEARCH("Customer Transfer to",C55)),"Sent to Person",IF(ISNUMBER(SEARCH("Business Payment",C55)),"Money In",IF(ISNUMBER(SEARCH("Funds Received",C55)),"Money In",IF(ISNUMBER(SEARCH("Receive International",C55)),"Money In",IF(ISNUMBER(SEARCH("Send Money Reversal",C55)),"Money In",IF(ISNUMBER(SEARCH("Pay Utility Reversal",C55)),"Money In",IF(ISNUMBER(SEARCH("Customer Transfer",C55)),"Money In",IF(ISNUMBER(SEARCH("Ziidi",C55)),"Investment",IF(ISNUMBER(SEARCH("Nabo",C55)),"Investment",IF(ISNUMBER(SEARCH("Paybill Online",C55)),"Pay Bill",IF(ISNUMBER(SEARCH("Pay Bill",C55)),"Pay Bill",IF(ISNUMBER(SEARCH("Spotify",C55)),"Pay Bill",IF(ISNUMBER(SEARCH("M-Shwari",C55)),"Mshwari",IF(ISNUMBER(SEARCH("Mshwari",C55)),"Mshwari",IF(ISNUMBER(SEARCH("Withdrawal charge",C55)),"Fees",IF(ISNUMBER(SEARCH("Customer Withdrawal",C55)),"Fees",IF(ISNUMBER(SEARCH("charge",C55)),"Fees","Other")))))))))))))))))))))))))</f>
        <v>Bundles</v>
      </c>
      <c r="R55" s="1" t="str">
        <f aca="false">TEXT(B55,"MMM YYYY")</f>
        <v>Jan 2026</v>
      </c>
    </row>
    <row r="56" customFormat="false" ht="13.8" hidden="false" customHeight="false" outlineLevel="0" collapsed="false">
      <c r="A56" s="4" t="s">
        <v>141</v>
      </c>
      <c r="B56" s="4" t="s">
        <v>142</v>
      </c>
      <c r="C56" s="4" t="s">
        <v>29</v>
      </c>
      <c r="D56" s="4" t="s">
        <v>18</v>
      </c>
      <c r="E56" s="4"/>
      <c r="F56" s="4" t="n">
        <v>30</v>
      </c>
      <c r="G56" s="4" t="n">
        <v>1350</v>
      </c>
      <c r="L56" s="1" t="str">
        <f aca="false">IF(ISNUMBER(SEARCH("Bundle",C56)),"Bundles",IF(ISNUMBER(SEARCH("Airtime",C56)),"Bundles",IF(ISNUMBER(SEARCH("Merchant",C56)),"Merchant Payment",IF(ISNUMBER(SEARCH("Offnet C2B",C56)),"Merchant Payment",IF(ISNUMBER(SEARCH("Offnet B2C",C56)),"Merchant Payment",IF(ISNUMBER(SEARCH("Customer Payment to Small",C56)),"Merchant Payment",IF(ISNUMBER(SEARCH("Payment to Small Business",C56)),"Merchant Payment",IF(ISNUMBER(SEARCH("Sent to",C56)),"Sent to Person",IF(ISNUMBER(SEARCH("Customer Transfer to",C56)),"Sent to Person",IF(ISNUMBER(SEARCH("Business Payment",C56)),"Money In",IF(ISNUMBER(SEARCH("Funds Received",C56)),"Money In",IF(ISNUMBER(SEARCH("Receive International",C56)),"Money In",IF(ISNUMBER(SEARCH("Send Money Reversal",C56)),"Money In",IF(ISNUMBER(SEARCH("Pay Utility Reversal",C56)),"Money In",IF(ISNUMBER(SEARCH("Customer Transfer",C56)),"Money In",IF(ISNUMBER(SEARCH("Ziidi",C56)),"Investment",IF(ISNUMBER(SEARCH("Nabo",C56)),"Investment",IF(ISNUMBER(SEARCH("Paybill Online",C56)),"Pay Bill",IF(ISNUMBER(SEARCH("Pay Bill",C56)),"Pay Bill",IF(ISNUMBER(SEARCH("Spotify",C56)),"Pay Bill",IF(ISNUMBER(SEARCH("M-Shwari",C56)),"Mshwari",IF(ISNUMBER(SEARCH("Mshwari",C56)),"Mshwari",IF(ISNUMBER(SEARCH("Withdrawal charge",C56)),"Fees",IF(ISNUMBER(SEARCH("Customer Withdrawal",C56)),"Fees",IF(ISNUMBER(SEARCH("charge",C56)),"Fees","Other")))))))))))))))))))))))))</f>
        <v>Bundles</v>
      </c>
      <c r="R56" s="1" t="str">
        <f aca="false">TEXT(B56,"MMM YYYY")</f>
        <v>Jan 2026</v>
      </c>
    </row>
    <row r="57" customFormat="false" ht="13.8" hidden="false" customHeight="false" outlineLevel="0" collapsed="false">
      <c r="A57" s="4" t="s">
        <v>143</v>
      </c>
      <c r="B57" s="4" t="s">
        <v>144</v>
      </c>
      <c r="C57" s="4" t="s">
        <v>29</v>
      </c>
      <c r="D57" s="4" t="s">
        <v>18</v>
      </c>
      <c r="E57" s="4"/>
      <c r="F57" s="4" t="n">
        <v>30</v>
      </c>
      <c r="G57" s="4" t="n">
        <v>1320</v>
      </c>
      <c r="L57" s="1" t="str">
        <f aca="false">IF(ISNUMBER(SEARCH("Bundle",C57)),"Bundles",IF(ISNUMBER(SEARCH("Airtime",C57)),"Bundles",IF(ISNUMBER(SEARCH("Merchant",C57)),"Merchant Payment",IF(ISNUMBER(SEARCH("Offnet C2B",C57)),"Merchant Payment",IF(ISNUMBER(SEARCH("Offnet B2C",C57)),"Merchant Payment",IF(ISNUMBER(SEARCH("Customer Payment to Small",C57)),"Merchant Payment",IF(ISNUMBER(SEARCH("Payment to Small Business",C57)),"Merchant Payment",IF(ISNUMBER(SEARCH("Sent to",C57)),"Sent to Person",IF(ISNUMBER(SEARCH("Customer Transfer to",C57)),"Sent to Person",IF(ISNUMBER(SEARCH("Business Payment",C57)),"Money In",IF(ISNUMBER(SEARCH("Funds Received",C57)),"Money In",IF(ISNUMBER(SEARCH("Receive International",C57)),"Money In",IF(ISNUMBER(SEARCH("Send Money Reversal",C57)),"Money In",IF(ISNUMBER(SEARCH("Pay Utility Reversal",C57)),"Money In",IF(ISNUMBER(SEARCH("Customer Transfer",C57)),"Money In",IF(ISNUMBER(SEARCH("Ziidi",C57)),"Investment",IF(ISNUMBER(SEARCH("Nabo",C57)),"Investment",IF(ISNUMBER(SEARCH("Paybill Online",C57)),"Pay Bill",IF(ISNUMBER(SEARCH("Pay Bill",C57)),"Pay Bill",IF(ISNUMBER(SEARCH("Spotify",C57)),"Pay Bill",IF(ISNUMBER(SEARCH("M-Shwari",C57)),"Mshwari",IF(ISNUMBER(SEARCH("Mshwari",C57)),"Mshwari",IF(ISNUMBER(SEARCH("Withdrawal charge",C57)),"Fees",IF(ISNUMBER(SEARCH("Customer Withdrawal",C57)),"Fees",IF(ISNUMBER(SEARCH("charge",C57)),"Fees","Other")))))))))))))))))))))))))</f>
        <v>Bundles</v>
      </c>
      <c r="R57" s="1" t="str">
        <f aca="false">TEXT(B57,"MMM YYYY")</f>
        <v>Jan 2026</v>
      </c>
    </row>
    <row r="58" customFormat="false" ht="13.8" hidden="false" customHeight="false" outlineLevel="0" collapsed="false">
      <c r="A58" s="4" t="s">
        <v>145</v>
      </c>
      <c r="B58" s="4" t="s">
        <v>146</v>
      </c>
      <c r="C58" s="4" t="s">
        <v>29</v>
      </c>
      <c r="D58" s="4" t="s">
        <v>18</v>
      </c>
      <c r="E58" s="4"/>
      <c r="F58" s="4" t="n">
        <v>10</v>
      </c>
      <c r="G58" s="4" t="n">
        <v>1310</v>
      </c>
      <c r="L58" s="1" t="str">
        <f aca="false">IF(ISNUMBER(SEARCH("Bundle",C58)),"Bundles",IF(ISNUMBER(SEARCH("Airtime",C58)),"Bundles",IF(ISNUMBER(SEARCH("Merchant",C58)),"Merchant Payment",IF(ISNUMBER(SEARCH("Offnet C2B",C58)),"Merchant Payment",IF(ISNUMBER(SEARCH("Offnet B2C",C58)),"Merchant Payment",IF(ISNUMBER(SEARCH("Customer Payment to Small",C58)),"Merchant Payment",IF(ISNUMBER(SEARCH("Payment to Small Business",C58)),"Merchant Payment",IF(ISNUMBER(SEARCH("Sent to",C58)),"Sent to Person",IF(ISNUMBER(SEARCH("Customer Transfer to",C58)),"Sent to Person",IF(ISNUMBER(SEARCH("Business Payment",C58)),"Money In",IF(ISNUMBER(SEARCH("Funds Received",C58)),"Money In",IF(ISNUMBER(SEARCH("Receive International",C58)),"Money In",IF(ISNUMBER(SEARCH("Send Money Reversal",C58)),"Money In",IF(ISNUMBER(SEARCH("Pay Utility Reversal",C58)),"Money In",IF(ISNUMBER(SEARCH("Customer Transfer",C58)),"Money In",IF(ISNUMBER(SEARCH("Ziidi",C58)),"Investment",IF(ISNUMBER(SEARCH("Nabo",C58)),"Investment",IF(ISNUMBER(SEARCH("Paybill Online",C58)),"Pay Bill",IF(ISNUMBER(SEARCH("Pay Bill",C58)),"Pay Bill",IF(ISNUMBER(SEARCH("Spotify",C58)),"Pay Bill",IF(ISNUMBER(SEARCH("M-Shwari",C58)),"Mshwari",IF(ISNUMBER(SEARCH("Mshwari",C58)),"Mshwari",IF(ISNUMBER(SEARCH("Withdrawal charge",C58)),"Fees",IF(ISNUMBER(SEARCH("Customer Withdrawal",C58)),"Fees",IF(ISNUMBER(SEARCH("charge",C58)),"Fees","Other")))))))))))))))))))))))))</f>
        <v>Bundles</v>
      </c>
      <c r="R58" s="1" t="str">
        <f aca="false">TEXT(B58,"MMM YYYY")</f>
        <v>Jan 2026</v>
      </c>
    </row>
    <row r="59" customFormat="false" ht="13.8" hidden="false" customHeight="false" outlineLevel="0" collapsed="false">
      <c r="A59" s="4" t="s">
        <v>147</v>
      </c>
      <c r="B59" s="4" t="s">
        <v>148</v>
      </c>
      <c r="C59" s="4" t="s">
        <v>29</v>
      </c>
      <c r="D59" s="4" t="s">
        <v>18</v>
      </c>
      <c r="E59" s="4"/>
      <c r="F59" s="4" t="n">
        <v>10</v>
      </c>
      <c r="G59" s="4" t="n">
        <v>1300</v>
      </c>
      <c r="L59" s="1" t="str">
        <f aca="false">IF(ISNUMBER(SEARCH("Bundle",C59)),"Bundles",IF(ISNUMBER(SEARCH("Airtime",C59)),"Bundles",IF(ISNUMBER(SEARCH("Merchant",C59)),"Merchant Payment",IF(ISNUMBER(SEARCH("Offnet C2B",C59)),"Merchant Payment",IF(ISNUMBER(SEARCH("Offnet B2C",C59)),"Merchant Payment",IF(ISNUMBER(SEARCH("Customer Payment to Small",C59)),"Merchant Payment",IF(ISNUMBER(SEARCH("Payment to Small Business",C59)),"Merchant Payment",IF(ISNUMBER(SEARCH("Sent to",C59)),"Sent to Person",IF(ISNUMBER(SEARCH("Customer Transfer to",C59)),"Sent to Person",IF(ISNUMBER(SEARCH("Business Payment",C59)),"Money In",IF(ISNUMBER(SEARCH("Funds Received",C59)),"Money In",IF(ISNUMBER(SEARCH("Receive International",C59)),"Money In",IF(ISNUMBER(SEARCH("Send Money Reversal",C59)),"Money In",IF(ISNUMBER(SEARCH("Pay Utility Reversal",C59)),"Money In",IF(ISNUMBER(SEARCH("Customer Transfer",C59)),"Money In",IF(ISNUMBER(SEARCH("Ziidi",C59)),"Investment",IF(ISNUMBER(SEARCH("Nabo",C59)),"Investment",IF(ISNUMBER(SEARCH("Paybill Online",C59)),"Pay Bill",IF(ISNUMBER(SEARCH("Pay Bill",C59)),"Pay Bill",IF(ISNUMBER(SEARCH("Spotify",C59)),"Pay Bill",IF(ISNUMBER(SEARCH("M-Shwari",C59)),"Mshwari",IF(ISNUMBER(SEARCH("Mshwari",C59)),"Mshwari",IF(ISNUMBER(SEARCH("Withdrawal charge",C59)),"Fees",IF(ISNUMBER(SEARCH("Customer Withdrawal",C59)),"Fees",IF(ISNUMBER(SEARCH("charge",C59)),"Fees","Other")))))))))))))))))))))))))</f>
        <v>Bundles</v>
      </c>
      <c r="R59" s="1" t="str">
        <f aca="false">TEXT(B59,"MMM YYYY")</f>
        <v>Jan 2026</v>
      </c>
    </row>
    <row r="60" customFormat="false" ht="13.8" hidden="false" customHeight="false" outlineLevel="0" collapsed="false">
      <c r="A60" s="4" t="s">
        <v>149</v>
      </c>
      <c r="B60" s="4" t="s">
        <v>150</v>
      </c>
      <c r="C60" s="4" t="s">
        <v>29</v>
      </c>
      <c r="D60" s="4" t="s">
        <v>18</v>
      </c>
      <c r="E60" s="4"/>
      <c r="F60" s="4" t="n">
        <v>30</v>
      </c>
      <c r="G60" s="4" t="n">
        <v>1270</v>
      </c>
      <c r="L60" s="1" t="str">
        <f aca="false">IF(ISNUMBER(SEARCH("Bundle",C60)),"Bundles",IF(ISNUMBER(SEARCH("Airtime",C60)),"Bundles",IF(ISNUMBER(SEARCH("Merchant",C60)),"Merchant Payment",IF(ISNUMBER(SEARCH("Offnet C2B",C60)),"Merchant Payment",IF(ISNUMBER(SEARCH("Offnet B2C",C60)),"Merchant Payment",IF(ISNUMBER(SEARCH("Customer Payment to Small",C60)),"Merchant Payment",IF(ISNUMBER(SEARCH("Payment to Small Business",C60)),"Merchant Payment",IF(ISNUMBER(SEARCH("Sent to",C60)),"Sent to Person",IF(ISNUMBER(SEARCH("Customer Transfer to",C60)),"Sent to Person",IF(ISNUMBER(SEARCH("Business Payment",C60)),"Money In",IF(ISNUMBER(SEARCH("Funds Received",C60)),"Money In",IF(ISNUMBER(SEARCH("Receive International",C60)),"Money In",IF(ISNUMBER(SEARCH("Send Money Reversal",C60)),"Money In",IF(ISNUMBER(SEARCH("Pay Utility Reversal",C60)),"Money In",IF(ISNUMBER(SEARCH("Customer Transfer",C60)),"Money In",IF(ISNUMBER(SEARCH("Ziidi",C60)),"Investment",IF(ISNUMBER(SEARCH("Nabo",C60)),"Investment",IF(ISNUMBER(SEARCH("Paybill Online",C60)),"Pay Bill",IF(ISNUMBER(SEARCH("Pay Bill",C60)),"Pay Bill",IF(ISNUMBER(SEARCH("Spotify",C60)),"Pay Bill",IF(ISNUMBER(SEARCH("M-Shwari",C60)),"Mshwari",IF(ISNUMBER(SEARCH("Mshwari",C60)),"Mshwari",IF(ISNUMBER(SEARCH("Withdrawal charge",C60)),"Fees",IF(ISNUMBER(SEARCH("Customer Withdrawal",C60)),"Fees",IF(ISNUMBER(SEARCH("charge",C60)),"Fees","Other")))))))))))))))))))))))))</f>
        <v>Bundles</v>
      </c>
      <c r="R60" s="1" t="str">
        <f aca="false">TEXT(B60,"MMM YYYY")</f>
        <v>Jan 2026</v>
      </c>
    </row>
    <row r="61" customFormat="false" ht="13.8" hidden="false" customHeight="false" outlineLevel="0" collapsed="false">
      <c r="A61" s="4" t="s">
        <v>151</v>
      </c>
      <c r="B61" s="4" t="s">
        <v>152</v>
      </c>
      <c r="C61" s="4" t="s">
        <v>153</v>
      </c>
      <c r="D61" s="4" t="s">
        <v>18</v>
      </c>
      <c r="E61" s="4"/>
      <c r="F61" s="4" t="n">
        <v>400</v>
      </c>
      <c r="G61" s="4" t="n">
        <v>870</v>
      </c>
      <c r="L61" s="1" t="str">
        <f aca="false">IF(ISNUMBER(SEARCH("Bundle",C61)),"Bundles",IF(ISNUMBER(SEARCH("Airtime",C61)),"Bundles",IF(ISNUMBER(SEARCH("Merchant",C61)),"Merchant Payment",IF(ISNUMBER(SEARCH("Offnet C2B",C61)),"Merchant Payment",IF(ISNUMBER(SEARCH("Offnet B2C",C61)),"Merchant Payment",IF(ISNUMBER(SEARCH("Customer Payment to Small",C61)),"Merchant Payment",IF(ISNUMBER(SEARCH("Payment to Small Business",C61)),"Merchant Payment",IF(ISNUMBER(SEARCH("Sent to",C61)),"Sent to Person",IF(ISNUMBER(SEARCH("Customer Transfer to",C61)),"Sent to Person",IF(ISNUMBER(SEARCH("Business Payment",C61)),"Money In",IF(ISNUMBER(SEARCH("Funds Received",C61)),"Money In",IF(ISNUMBER(SEARCH("Receive International",C61)),"Money In",IF(ISNUMBER(SEARCH("Send Money Reversal",C61)),"Money In",IF(ISNUMBER(SEARCH("Pay Utility Reversal",C61)),"Money In",IF(ISNUMBER(SEARCH("Customer Transfer",C61)),"Money In",IF(ISNUMBER(SEARCH("Ziidi",C61)),"Investment",IF(ISNUMBER(SEARCH("Nabo",C61)),"Investment",IF(ISNUMBER(SEARCH("Paybill Online",C61)),"Pay Bill",IF(ISNUMBER(SEARCH("Pay Bill",C61)),"Pay Bill",IF(ISNUMBER(SEARCH("Spotify",C61)),"Pay Bill",IF(ISNUMBER(SEARCH("M-Shwari",C61)),"Mshwari",IF(ISNUMBER(SEARCH("Mshwari",C61)),"Mshwari",IF(ISNUMBER(SEARCH("Withdrawal charge",C61)),"Fees",IF(ISNUMBER(SEARCH("Customer Withdrawal",C61)),"Fees",IF(ISNUMBER(SEARCH("charge",C61)),"Fees","Other")))))))))))))))))))))))))</f>
        <v>Bundles</v>
      </c>
      <c r="R61" s="1" t="str">
        <f aca="false">TEXT(B61,"MMM YYYY")</f>
        <v>Jan 2026</v>
      </c>
    </row>
    <row r="62" customFormat="false" ht="13.8" hidden="false" customHeight="false" outlineLevel="0" collapsed="false">
      <c r="A62" s="4" t="s">
        <v>154</v>
      </c>
      <c r="B62" s="4" t="s">
        <v>155</v>
      </c>
      <c r="C62" s="4" t="s">
        <v>29</v>
      </c>
      <c r="D62" s="4" t="s">
        <v>18</v>
      </c>
      <c r="E62" s="4"/>
      <c r="F62" s="4" t="n">
        <v>10</v>
      </c>
      <c r="G62" s="4" t="n">
        <v>860</v>
      </c>
      <c r="L62" s="1" t="str">
        <f aca="false">IF(ISNUMBER(SEARCH("Bundle",C62)),"Bundles",IF(ISNUMBER(SEARCH("Airtime",C62)),"Bundles",IF(ISNUMBER(SEARCH("Merchant",C62)),"Merchant Payment",IF(ISNUMBER(SEARCH("Offnet C2B",C62)),"Merchant Payment",IF(ISNUMBER(SEARCH("Offnet B2C",C62)),"Merchant Payment",IF(ISNUMBER(SEARCH("Customer Payment to Small",C62)),"Merchant Payment",IF(ISNUMBER(SEARCH("Payment to Small Business",C62)),"Merchant Payment",IF(ISNUMBER(SEARCH("Sent to",C62)),"Sent to Person",IF(ISNUMBER(SEARCH("Customer Transfer to",C62)),"Sent to Person",IF(ISNUMBER(SEARCH("Business Payment",C62)),"Money In",IF(ISNUMBER(SEARCH("Funds Received",C62)),"Money In",IF(ISNUMBER(SEARCH("Receive International",C62)),"Money In",IF(ISNUMBER(SEARCH("Send Money Reversal",C62)),"Money In",IF(ISNUMBER(SEARCH("Pay Utility Reversal",C62)),"Money In",IF(ISNUMBER(SEARCH("Customer Transfer",C62)),"Money In",IF(ISNUMBER(SEARCH("Ziidi",C62)),"Investment",IF(ISNUMBER(SEARCH("Nabo",C62)),"Investment",IF(ISNUMBER(SEARCH("Paybill Online",C62)),"Pay Bill",IF(ISNUMBER(SEARCH("Pay Bill",C62)),"Pay Bill",IF(ISNUMBER(SEARCH("Spotify",C62)),"Pay Bill",IF(ISNUMBER(SEARCH("M-Shwari",C62)),"Mshwari",IF(ISNUMBER(SEARCH("Mshwari",C62)),"Mshwari",IF(ISNUMBER(SEARCH("Withdrawal charge",C62)),"Fees",IF(ISNUMBER(SEARCH("Customer Withdrawal",C62)),"Fees",IF(ISNUMBER(SEARCH("charge",C62)),"Fees","Other")))))))))))))))))))))))))</f>
        <v>Bundles</v>
      </c>
      <c r="R62" s="1" t="str">
        <f aca="false">TEXT(B62,"MMM YYYY")</f>
        <v>Jan 2026</v>
      </c>
    </row>
    <row r="63" customFormat="false" ht="13.8" hidden="false" customHeight="false" outlineLevel="0" collapsed="false">
      <c r="A63" s="4" t="s">
        <v>156</v>
      </c>
      <c r="B63" s="4" t="s">
        <v>157</v>
      </c>
      <c r="C63" s="4" t="s">
        <v>29</v>
      </c>
      <c r="D63" s="4" t="s">
        <v>18</v>
      </c>
      <c r="E63" s="4"/>
      <c r="F63" s="4" t="n">
        <v>10</v>
      </c>
      <c r="G63" s="4" t="n">
        <v>850</v>
      </c>
      <c r="L63" s="1" t="str">
        <f aca="false">IF(ISNUMBER(SEARCH("Bundle",C63)),"Bundles",IF(ISNUMBER(SEARCH("Airtime",C63)),"Bundles",IF(ISNUMBER(SEARCH("Merchant",C63)),"Merchant Payment",IF(ISNUMBER(SEARCH("Offnet C2B",C63)),"Merchant Payment",IF(ISNUMBER(SEARCH("Offnet B2C",C63)),"Merchant Payment",IF(ISNUMBER(SEARCH("Customer Payment to Small",C63)),"Merchant Payment",IF(ISNUMBER(SEARCH("Payment to Small Business",C63)),"Merchant Payment",IF(ISNUMBER(SEARCH("Sent to",C63)),"Sent to Person",IF(ISNUMBER(SEARCH("Customer Transfer to",C63)),"Sent to Person",IF(ISNUMBER(SEARCH("Business Payment",C63)),"Money In",IF(ISNUMBER(SEARCH("Funds Received",C63)),"Money In",IF(ISNUMBER(SEARCH("Receive International",C63)),"Money In",IF(ISNUMBER(SEARCH("Send Money Reversal",C63)),"Money In",IF(ISNUMBER(SEARCH("Pay Utility Reversal",C63)),"Money In",IF(ISNUMBER(SEARCH("Customer Transfer",C63)),"Money In",IF(ISNUMBER(SEARCH("Ziidi",C63)),"Investment",IF(ISNUMBER(SEARCH("Nabo",C63)),"Investment",IF(ISNUMBER(SEARCH("Paybill Online",C63)),"Pay Bill",IF(ISNUMBER(SEARCH("Pay Bill",C63)),"Pay Bill",IF(ISNUMBER(SEARCH("Spotify",C63)),"Pay Bill",IF(ISNUMBER(SEARCH("M-Shwari",C63)),"Mshwari",IF(ISNUMBER(SEARCH("Mshwari",C63)),"Mshwari",IF(ISNUMBER(SEARCH("Withdrawal charge",C63)),"Fees",IF(ISNUMBER(SEARCH("Customer Withdrawal",C63)),"Fees",IF(ISNUMBER(SEARCH("charge",C63)),"Fees","Other")))))))))))))))))))))))))</f>
        <v>Bundles</v>
      </c>
      <c r="R63" s="1" t="str">
        <f aca="false">TEXT(B63,"MMM YYYY")</f>
        <v>Jan 2026</v>
      </c>
    </row>
    <row r="64" customFormat="false" ht="13.8" hidden="false" customHeight="false" outlineLevel="0" collapsed="false">
      <c r="A64" s="4" t="s">
        <v>158</v>
      </c>
      <c r="B64" s="4" t="s">
        <v>159</v>
      </c>
      <c r="C64" s="4" t="s">
        <v>29</v>
      </c>
      <c r="D64" s="4" t="s">
        <v>18</v>
      </c>
      <c r="E64" s="4"/>
      <c r="F64" s="4" t="n">
        <v>10</v>
      </c>
      <c r="G64" s="4" t="n">
        <v>840</v>
      </c>
      <c r="L64" s="1" t="str">
        <f aca="false">IF(ISNUMBER(SEARCH("Bundle",C64)),"Bundles",IF(ISNUMBER(SEARCH("Airtime",C64)),"Bundles",IF(ISNUMBER(SEARCH("Merchant",C64)),"Merchant Payment",IF(ISNUMBER(SEARCH("Offnet C2B",C64)),"Merchant Payment",IF(ISNUMBER(SEARCH("Offnet B2C",C64)),"Merchant Payment",IF(ISNUMBER(SEARCH("Customer Payment to Small",C64)),"Merchant Payment",IF(ISNUMBER(SEARCH("Payment to Small Business",C64)),"Merchant Payment",IF(ISNUMBER(SEARCH("Sent to",C64)),"Sent to Person",IF(ISNUMBER(SEARCH("Customer Transfer to",C64)),"Sent to Person",IF(ISNUMBER(SEARCH("Business Payment",C64)),"Money In",IF(ISNUMBER(SEARCH("Funds Received",C64)),"Money In",IF(ISNUMBER(SEARCH("Receive International",C64)),"Money In",IF(ISNUMBER(SEARCH("Send Money Reversal",C64)),"Money In",IF(ISNUMBER(SEARCH("Pay Utility Reversal",C64)),"Money In",IF(ISNUMBER(SEARCH("Customer Transfer",C64)),"Money In",IF(ISNUMBER(SEARCH("Ziidi",C64)),"Investment",IF(ISNUMBER(SEARCH("Nabo",C64)),"Investment",IF(ISNUMBER(SEARCH("Paybill Online",C64)),"Pay Bill",IF(ISNUMBER(SEARCH("Pay Bill",C64)),"Pay Bill",IF(ISNUMBER(SEARCH("Spotify",C64)),"Pay Bill",IF(ISNUMBER(SEARCH("M-Shwari",C64)),"Mshwari",IF(ISNUMBER(SEARCH("Mshwari",C64)),"Mshwari",IF(ISNUMBER(SEARCH("Withdrawal charge",C64)),"Fees",IF(ISNUMBER(SEARCH("Customer Withdrawal",C64)),"Fees",IF(ISNUMBER(SEARCH("charge",C64)),"Fees","Other")))))))))))))))))))))))))</f>
        <v>Bundles</v>
      </c>
      <c r="R64" s="1" t="str">
        <f aca="false">TEXT(B64,"MMM YYYY")</f>
        <v>Jan 2026</v>
      </c>
    </row>
    <row r="65" customFormat="false" ht="13.8" hidden="false" customHeight="false" outlineLevel="0" collapsed="false">
      <c r="A65" s="4" t="s">
        <v>160</v>
      </c>
      <c r="B65" s="4" t="s">
        <v>161</v>
      </c>
      <c r="C65" s="4" t="s">
        <v>29</v>
      </c>
      <c r="D65" s="4" t="s">
        <v>18</v>
      </c>
      <c r="E65" s="4"/>
      <c r="F65" s="4" t="n">
        <v>30</v>
      </c>
      <c r="G65" s="4" t="n">
        <v>810</v>
      </c>
      <c r="L65" s="1" t="str">
        <f aca="false">IF(ISNUMBER(SEARCH("Bundle",C65)),"Bundles",IF(ISNUMBER(SEARCH("Airtime",C65)),"Bundles",IF(ISNUMBER(SEARCH("Merchant",C65)),"Merchant Payment",IF(ISNUMBER(SEARCH("Offnet C2B",C65)),"Merchant Payment",IF(ISNUMBER(SEARCH("Offnet B2C",C65)),"Merchant Payment",IF(ISNUMBER(SEARCH("Customer Payment to Small",C65)),"Merchant Payment",IF(ISNUMBER(SEARCH("Payment to Small Business",C65)),"Merchant Payment",IF(ISNUMBER(SEARCH("Sent to",C65)),"Sent to Person",IF(ISNUMBER(SEARCH("Customer Transfer to",C65)),"Sent to Person",IF(ISNUMBER(SEARCH("Business Payment",C65)),"Money In",IF(ISNUMBER(SEARCH("Funds Received",C65)),"Money In",IF(ISNUMBER(SEARCH("Receive International",C65)),"Money In",IF(ISNUMBER(SEARCH("Send Money Reversal",C65)),"Money In",IF(ISNUMBER(SEARCH("Pay Utility Reversal",C65)),"Money In",IF(ISNUMBER(SEARCH("Customer Transfer",C65)),"Money In",IF(ISNUMBER(SEARCH("Ziidi",C65)),"Investment",IF(ISNUMBER(SEARCH("Nabo",C65)),"Investment",IF(ISNUMBER(SEARCH("Paybill Online",C65)),"Pay Bill",IF(ISNUMBER(SEARCH("Pay Bill",C65)),"Pay Bill",IF(ISNUMBER(SEARCH("Spotify",C65)),"Pay Bill",IF(ISNUMBER(SEARCH("M-Shwari",C65)),"Mshwari",IF(ISNUMBER(SEARCH("Mshwari",C65)),"Mshwari",IF(ISNUMBER(SEARCH("Withdrawal charge",C65)),"Fees",IF(ISNUMBER(SEARCH("Customer Withdrawal",C65)),"Fees",IF(ISNUMBER(SEARCH("charge",C65)),"Fees","Other")))))))))))))))))))))))))</f>
        <v>Bundles</v>
      </c>
      <c r="R65" s="1" t="str">
        <f aca="false">TEXT(B65,"MMM YYYY")</f>
        <v>Jan 2026</v>
      </c>
    </row>
    <row r="66" customFormat="false" ht="13.8" hidden="false" customHeight="false" outlineLevel="0" collapsed="false">
      <c r="A66" s="4" t="s">
        <v>162</v>
      </c>
      <c r="B66" s="4" t="s">
        <v>163</v>
      </c>
      <c r="C66" s="4" t="s">
        <v>29</v>
      </c>
      <c r="D66" s="4" t="s">
        <v>18</v>
      </c>
      <c r="E66" s="4"/>
      <c r="F66" s="4" t="n">
        <v>30</v>
      </c>
      <c r="G66" s="4" t="n">
        <v>780</v>
      </c>
      <c r="L66" s="1" t="str">
        <f aca="false">IF(ISNUMBER(SEARCH("Bundle",C66)),"Bundles",IF(ISNUMBER(SEARCH("Airtime",C66)),"Bundles",IF(ISNUMBER(SEARCH("Merchant",C66)),"Merchant Payment",IF(ISNUMBER(SEARCH("Offnet C2B",C66)),"Merchant Payment",IF(ISNUMBER(SEARCH("Offnet B2C",C66)),"Merchant Payment",IF(ISNUMBER(SEARCH("Customer Payment to Small",C66)),"Merchant Payment",IF(ISNUMBER(SEARCH("Payment to Small Business",C66)),"Merchant Payment",IF(ISNUMBER(SEARCH("Sent to",C66)),"Sent to Person",IF(ISNUMBER(SEARCH("Customer Transfer to",C66)),"Sent to Person",IF(ISNUMBER(SEARCH("Business Payment",C66)),"Money In",IF(ISNUMBER(SEARCH("Funds Received",C66)),"Money In",IF(ISNUMBER(SEARCH("Receive International",C66)),"Money In",IF(ISNUMBER(SEARCH("Send Money Reversal",C66)),"Money In",IF(ISNUMBER(SEARCH("Pay Utility Reversal",C66)),"Money In",IF(ISNUMBER(SEARCH("Customer Transfer",C66)),"Money In",IF(ISNUMBER(SEARCH("Ziidi",C66)),"Investment",IF(ISNUMBER(SEARCH("Nabo",C66)),"Investment",IF(ISNUMBER(SEARCH("Paybill Online",C66)),"Pay Bill",IF(ISNUMBER(SEARCH("Pay Bill",C66)),"Pay Bill",IF(ISNUMBER(SEARCH("Spotify",C66)),"Pay Bill",IF(ISNUMBER(SEARCH("M-Shwari",C66)),"Mshwari",IF(ISNUMBER(SEARCH("Mshwari",C66)),"Mshwari",IF(ISNUMBER(SEARCH("Withdrawal charge",C66)),"Fees",IF(ISNUMBER(SEARCH("Customer Withdrawal",C66)),"Fees",IF(ISNUMBER(SEARCH("charge",C66)),"Fees","Other")))))))))))))))))))))))))</f>
        <v>Bundles</v>
      </c>
      <c r="R66" s="1" t="str">
        <f aca="false">TEXT(B66,"MMM YYYY")</f>
        <v>Jan 2026</v>
      </c>
    </row>
    <row r="67" customFormat="false" ht="13.8" hidden="false" customHeight="false" outlineLevel="0" collapsed="false">
      <c r="A67" s="4" t="s">
        <v>164</v>
      </c>
      <c r="B67" s="4" t="s">
        <v>165</v>
      </c>
      <c r="C67" s="4" t="s">
        <v>166</v>
      </c>
      <c r="D67" s="4" t="s">
        <v>18</v>
      </c>
      <c r="E67" s="4"/>
      <c r="F67" s="4" t="n">
        <v>185</v>
      </c>
      <c r="G67" s="4" t="n">
        <v>595</v>
      </c>
      <c r="L67" s="1" t="str">
        <f aca="false">IF(ISNUMBER(SEARCH("Bundle",C67)),"Bundles",IF(ISNUMBER(SEARCH("Airtime",C67)),"Bundles",IF(ISNUMBER(SEARCH("Merchant",C67)),"Merchant Payment",IF(ISNUMBER(SEARCH("Offnet C2B",C67)),"Merchant Payment",IF(ISNUMBER(SEARCH("Offnet B2C",C67)),"Merchant Payment",IF(ISNUMBER(SEARCH("Customer Payment to Small",C67)),"Merchant Payment",IF(ISNUMBER(SEARCH("Payment to Small Business",C67)),"Merchant Payment",IF(ISNUMBER(SEARCH("Sent to",C67)),"Sent to Person",IF(ISNUMBER(SEARCH("Customer Transfer to",C67)),"Sent to Person",IF(ISNUMBER(SEARCH("Business Payment",C67)),"Money In",IF(ISNUMBER(SEARCH("Funds Received",C67)),"Money In",IF(ISNUMBER(SEARCH("Receive International",C67)),"Money In",IF(ISNUMBER(SEARCH("Send Money Reversal",C67)),"Money In",IF(ISNUMBER(SEARCH("Pay Utility Reversal",C67)),"Money In",IF(ISNUMBER(SEARCH("Customer Transfer",C67)),"Money In",IF(ISNUMBER(SEARCH("Ziidi",C67)),"Investment",IF(ISNUMBER(SEARCH("Nabo",C67)),"Investment",IF(ISNUMBER(SEARCH("Paybill Online",C67)),"Pay Bill",IF(ISNUMBER(SEARCH("Pay Bill",C67)),"Pay Bill",IF(ISNUMBER(SEARCH("Spotify",C67)),"Pay Bill",IF(ISNUMBER(SEARCH("M-Shwari",C67)),"Mshwari",IF(ISNUMBER(SEARCH("Mshwari",C67)),"Mshwari",IF(ISNUMBER(SEARCH("Withdrawal charge",C67)),"Fees",IF(ISNUMBER(SEARCH("Customer Withdrawal",C67)),"Fees",IF(ISNUMBER(SEARCH("charge",C67)),"Fees","Other")))))))))))))))))))))))))</f>
        <v>Pay Bill</v>
      </c>
      <c r="R67" s="1" t="str">
        <f aca="false">TEXT(B67,"MMM YYYY")</f>
        <v>Jan 2026</v>
      </c>
    </row>
    <row r="68" customFormat="false" ht="13.8" hidden="false" customHeight="false" outlineLevel="0" collapsed="false">
      <c r="A68" s="4" t="s">
        <v>167</v>
      </c>
      <c r="B68" s="4" t="s">
        <v>168</v>
      </c>
      <c r="C68" s="4" t="s">
        <v>29</v>
      </c>
      <c r="D68" s="4" t="s">
        <v>18</v>
      </c>
      <c r="E68" s="4"/>
      <c r="F68" s="4" t="n">
        <v>30</v>
      </c>
      <c r="G68" s="4" t="n">
        <v>565</v>
      </c>
      <c r="L68" s="1" t="str">
        <f aca="false">IF(ISNUMBER(SEARCH("Bundle",C68)),"Bundles",IF(ISNUMBER(SEARCH("Airtime",C68)),"Bundles",IF(ISNUMBER(SEARCH("Merchant",C68)),"Merchant Payment",IF(ISNUMBER(SEARCH("Offnet C2B",C68)),"Merchant Payment",IF(ISNUMBER(SEARCH("Offnet B2C",C68)),"Merchant Payment",IF(ISNUMBER(SEARCH("Customer Payment to Small",C68)),"Merchant Payment",IF(ISNUMBER(SEARCH("Payment to Small Business",C68)),"Merchant Payment",IF(ISNUMBER(SEARCH("Sent to",C68)),"Sent to Person",IF(ISNUMBER(SEARCH("Customer Transfer to",C68)),"Sent to Person",IF(ISNUMBER(SEARCH("Business Payment",C68)),"Money In",IF(ISNUMBER(SEARCH("Funds Received",C68)),"Money In",IF(ISNUMBER(SEARCH("Receive International",C68)),"Money In",IF(ISNUMBER(SEARCH("Send Money Reversal",C68)),"Money In",IF(ISNUMBER(SEARCH("Pay Utility Reversal",C68)),"Money In",IF(ISNUMBER(SEARCH("Customer Transfer",C68)),"Money In",IF(ISNUMBER(SEARCH("Ziidi",C68)),"Investment",IF(ISNUMBER(SEARCH("Nabo",C68)),"Investment",IF(ISNUMBER(SEARCH("Paybill Online",C68)),"Pay Bill",IF(ISNUMBER(SEARCH("Pay Bill",C68)),"Pay Bill",IF(ISNUMBER(SEARCH("Spotify",C68)),"Pay Bill",IF(ISNUMBER(SEARCH("M-Shwari",C68)),"Mshwari",IF(ISNUMBER(SEARCH("Mshwari",C68)),"Mshwari",IF(ISNUMBER(SEARCH("Withdrawal charge",C68)),"Fees",IF(ISNUMBER(SEARCH("Customer Withdrawal",C68)),"Fees",IF(ISNUMBER(SEARCH("charge",C68)),"Fees","Other")))))))))))))))))))))))))</f>
        <v>Bundles</v>
      </c>
      <c r="R68" s="1" t="str">
        <f aca="false">TEXT(B68,"MMM YYYY")</f>
        <v>Jan 2026</v>
      </c>
    </row>
    <row r="69" customFormat="false" ht="13.8" hidden="false" customHeight="false" outlineLevel="0" collapsed="false">
      <c r="A69" s="4" t="s">
        <v>169</v>
      </c>
      <c r="B69" s="4" t="s">
        <v>170</v>
      </c>
      <c r="C69" s="4" t="s">
        <v>153</v>
      </c>
      <c r="D69" s="4" t="s">
        <v>18</v>
      </c>
      <c r="E69" s="4"/>
      <c r="F69" s="4" t="n">
        <v>200</v>
      </c>
      <c r="G69" s="4" t="n">
        <v>365</v>
      </c>
      <c r="L69" s="1" t="str">
        <f aca="false">IF(ISNUMBER(SEARCH("Bundle",C69)),"Bundles",IF(ISNUMBER(SEARCH("Airtime",C69)),"Bundles",IF(ISNUMBER(SEARCH("Merchant",C69)),"Merchant Payment",IF(ISNUMBER(SEARCH("Offnet C2B",C69)),"Merchant Payment",IF(ISNUMBER(SEARCH("Offnet B2C",C69)),"Merchant Payment",IF(ISNUMBER(SEARCH("Customer Payment to Small",C69)),"Merchant Payment",IF(ISNUMBER(SEARCH("Payment to Small Business",C69)),"Merchant Payment",IF(ISNUMBER(SEARCH("Sent to",C69)),"Sent to Person",IF(ISNUMBER(SEARCH("Customer Transfer to",C69)),"Sent to Person",IF(ISNUMBER(SEARCH("Business Payment",C69)),"Money In",IF(ISNUMBER(SEARCH("Funds Received",C69)),"Money In",IF(ISNUMBER(SEARCH("Receive International",C69)),"Money In",IF(ISNUMBER(SEARCH("Send Money Reversal",C69)),"Money In",IF(ISNUMBER(SEARCH("Pay Utility Reversal",C69)),"Money In",IF(ISNUMBER(SEARCH("Customer Transfer",C69)),"Money In",IF(ISNUMBER(SEARCH("Ziidi",C69)),"Investment",IF(ISNUMBER(SEARCH("Nabo",C69)),"Investment",IF(ISNUMBER(SEARCH("Paybill Online",C69)),"Pay Bill",IF(ISNUMBER(SEARCH("Pay Bill",C69)),"Pay Bill",IF(ISNUMBER(SEARCH("Spotify",C69)),"Pay Bill",IF(ISNUMBER(SEARCH("M-Shwari",C69)),"Mshwari",IF(ISNUMBER(SEARCH("Mshwari",C69)),"Mshwari",IF(ISNUMBER(SEARCH("Withdrawal charge",C69)),"Fees",IF(ISNUMBER(SEARCH("Customer Withdrawal",C69)),"Fees",IF(ISNUMBER(SEARCH("charge",C69)),"Fees","Other")))))))))))))))))))))))))</f>
        <v>Bundles</v>
      </c>
      <c r="R69" s="1" t="str">
        <f aca="false">TEXT(B69,"MMM YYYY")</f>
        <v>Jan 2026</v>
      </c>
    </row>
    <row r="70" customFormat="false" ht="13.8" hidden="false" customHeight="false" outlineLevel="0" collapsed="false">
      <c r="A70" s="4" t="s">
        <v>171</v>
      </c>
      <c r="B70" s="4" t="s">
        <v>172</v>
      </c>
      <c r="C70" s="4" t="s">
        <v>29</v>
      </c>
      <c r="D70" s="4" t="s">
        <v>18</v>
      </c>
      <c r="E70" s="4"/>
      <c r="F70" s="4" t="n">
        <v>10</v>
      </c>
      <c r="G70" s="4" t="n">
        <v>355</v>
      </c>
      <c r="L70" s="1" t="str">
        <f aca="false">IF(ISNUMBER(SEARCH("Bundle",C70)),"Bundles",IF(ISNUMBER(SEARCH("Airtime",C70)),"Bundles",IF(ISNUMBER(SEARCH("Merchant",C70)),"Merchant Payment",IF(ISNUMBER(SEARCH("Offnet C2B",C70)),"Merchant Payment",IF(ISNUMBER(SEARCH("Offnet B2C",C70)),"Merchant Payment",IF(ISNUMBER(SEARCH("Customer Payment to Small",C70)),"Merchant Payment",IF(ISNUMBER(SEARCH("Payment to Small Business",C70)),"Merchant Payment",IF(ISNUMBER(SEARCH("Sent to",C70)),"Sent to Person",IF(ISNUMBER(SEARCH("Customer Transfer to",C70)),"Sent to Person",IF(ISNUMBER(SEARCH("Business Payment",C70)),"Money In",IF(ISNUMBER(SEARCH("Funds Received",C70)),"Money In",IF(ISNUMBER(SEARCH("Receive International",C70)),"Money In",IF(ISNUMBER(SEARCH("Send Money Reversal",C70)),"Money In",IF(ISNUMBER(SEARCH("Pay Utility Reversal",C70)),"Money In",IF(ISNUMBER(SEARCH("Customer Transfer",C70)),"Money In",IF(ISNUMBER(SEARCH("Ziidi",C70)),"Investment",IF(ISNUMBER(SEARCH("Nabo",C70)),"Investment",IF(ISNUMBER(SEARCH("Paybill Online",C70)),"Pay Bill",IF(ISNUMBER(SEARCH("Pay Bill",C70)),"Pay Bill",IF(ISNUMBER(SEARCH("Spotify",C70)),"Pay Bill",IF(ISNUMBER(SEARCH("M-Shwari",C70)),"Mshwari",IF(ISNUMBER(SEARCH("Mshwari",C70)),"Mshwari",IF(ISNUMBER(SEARCH("Withdrawal charge",C70)),"Fees",IF(ISNUMBER(SEARCH("Customer Withdrawal",C70)),"Fees",IF(ISNUMBER(SEARCH("charge",C70)),"Fees","Other")))))))))))))))))))))))))</f>
        <v>Bundles</v>
      </c>
      <c r="R70" s="1" t="str">
        <f aca="false">TEXT(B70,"MMM YYYY")</f>
        <v>Jan 2026</v>
      </c>
    </row>
    <row r="71" customFormat="false" ht="13.8" hidden="false" customHeight="false" outlineLevel="0" collapsed="false">
      <c r="A71" s="4" t="s">
        <v>173</v>
      </c>
      <c r="B71" s="4" t="s">
        <v>174</v>
      </c>
      <c r="C71" s="4" t="s">
        <v>29</v>
      </c>
      <c r="D71" s="4" t="s">
        <v>18</v>
      </c>
      <c r="E71" s="4"/>
      <c r="F71" s="4" t="n">
        <v>10</v>
      </c>
      <c r="G71" s="4" t="n">
        <v>345</v>
      </c>
      <c r="L71" s="1" t="str">
        <f aca="false">IF(ISNUMBER(SEARCH("Bundle",C71)),"Bundles",IF(ISNUMBER(SEARCH("Airtime",C71)),"Bundles",IF(ISNUMBER(SEARCH("Merchant",C71)),"Merchant Payment",IF(ISNUMBER(SEARCH("Offnet C2B",C71)),"Merchant Payment",IF(ISNUMBER(SEARCH("Offnet B2C",C71)),"Merchant Payment",IF(ISNUMBER(SEARCH("Customer Payment to Small",C71)),"Merchant Payment",IF(ISNUMBER(SEARCH("Payment to Small Business",C71)),"Merchant Payment",IF(ISNUMBER(SEARCH("Sent to",C71)),"Sent to Person",IF(ISNUMBER(SEARCH("Customer Transfer to",C71)),"Sent to Person",IF(ISNUMBER(SEARCH("Business Payment",C71)),"Money In",IF(ISNUMBER(SEARCH("Funds Received",C71)),"Money In",IF(ISNUMBER(SEARCH("Receive International",C71)),"Money In",IF(ISNUMBER(SEARCH("Send Money Reversal",C71)),"Money In",IF(ISNUMBER(SEARCH("Pay Utility Reversal",C71)),"Money In",IF(ISNUMBER(SEARCH("Customer Transfer",C71)),"Money In",IF(ISNUMBER(SEARCH("Ziidi",C71)),"Investment",IF(ISNUMBER(SEARCH("Nabo",C71)),"Investment",IF(ISNUMBER(SEARCH("Paybill Online",C71)),"Pay Bill",IF(ISNUMBER(SEARCH("Pay Bill",C71)),"Pay Bill",IF(ISNUMBER(SEARCH("Spotify",C71)),"Pay Bill",IF(ISNUMBER(SEARCH("M-Shwari",C71)),"Mshwari",IF(ISNUMBER(SEARCH("Mshwari",C71)),"Mshwari",IF(ISNUMBER(SEARCH("Withdrawal charge",C71)),"Fees",IF(ISNUMBER(SEARCH("Customer Withdrawal",C71)),"Fees",IF(ISNUMBER(SEARCH("charge",C71)),"Fees","Other")))))))))))))))))))))))))</f>
        <v>Bundles</v>
      </c>
      <c r="R71" s="1" t="str">
        <f aca="false">TEXT(B71,"MMM YYYY")</f>
        <v>Jan 2026</v>
      </c>
    </row>
    <row r="72" customFormat="false" ht="13.8" hidden="false" customHeight="false" outlineLevel="0" collapsed="false">
      <c r="A72" s="4" t="s">
        <v>175</v>
      </c>
      <c r="B72" s="4" t="s">
        <v>176</v>
      </c>
      <c r="C72" s="4" t="s">
        <v>177</v>
      </c>
      <c r="D72" s="4" t="s">
        <v>18</v>
      </c>
      <c r="E72" s="4" t="n">
        <v>2000</v>
      </c>
      <c r="F72" s="4"/>
      <c r="G72" s="4" t="n">
        <v>2345</v>
      </c>
      <c r="L72" s="1" t="str">
        <f aca="false">IF(ISNUMBER(SEARCH("Bundle",C72)),"Bundles",IF(ISNUMBER(SEARCH("Airtime",C72)),"Bundles",IF(ISNUMBER(SEARCH("Merchant",C72)),"Merchant Payment",IF(ISNUMBER(SEARCH("Offnet C2B",C72)),"Merchant Payment",IF(ISNUMBER(SEARCH("Offnet B2C",C72)),"Merchant Payment",IF(ISNUMBER(SEARCH("Customer Payment to Small",C72)),"Merchant Payment",IF(ISNUMBER(SEARCH("Payment to Small Business",C72)),"Merchant Payment",IF(ISNUMBER(SEARCH("Sent to",C72)),"Sent to Person",IF(ISNUMBER(SEARCH("Customer Transfer to",C72)),"Sent to Person",IF(ISNUMBER(SEARCH("Business Payment",C72)),"Money In",IF(ISNUMBER(SEARCH("Funds Received",C72)),"Money In",IF(ISNUMBER(SEARCH("Receive International",C72)),"Money In",IF(ISNUMBER(SEARCH("Send Money Reversal",C72)),"Money In",IF(ISNUMBER(SEARCH("Pay Utility Reversal",C72)),"Money In",IF(ISNUMBER(SEARCH("Customer Transfer",C72)),"Money In",IF(ISNUMBER(SEARCH("Ziidi",C72)),"Investment",IF(ISNUMBER(SEARCH("Nabo",C72)),"Investment",IF(ISNUMBER(SEARCH("Paybill Online",C72)),"Pay Bill",IF(ISNUMBER(SEARCH("Pay Bill",C72)),"Pay Bill",IF(ISNUMBER(SEARCH("Spotify",C72)),"Pay Bill",IF(ISNUMBER(SEARCH("M-Shwari",C72)),"Mshwari",IF(ISNUMBER(SEARCH("Mshwari",C72)),"Mshwari",IF(ISNUMBER(SEARCH("Withdrawal charge",C72)),"Fees",IF(ISNUMBER(SEARCH("Customer Withdrawal",C72)),"Fees",IF(ISNUMBER(SEARCH("charge",C72)),"Fees","Other")))))))))))))))))))))))))</f>
        <v>Money In</v>
      </c>
      <c r="R72" s="1" t="str">
        <f aca="false">TEXT(B72,"MMM YYYY")</f>
        <v>Jan 2026</v>
      </c>
    </row>
    <row r="73" customFormat="false" ht="13.8" hidden="false" customHeight="false" outlineLevel="0" collapsed="false">
      <c r="A73" s="4" t="s">
        <v>178</v>
      </c>
      <c r="B73" s="4" t="s">
        <v>179</v>
      </c>
      <c r="C73" s="4" t="s">
        <v>29</v>
      </c>
      <c r="D73" s="4" t="s">
        <v>18</v>
      </c>
      <c r="E73" s="4"/>
      <c r="F73" s="4" t="n">
        <v>10</v>
      </c>
      <c r="G73" s="4" t="n">
        <v>2335</v>
      </c>
      <c r="L73" s="1" t="str">
        <f aca="false">IF(ISNUMBER(SEARCH("Bundle",C73)),"Bundles",IF(ISNUMBER(SEARCH("Airtime",C73)),"Bundles",IF(ISNUMBER(SEARCH("Merchant",C73)),"Merchant Payment",IF(ISNUMBER(SEARCH("Offnet C2B",C73)),"Merchant Payment",IF(ISNUMBER(SEARCH("Offnet B2C",C73)),"Merchant Payment",IF(ISNUMBER(SEARCH("Customer Payment to Small",C73)),"Merchant Payment",IF(ISNUMBER(SEARCH("Payment to Small Business",C73)),"Merchant Payment",IF(ISNUMBER(SEARCH("Sent to",C73)),"Sent to Person",IF(ISNUMBER(SEARCH("Customer Transfer to",C73)),"Sent to Person",IF(ISNUMBER(SEARCH("Business Payment",C73)),"Money In",IF(ISNUMBER(SEARCH("Funds Received",C73)),"Money In",IF(ISNUMBER(SEARCH("Receive International",C73)),"Money In",IF(ISNUMBER(SEARCH("Send Money Reversal",C73)),"Money In",IF(ISNUMBER(SEARCH("Pay Utility Reversal",C73)),"Money In",IF(ISNUMBER(SEARCH("Customer Transfer",C73)),"Money In",IF(ISNUMBER(SEARCH("Ziidi",C73)),"Investment",IF(ISNUMBER(SEARCH("Nabo",C73)),"Investment",IF(ISNUMBER(SEARCH("Paybill Online",C73)),"Pay Bill",IF(ISNUMBER(SEARCH("Pay Bill",C73)),"Pay Bill",IF(ISNUMBER(SEARCH("Spotify",C73)),"Pay Bill",IF(ISNUMBER(SEARCH("M-Shwari",C73)),"Mshwari",IF(ISNUMBER(SEARCH("Mshwari",C73)),"Mshwari",IF(ISNUMBER(SEARCH("Withdrawal charge",C73)),"Fees",IF(ISNUMBER(SEARCH("Customer Withdrawal",C73)),"Fees",IF(ISNUMBER(SEARCH("charge",C73)),"Fees","Other")))))))))))))))))))))))))</f>
        <v>Bundles</v>
      </c>
      <c r="R73" s="1" t="str">
        <f aca="false">TEXT(B73,"MMM YYYY")</f>
        <v>Jan 2026</v>
      </c>
    </row>
    <row r="74" customFormat="false" ht="13.8" hidden="false" customHeight="false" outlineLevel="0" collapsed="false">
      <c r="A74" s="4" t="s">
        <v>180</v>
      </c>
      <c r="B74" s="4" t="s">
        <v>181</v>
      </c>
      <c r="C74" s="4" t="s">
        <v>182</v>
      </c>
      <c r="D74" s="4" t="s">
        <v>18</v>
      </c>
      <c r="E74" s="4"/>
      <c r="F74" s="4" t="n">
        <v>20</v>
      </c>
      <c r="G74" s="4" t="n">
        <v>2315</v>
      </c>
      <c r="L74" s="1" t="str">
        <f aca="false">IF(ISNUMBER(SEARCH("Bundle",C74)),"Bundles",IF(ISNUMBER(SEARCH("Airtime",C74)),"Bundles",IF(ISNUMBER(SEARCH("Merchant",C74)),"Merchant Payment",IF(ISNUMBER(SEARCH("Offnet C2B",C74)),"Merchant Payment",IF(ISNUMBER(SEARCH("Offnet B2C",C74)),"Merchant Payment",IF(ISNUMBER(SEARCH("Customer Payment to Small",C74)),"Merchant Payment",IF(ISNUMBER(SEARCH("Payment to Small Business",C74)),"Merchant Payment",IF(ISNUMBER(SEARCH("Sent to",C74)),"Sent to Person",IF(ISNUMBER(SEARCH("Customer Transfer to",C74)),"Sent to Person",IF(ISNUMBER(SEARCH("Business Payment",C74)),"Money In",IF(ISNUMBER(SEARCH("Funds Received",C74)),"Money In",IF(ISNUMBER(SEARCH("Receive International",C74)),"Money In",IF(ISNUMBER(SEARCH("Send Money Reversal",C74)),"Money In",IF(ISNUMBER(SEARCH("Pay Utility Reversal",C74)),"Money In",IF(ISNUMBER(SEARCH("Customer Transfer",C74)),"Money In",IF(ISNUMBER(SEARCH("Ziidi",C74)),"Investment",IF(ISNUMBER(SEARCH("Nabo",C74)),"Investment",IF(ISNUMBER(SEARCH("Paybill Online",C74)),"Pay Bill",IF(ISNUMBER(SEARCH("Pay Bill",C74)),"Pay Bill",IF(ISNUMBER(SEARCH("Spotify",C74)),"Pay Bill",IF(ISNUMBER(SEARCH("M-Shwari",C74)),"Mshwari",IF(ISNUMBER(SEARCH("Mshwari",C74)),"Mshwari",IF(ISNUMBER(SEARCH("Withdrawal charge",C74)),"Fees",IF(ISNUMBER(SEARCH("Customer Withdrawal",C74)),"Fees",IF(ISNUMBER(SEARCH("charge",C74)),"Fees","Other")))))))))))))))))))))))))</f>
        <v>Pay Bill</v>
      </c>
      <c r="R74" s="1" t="str">
        <f aca="false">TEXT(B74,"MMM YYYY")</f>
        <v>Jan 2026</v>
      </c>
    </row>
    <row r="75" customFormat="false" ht="13.8" hidden="false" customHeight="false" outlineLevel="0" collapsed="false">
      <c r="A75" s="4" t="s">
        <v>180</v>
      </c>
      <c r="B75" s="4" t="s">
        <v>181</v>
      </c>
      <c r="C75" s="4" t="s">
        <v>183</v>
      </c>
      <c r="D75" s="4" t="s">
        <v>18</v>
      </c>
      <c r="E75" s="4"/>
      <c r="F75" s="4" t="n">
        <v>1650</v>
      </c>
      <c r="G75" s="4" t="n">
        <v>665</v>
      </c>
      <c r="L75" s="1" t="str">
        <f aca="false">IF(ISNUMBER(SEARCH("Bundle",C75)),"Bundles",IF(ISNUMBER(SEARCH("Airtime",C75)),"Bundles",IF(ISNUMBER(SEARCH("Merchant",C75)),"Merchant Payment",IF(ISNUMBER(SEARCH("Offnet C2B",C75)),"Merchant Payment",IF(ISNUMBER(SEARCH("Offnet B2C",C75)),"Merchant Payment",IF(ISNUMBER(SEARCH("Customer Payment to Small",C75)),"Merchant Payment",IF(ISNUMBER(SEARCH("Payment to Small Business",C75)),"Merchant Payment",IF(ISNUMBER(SEARCH("Sent to",C75)),"Sent to Person",IF(ISNUMBER(SEARCH("Customer Transfer to",C75)),"Sent to Person",IF(ISNUMBER(SEARCH("Business Payment",C75)),"Money In",IF(ISNUMBER(SEARCH("Funds Received",C75)),"Money In",IF(ISNUMBER(SEARCH("Receive International",C75)),"Money In",IF(ISNUMBER(SEARCH("Send Money Reversal",C75)),"Money In",IF(ISNUMBER(SEARCH("Pay Utility Reversal",C75)),"Money In",IF(ISNUMBER(SEARCH("Customer Transfer",C75)),"Money In",IF(ISNUMBER(SEARCH("Ziidi",C75)),"Investment",IF(ISNUMBER(SEARCH("Nabo",C75)),"Investment",IF(ISNUMBER(SEARCH("Paybill Online",C75)),"Pay Bill",IF(ISNUMBER(SEARCH("Pay Bill",C75)),"Pay Bill",IF(ISNUMBER(SEARCH("Spotify",C75)),"Pay Bill",IF(ISNUMBER(SEARCH("M-Shwari",C75)),"Mshwari",IF(ISNUMBER(SEARCH("Mshwari",C75)),"Mshwari",IF(ISNUMBER(SEARCH("Withdrawal charge",C75)),"Fees",IF(ISNUMBER(SEARCH("Customer Withdrawal",C75)),"Fees",IF(ISNUMBER(SEARCH("charge",C75)),"Fees","Other")))))))))))))))))))))))))</f>
        <v>Pay Bill</v>
      </c>
      <c r="R75" s="1" t="str">
        <f aca="false">TEXT(B75,"MMM YYYY")</f>
        <v>Jan 2026</v>
      </c>
    </row>
    <row r="76" customFormat="false" ht="13.8" hidden="false" customHeight="false" outlineLevel="0" collapsed="false">
      <c r="A76" s="4" t="s">
        <v>184</v>
      </c>
      <c r="B76" s="4" t="s">
        <v>185</v>
      </c>
      <c r="C76" s="4" t="s">
        <v>29</v>
      </c>
      <c r="D76" s="4" t="s">
        <v>18</v>
      </c>
      <c r="E76" s="4"/>
      <c r="F76" s="4" t="n">
        <v>10</v>
      </c>
      <c r="G76" s="4" t="n">
        <v>655</v>
      </c>
      <c r="L76" s="1" t="str">
        <f aca="false">IF(ISNUMBER(SEARCH("Bundle",C76)),"Bundles",IF(ISNUMBER(SEARCH("Airtime",C76)),"Bundles",IF(ISNUMBER(SEARCH("Merchant",C76)),"Merchant Payment",IF(ISNUMBER(SEARCH("Offnet C2B",C76)),"Merchant Payment",IF(ISNUMBER(SEARCH("Offnet B2C",C76)),"Merchant Payment",IF(ISNUMBER(SEARCH("Customer Payment to Small",C76)),"Merchant Payment",IF(ISNUMBER(SEARCH("Payment to Small Business",C76)),"Merchant Payment",IF(ISNUMBER(SEARCH("Sent to",C76)),"Sent to Person",IF(ISNUMBER(SEARCH("Customer Transfer to",C76)),"Sent to Person",IF(ISNUMBER(SEARCH("Business Payment",C76)),"Money In",IF(ISNUMBER(SEARCH("Funds Received",C76)),"Money In",IF(ISNUMBER(SEARCH("Receive International",C76)),"Money In",IF(ISNUMBER(SEARCH("Send Money Reversal",C76)),"Money In",IF(ISNUMBER(SEARCH("Pay Utility Reversal",C76)),"Money In",IF(ISNUMBER(SEARCH("Customer Transfer",C76)),"Money In",IF(ISNUMBER(SEARCH("Ziidi",C76)),"Investment",IF(ISNUMBER(SEARCH("Nabo",C76)),"Investment",IF(ISNUMBER(SEARCH("Paybill Online",C76)),"Pay Bill",IF(ISNUMBER(SEARCH("Pay Bill",C76)),"Pay Bill",IF(ISNUMBER(SEARCH("Spotify",C76)),"Pay Bill",IF(ISNUMBER(SEARCH("M-Shwari",C76)),"Mshwari",IF(ISNUMBER(SEARCH("Mshwari",C76)),"Mshwari",IF(ISNUMBER(SEARCH("Withdrawal charge",C76)),"Fees",IF(ISNUMBER(SEARCH("Customer Withdrawal",C76)),"Fees",IF(ISNUMBER(SEARCH("charge",C76)),"Fees","Other")))))))))))))))))))))))))</f>
        <v>Bundles</v>
      </c>
      <c r="R76" s="1" t="str">
        <f aca="false">TEXT(B76,"MMM YYYY")</f>
        <v>Jan 2026</v>
      </c>
    </row>
    <row r="77" customFormat="false" ht="13.8" hidden="false" customHeight="false" outlineLevel="0" collapsed="false">
      <c r="A77" s="4" t="s">
        <v>186</v>
      </c>
      <c r="B77" s="4" t="s">
        <v>187</v>
      </c>
      <c r="C77" s="4" t="s">
        <v>29</v>
      </c>
      <c r="D77" s="4" t="s">
        <v>18</v>
      </c>
      <c r="E77" s="4"/>
      <c r="F77" s="4" t="n">
        <v>10</v>
      </c>
      <c r="G77" s="4" t="n">
        <v>645</v>
      </c>
      <c r="L77" s="1" t="str">
        <f aca="false">IF(ISNUMBER(SEARCH("Bundle",C77)),"Bundles",IF(ISNUMBER(SEARCH("Airtime",C77)),"Bundles",IF(ISNUMBER(SEARCH("Merchant",C77)),"Merchant Payment",IF(ISNUMBER(SEARCH("Offnet C2B",C77)),"Merchant Payment",IF(ISNUMBER(SEARCH("Offnet B2C",C77)),"Merchant Payment",IF(ISNUMBER(SEARCH("Customer Payment to Small",C77)),"Merchant Payment",IF(ISNUMBER(SEARCH("Payment to Small Business",C77)),"Merchant Payment",IF(ISNUMBER(SEARCH("Sent to",C77)),"Sent to Person",IF(ISNUMBER(SEARCH("Customer Transfer to",C77)),"Sent to Person",IF(ISNUMBER(SEARCH("Business Payment",C77)),"Money In",IF(ISNUMBER(SEARCH("Funds Received",C77)),"Money In",IF(ISNUMBER(SEARCH("Receive International",C77)),"Money In",IF(ISNUMBER(SEARCH("Send Money Reversal",C77)),"Money In",IF(ISNUMBER(SEARCH("Pay Utility Reversal",C77)),"Money In",IF(ISNUMBER(SEARCH("Customer Transfer",C77)),"Money In",IF(ISNUMBER(SEARCH("Ziidi",C77)),"Investment",IF(ISNUMBER(SEARCH("Nabo",C77)),"Investment",IF(ISNUMBER(SEARCH("Paybill Online",C77)),"Pay Bill",IF(ISNUMBER(SEARCH("Pay Bill",C77)),"Pay Bill",IF(ISNUMBER(SEARCH("Spotify",C77)),"Pay Bill",IF(ISNUMBER(SEARCH("M-Shwari",C77)),"Mshwari",IF(ISNUMBER(SEARCH("Mshwari",C77)),"Mshwari",IF(ISNUMBER(SEARCH("Withdrawal charge",C77)),"Fees",IF(ISNUMBER(SEARCH("Customer Withdrawal",C77)),"Fees",IF(ISNUMBER(SEARCH("charge",C77)),"Fees","Other")))))))))))))))))))))))))</f>
        <v>Bundles</v>
      </c>
      <c r="R77" s="1" t="str">
        <f aca="false">TEXT(B77,"MMM YYYY")</f>
        <v>Jan 2026</v>
      </c>
    </row>
    <row r="78" customFormat="false" ht="13.8" hidden="false" customHeight="false" outlineLevel="0" collapsed="false">
      <c r="A78" s="4" t="s">
        <v>188</v>
      </c>
      <c r="B78" s="4" t="s">
        <v>189</v>
      </c>
      <c r="C78" s="4" t="s">
        <v>29</v>
      </c>
      <c r="D78" s="4" t="s">
        <v>18</v>
      </c>
      <c r="E78" s="4"/>
      <c r="F78" s="4" t="n">
        <v>10</v>
      </c>
      <c r="G78" s="4" t="n">
        <v>635</v>
      </c>
      <c r="L78" s="1" t="str">
        <f aca="false">IF(ISNUMBER(SEARCH("Bundle",C78)),"Bundles",IF(ISNUMBER(SEARCH("Airtime",C78)),"Bundles",IF(ISNUMBER(SEARCH("Merchant",C78)),"Merchant Payment",IF(ISNUMBER(SEARCH("Offnet C2B",C78)),"Merchant Payment",IF(ISNUMBER(SEARCH("Offnet B2C",C78)),"Merchant Payment",IF(ISNUMBER(SEARCH("Customer Payment to Small",C78)),"Merchant Payment",IF(ISNUMBER(SEARCH("Payment to Small Business",C78)),"Merchant Payment",IF(ISNUMBER(SEARCH("Sent to",C78)),"Sent to Person",IF(ISNUMBER(SEARCH("Customer Transfer to",C78)),"Sent to Person",IF(ISNUMBER(SEARCH("Business Payment",C78)),"Money In",IF(ISNUMBER(SEARCH("Funds Received",C78)),"Money In",IF(ISNUMBER(SEARCH("Receive International",C78)),"Money In",IF(ISNUMBER(SEARCH("Send Money Reversal",C78)),"Money In",IF(ISNUMBER(SEARCH("Pay Utility Reversal",C78)),"Money In",IF(ISNUMBER(SEARCH("Customer Transfer",C78)),"Money In",IF(ISNUMBER(SEARCH("Ziidi",C78)),"Investment",IF(ISNUMBER(SEARCH("Nabo",C78)),"Investment",IF(ISNUMBER(SEARCH("Paybill Online",C78)),"Pay Bill",IF(ISNUMBER(SEARCH("Pay Bill",C78)),"Pay Bill",IF(ISNUMBER(SEARCH("Spotify",C78)),"Pay Bill",IF(ISNUMBER(SEARCH("M-Shwari",C78)),"Mshwari",IF(ISNUMBER(SEARCH("Mshwari",C78)),"Mshwari",IF(ISNUMBER(SEARCH("Withdrawal charge",C78)),"Fees",IF(ISNUMBER(SEARCH("Customer Withdrawal",C78)),"Fees",IF(ISNUMBER(SEARCH("charge",C78)),"Fees","Other")))))))))))))))))))))))))</f>
        <v>Bundles</v>
      </c>
      <c r="R78" s="1" t="str">
        <f aca="false">TEXT(B78,"MMM YYYY")</f>
        <v>Jan 2026</v>
      </c>
    </row>
    <row r="79" customFormat="false" ht="13.8" hidden="false" customHeight="false" outlineLevel="0" collapsed="false">
      <c r="A79" s="4" t="s">
        <v>190</v>
      </c>
      <c r="B79" s="4" t="s">
        <v>191</v>
      </c>
      <c r="C79" s="4" t="s">
        <v>192</v>
      </c>
      <c r="D79" s="4" t="s">
        <v>18</v>
      </c>
      <c r="E79" s="4" t="n">
        <v>500</v>
      </c>
      <c r="F79" s="4"/>
      <c r="G79" s="4" t="n">
        <v>600</v>
      </c>
      <c r="L79" s="1" t="str">
        <f aca="false">IF(ISNUMBER(SEARCH("Bundle",C79)),"Bundles",IF(ISNUMBER(SEARCH("Airtime",C79)),"Bundles",IF(ISNUMBER(SEARCH("Merchant",C79)),"Merchant Payment",IF(ISNUMBER(SEARCH("Offnet C2B",C79)),"Merchant Payment",IF(ISNUMBER(SEARCH("Offnet B2C",C79)),"Merchant Payment",IF(ISNUMBER(SEARCH("Customer Payment to Small",C79)),"Merchant Payment",IF(ISNUMBER(SEARCH("Payment to Small Business",C79)),"Merchant Payment",IF(ISNUMBER(SEARCH("Sent to",C79)),"Sent to Person",IF(ISNUMBER(SEARCH("Customer Transfer to",C79)),"Sent to Person",IF(ISNUMBER(SEARCH("Business Payment",C79)),"Money In",IF(ISNUMBER(SEARCH("Funds Received",C79)),"Money In",IF(ISNUMBER(SEARCH("Receive International",C79)),"Money In",IF(ISNUMBER(SEARCH("Send Money Reversal",C79)),"Money In",IF(ISNUMBER(SEARCH("Pay Utility Reversal",C79)),"Money In",IF(ISNUMBER(SEARCH("Customer Transfer",C79)),"Money In",IF(ISNUMBER(SEARCH("Ziidi",C79)),"Investment",IF(ISNUMBER(SEARCH("Nabo",C79)),"Investment",IF(ISNUMBER(SEARCH("Paybill Online",C79)),"Pay Bill",IF(ISNUMBER(SEARCH("Pay Bill",C79)),"Pay Bill",IF(ISNUMBER(SEARCH("Spotify",C79)),"Pay Bill",IF(ISNUMBER(SEARCH("M-Shwari",C79)),"Mshwari",IF(ISNUMBER(SEARCH("Mshwari",C79)),"Mshwari",IF(ISNUMBER(SEARCH("Withdrawal charge",C79)),"Fees",IF(ISNUMBER(SEARCH("Customer Withdrawal",C79)),"Fees",IF(ISNUMBER(SEARCH("charge",C79)),"Fees","Other")))))))))))))))))))))))))</f>
        <v>Mshwari</v>
      </c>
      <c r="R79" s="1" t="str">
        <f aca="false">TEXT(B79,"MMM YYYY")</f>
        <v>Jan 2026</v>
      </c>
    </row>
    <row r="80" customFormat="false" ht="13.8" hidden="false" customHeight="false" outlineLevel="0" collapsed="false">
      <c r="A80" s="4" t="s">
        <v>193</v>
      </c>
      <c r="B80" s="4" t="s">
        <v>194</v>
      </c>
      <c r="C80" s="4" t="s">
        <v>29</v>
      </c>
      <c r="D80" s="4" t="s">
        <v>18</v>
      </c>
      <c r="E80" s="4"/>
      <c r="F80" s="4" t="n">
        <v>10</v>
      </c>
      <c r="G80" s="4" t="n">
        <v>490</v>
      </c>
      <c r="L80" s="1" t="str">
        <f aca="false">IF(ISNUMBER(SEARCH("Bundle",C80)),"Bundles",IF(ISNUMBER(SEARCH("Airtime",C80)),"Bundles",IF(ISNUMBER(SEARCH("Merchant",C80)),"Merchant Payment",IF(ISNUMBER(SEARCH("Offnet C2B",C80)),"Merchant Payment",IF(ISNUMBER(SEARCH("Offnet B2C",C80)),"Merchant Payment",IF(ISNUMBER(SEARCH("Customer Payment to Small",C80)),"Merchant Payment",IF(ISNUMBER(SEARCH("Payment to Small Business",C80)),"Merchant Payment",IF(ISNUMBER(SEARCH("Sent to",C80)),"Sent to Person",IF(ISNUMBER(SEARCH("Customer Transfer to",C80)),"Sent to Person",IF(ISNUMBER(SEARCH("Business Payment",C80)),"Money In",IF(ISNUMBER(SEARCH("Funds Received",C80)),"Money In",IF(ISNUMBER(SEARCH("Receive International",C80)),"Money In",IF(ISNUMBER(SEARCH("Send Money Reversal",C80)),"Money In",IF(ISNUMBER(SEARCH("Pay Utility Reversal",C80)),"Money In",IF(ISNUMBER(SEARCH("Customer Transfer",C80)),"Money In",IF(ISNUMBER(SEARCH("Ziidi",C80)),"Investment",IF(ISNUMBER(SEARCH("Nabo",C80)),"Investment",IF(ISNUMBER(SEARCH("Paybill Online",C80)),"Pay Bill",IF(ISNUMBER(SEARCH("Pay Bill",C80)),"Pay Bill",IF(ISNUMBER(SEARCH("Spotify",C80)),"Pay Bill",IF(ISNUMBER(SEARCH("M-Shwari",C80)),"Mshwari",IF(ISNUMBER(SEARCH("Mshwari",C80)),"Mshwari",IF(ISNUMBER(SEARCH("Withdrawal charge",C80)),"Fees",IF(ISNUMBER(SEARCH("Customer Withdrawal",C80)),"Fees",IF(ISNUMBER(SEARCH("charge",C80)),"Fees","Other")))))))))))))))))))))))))</f>
        <v>Bundles</v>
      </c>
      <c r="R80" s="1" t="str">
        <f aca="false">TEXT(B80,"MMM YYYY")</f>
        <v>Jan 2026</v>
      </c>
    </row>
    <row r="81" customFormat="false" ht="13.8" hidden="false" customHeight="false" outlineLevel="0" collapsed="false">
      <c r="A81" s="4" t="s">
        <v>195</v>
      </c>
      <c r="B81" s="4" t="s">
        <v>196</v>
      </c>
      <c r="C81" s="4" t="s">
        <v>29</v>
      </c>
      <c r="D81" s="4" t="s">
        <v>18</v>
      </c>
      <c r="E81" s="4"/>
      <c r="F81" s="4" t="n">
        <v>10</v>
      </c>
      <c r="G81" s="4" t="n">
        <v>480</v>
      </c>
      <c r="L81" s="1" t="str">
        <f aca="false">IF(ISNUMBER(SEARCH("Bundle",C81)),"Bundles",IF(ISNUMBER(SEARCH("Airtime",C81)),"Bundles",IF(ISNUMBER(SEARCH("Merchant",C81)),"Merchant Payment",IF(ISNUMBER(SEARCH("Offnet C2B",C81)),"Merchant Payment",IF(ISNUMBER(SEARCH("Offnet B2C",C81)),"Merchant Payment",IF(ISNUMBER(SEARCH("Customer Payment to Small",C81)),"Merchant Payment",IF(ISNUMBER(SEARCH("Payment to Small Business",C81)),"Merchant Payment",IF(ISNUMBER(SEARCH("Sent to",C81)),"Sent to Person",IF(ISNUMBER(SEARCH("Customer Transfer to",C81)),"Sent to Person",IF(ISNUMBER(SEARCH("Business Payment",C81)),"Money In",IF(ISNUMBER(SEARCH("Funds Received",C81)),"Money In",IF(ISNUMBER(SEARCH("Receive International",C81)),"Money In",IF(ISNUMBER(SEARCH("Send Money Reversal",C81)),"Money In",IF(ISNUMBER(SEARCH("Pay Utility Reversal",C81)),"Money In",IF(ISNUMBER(SEARCH("Customer Transfer",C81)),"Money In",IF(ISNUMBER(SEARCH("Ziidi",C81)),"Investment",IF(ISNUMBER(SEARCH("Nabo",C81)),"Investment",IF(ISNUMBER(SEARCH("Paybill Online",C81)),"Pay Bill",IF(ISNUMBER(SEARCH("Pay Bill",C81)),"Pay Bill",IF(ISNUMBER(SEARCH("Spotify",C81)),"Pay Bill",IF(ISNUMBER(SEARCH("M-Shwari",C81)),"Mshwari",IF(ISNUMBER(SEARCH("Mshwari",C81)),"Mshwari",IF(ISNUMBER(SEARCH("Withdrawal charge",C81)),"Fees",IF(ISNUMBER(SEARCH("Customer Withdrawal",C81)),"Fees",IF(ISNUMBER(SEARCH("charge",C81)),"Fees","Other")))))))))))))))))))))))))</f>
        <v>Bundles</v>
      </c>
      <c r="R81" s="1" t="str">
        <f aca="false">TEXT(B81,"MMM YYYY")</f>
        <v>Jan 2026</v>
      </c>
    </row>
    <row r="82" customFormat="false" ht="13.8" hidden="false" customHeight="false" outlineLevel="0" collapsed="false">
      <c r="A82" s="4" t="s">
        <v>197</v>
      </c>
      <c r="B82" s="4" t="s">
        <v>198</v>
      </c>
      <c r="C82" s="4" t="s">
        <v>17</v>
      </c>
      <c r="D82" s="4" t="s">
        <v>18</v>
      </c>
      <c r="E82" s="4"/>
      <c r="F82" s="4" t="n">
        <v>20</v>
      </c>
      <c r="G82" s="4" t="n">
        <v>460</v>
      </c>
      <c r="L82" s="1" t="str">
        <f aca="false">IF(ISNUMBER(SEARCH("Bundle",C82)),"Bundles",IF(ISNUMBER(SEARCH("Airtime",C82)),"Bundles",IF(ISNUMBER(SEARCH("Merchant",C82)),"Merchant Payment",IF(ISNUMBER(SEARCH("Offnet C2B",C82)),"Merchant Payment",IF(ISNUMBER(SEARCH("Offnet B2C",C82)),"Merchant Payment",IF(ISNUMBER(SEARCH("Customer Payment to Small",C82)),"Merchant Payment",IF(ISNUMBER(SEARCH("Payment to Small Business",C82)),"Merchant Payment",IF(ISNUMBER(SEARCH("Sent to",C82)),"Sent to Person",IF(ISNUMBER(SEARCH("Customer Transfer to",C82)),"Sent to Person",IF(ISNUMBER(SEARCH("Business Payment",C82)),"Money In",IF(ISNUMBER(SEARCH("Funds Received",C82)),"Money In",IF(ISNUMBER(SEARCH("Receive International",C82)),"Money In",IF(ISNUMBER(SEARCH("Send Money Reversal",C82)),"Money In",IF(ISNUMBER(SEARCH("Pay Utility Reversal",C82)),"Money In",IF(ISNUMBER(SEARCH("Customer Transfer",C82)),"Money In",IF(ISNUMBER(SEARCH("Ziidi",C82)),"Investment",IF(ISNUMBER(SEARCH("Nabo",C82)),"Investment",IF(ISNUMBER(SEARCH("Paybill Online",C82)),"Pay Bill",IF(ISNUMBER(SEARCH("Pay Bill",C82)),"Pay Bill",IF(ISNUMBER(SEARCH("Spotify",C82)),"Pay Bill",IF(ISNUMBER(SEARCH("M-Shwari",C82)),"Mshwari",IF(ISNUMBER(SEARCH("Mshwari",C82)),"Mshwari",IF(ISNUMBER(SEARCH("Withdrawal charge",C82)),"Fees",IF(ISNUMBER(SEARCH("Customer Withdrawal",C82)),"Fees",IF(ISNUMBER(SEARCH("charge",C82)),"Fees","Other")))))))))))))))))))))))))</f>
        <v>Bundles</v>
      </c>
      <c r="R82" s="1" t="str">
        <f aca="false">TEXT(B82,"MMM YYYY")</f>
        <v>Jan 2026</v>
      </c>
    </row>
    <row r="83" customFormat="false" ht="13.8" hidden="false" customHeight="false" outlineLevel="0" collapsed="false">
      <c r="A83" s="4" t="s">
        <v>199</v>
      </c>
      <c r="B83" s="4" t="s">
        <v>200</v>
      </c>
      <c r="C83" s="4" t="s">
        <v>29</v>
      </c>
      <c r="D83" s="4" t="s">
        <v>18</v>
      </c>
      <c r="E83" s="4"/>
      <c r="F83" s="4" t="n">
        <v>10</v>
      </c>
      <c r="G83" s="4" t="n">
        <v>450</v>
      </c>
      <c r="L83" s="1" t="str">
        <f aca="false">IF(ISNUMBER(SEARCH("Bundle",C83)),"Bundles",IF(ISNUMBER(SEARCH("Airtime",C83)),"Bundles",IF(ISNUMBER(SEARCH("Merchant",C83)),"Merchant Payment",IF(ISNUMBER(SEARCH("Offnet C2B",C83)),"Merchant Payment",IF(ISNUMBER(SEARCH("Offnet B2C",C83)),"Merchant Payment",IF(ISNUMBER(SEARCH("Customer Payment to Small",C83)),"Merchant Payment",IF(ISNUMBER(SEARCH("Payment to Small Business",C83)),"Merchant Payment",IF(ISNUMBER(SEARCH("Sent to",C83)),"Sent to Person",IF(ISNUMBER(SEARCH("Customer Transfer to",C83)),"Sent to Person",IF(ISNUMBER(SEARCH("Business Payment",C83)),"Money In",IF(ISNUMBER(SEARCH("Funds Received",C83)),"Money In",IF(ISNUMBER(SEARCH("Receive International",C83)),"Money In",IF(ISNUMBER(SEARCH("Send Money Reversal",C83)),"Money In",IF(ISNUMBER(SEARCH("Pay Utility Reversal",C83)),"Money In",IF(ISNUMBER(SEARCH("Customer Transfer",C83)),"Money In",IF(ISNUMBER(SEARCH("Ziidi",C83)),"Investment",IF(ISNUMBER(SEARCH("Nabo",C83)),"Investment",IF(ISNUMBER(SEARCH("Paybill Online",C83)),"Pay Bill",IF(ISNUMBER(SEARCH("Pay Bill",C83)),"Pay Bill",IF(ISNUMBER(SEARCH("Spotify",C83)),"Pay Bill",IF(ISNUMBER(SEARCH("M-Shwari",C83)),"Mshwari",IF(ISNUMBER(SEARCH("Mshwari",C83)),"Mshwari",IF(ISNUMBER(SEARCH("Withdrawal charge",C83)),"Fees",IF(ISNUMBER(SEARCH("Customer Withdrawal",C83)),"Fees",IF(ISNUMBER(SEARCH("charge",C83)),"Fees","Other")))))))))))))))))))))))))</f>
        <v>Bundles</v>
      </c>
      <c r="R83" s="1" t="str">
        <f aca="false">TEXT(B83,"MMM YYYY")</f>
        <v>Jan 2026</v>
      </c>
    </row>
    <row r="84" customFormat="false" ht="13.8" hidden="false" customHeight="false" outlineLevel="0" collapsed="false">
      <c r="A84" s="4" t="s">
        <v>201</v>
      </c>
      <c r="B84" s="4" t="s">
        <v>202</v>
      </c>
      <c r="C84" s="4" t="s">
        <v>17</v>
      </c>
      <c r="D84" s="4" t="s">
        <v>18</v>
      </c>
      <c r="E84" s="4"/>
      <c r="F84" s="4" t="n">
        <v>250</v>
      </c>
      <c r="G84" s="4" t="n">
        <v>200</v>
      </c>
      <c r="L84" s="1" t="str">
        <f aca="false">IF(ISNUMBER(SEARCH("Bundle",C84)),"Bundles",IF(ISNUMBER(SEARCH("Airtime",C84)),"Bundles",IF(ISNUMBER(SEARCH("Merchant",C84)),"Merchant Payment",IF(ISNUMBER(SEARCH("Offnet C2B",C84)),"Merchant Payment",IF(ISNUMBER(SEARCH("Offnet B2C",C84)),"Merchant Payment",IF(ISNUMBER(SEARCH("Customer Payment to Small",C84)),"Merchant Payment",IF(ISNUMBER(SEARCH("Payment to Small Business",C84)),"Merchant Payment",IF(ISNUMBER(SEARCH("Sent to",C84)),"Sent to Person",IF(ISNUMBER(SEARCH("Customer Transfer to",C84)),"Sent to Person",IF(ISNUMBER(SEARCH("Business Payment",C84)),"Money In",IF(ISNUMBER(SEARCH("Funds Received",C84)),"Money In",IF(ISNUMBER(SEARCH("Receive International",C84)),"Money In",IF(ISNUMBER(SEARCH("Send Money Reversal",C84)),"Money In",IF(ISNUMBER(SEARCH("Pay Utility Reversal",C84)),"Money In",IF(ISNUMBER(SEARCH("Customer Transfer",C84)),"Money In",IF(ISNUMBER(SEARCH("Ziidi",C84)),"Investment",IF(ISNUMBER(SEARCH("Nabo",C84)),"Investment",IF(ISNUMBER(SEARCH("Paybill Online",C84)),"Pay Bill",IF(ISNUMBER(SEARCH("Pay Bill",C84)),"Pay Bill",IF(ISNUMBER(SEARCH("Spotify",C84)),"Pay Bill",IF(ISNUMBER(SEARCH("M-Shwari",C84)),"Mshwari",IF(ISNUMBER(SEARCH("Mshwari",C84)),"Mshwari",IF(ISNUMBER(SEARCH("Withdrawal charge",C84)),"Fees",IF(ISNUMBER(SEARCH("Customer Withdrawal",C84)),"Fees",IF(ISNUMBER(SEARCH("charge",C84)),"Fees","Other")))))))))))))))))))))))))</f>
        <v>Bundles</v>
      </c>
      <c r="R84" s="1" t="str">
        <f aca="false">TEXT(B84,"MMM YYYY")</f>
        <v>Jan 2026</v>
      </c>
    </row>
    <row r="85" customFormat="false" ht="13.8" hidden="false" customHeight="false" outlineLevel="0" collapsed="false">
      <c r="A85" s="4" t="s">
        <v>203</v>
      </c>
      <c r="B85" s="4" t="s">
        <v>204</v>
      </c>
      <c r="C85" s="4" t="s">
        <v>29</v>
      </c>
      <c r="D85" s="4" t="s">
        <v>18</v>
      </c>
      <c r="E85" s="4"/>
      <c r="F85" s="4" t="n">
        <v>10</v>
      </c>
      <c r="G85" s="4" t="n">
        <v>190</v>
      </c>
      <c r="L85" s="1" t="str">
        <f aca="false">IF(ISNUMBER(SEARCH("Bundle",C85)),"Bundles",IF(ISNUMBER(SEARCH("Airtime",C85)),"Bundles",IF(ISNUMBER(SEARCH("Merchant",C85)),"Merchant Payment",IF(ISNUMBER(SEARCH("Offnet C2B",C85)),"Merchant Payment",IF(ISNUMBER(SEARCH("Offnet B2C",C85)),"Merchant Payment",IF(ISNUMBER(SEARCH("Customer Payment to Small",C85)),"Merchant Payment",IF(ISNUMBER(SEARCH("Payment to Small Business",C85)),"Merchant Payment",IF(ISNUMBER(SEARCH("Sent to",C85)),"Sent to Person",IF(ISNUMBER(SEARCH("Customer Transfer to",C85)),"Sent to Person",IF(ISNUMBER(SEARCH("Business Payment",C85)),"Money In",IF(ISNUMBER(SEARCH("Funds Received",C85)),"Money In",IF(ISNUMBER(SEARCH("Receive International",C85)),"Money In",IF(ISNUMBER(SEARCH("Send Money Reversal",C85)),"Money In",IF(ISNUMBER(SEARCH("Pay Utility Reversal",C85)),"Money In",IF(ISNUMBER(SEARCH("Customer Transfer",C85)),"Money In",IF(ISNUMBER(SEARCH("Ziidi",C85)),"Investment",IF(ISNUMBER(SEARCH("Nabo",C85)),"Investment",IF(ISNUMBER(SEARCH("Paybill Online",C85)),"Pay Bill",IF(ISNUMBER(SEARCH("Pay Bill",C85)),"Pay Bill",IF(ISNUMBER(SEARCH("Spotify",C85)),"Pay Bill",IF(ISNUMBER(SEARCH("M-Shwari",C85)),"Mshwari",IF(ISNUMBER(SEARCH("Mshwari",C85)),"Mshwari",IF(ISNUMBER(SEARCH("Withdrawal charge",C85)),"Fees",IF(ISNUMBER(SEARCH("Customer Withdrawal",C85)),"Fees",IF(ISNUMBER(SEARCH("charge",C85)),"Fees","Other")))))))))))))))))))))))))</f>
        <v>Bundles</v>
      </c>
      <c r="R85" s="1" t="str">
        <f aca="false">TEXT(B85,"MMM YYYY")</f>
        <v>Jan 2026</v>
      </c>
    </row>
    <row r="86" customFormat="false" ht="13.8" hidden="false" customHeight="false" outlineLevel="0" collapsed="false">
      <c r="A86" s="4" t="s">
        <v>205</v>
      </c>
      <c r="B86" s="4" t="s">
        <v>206</v>
      </c>
      <c r="C86" s="4" t="s">
        <v>29</v>
      </c>
      <c r="D86" s="4" t="s">
        <v>18</v>
      </c>
      <c r="E86" s="4"/>
      <c r="F86" s="4" t="n">
        <v>10</v>
      </c>
      <c r="G86" s="4" t="n">
        <v>180</v>
      </c>
      <c r="L86" s="1" t="str">
        <f aca="false">IF(ISNUMBER(SEARCH("Bundle",C86)),"Bundles",IF(ISNUMBER(SEARCH("Airtime",C86)),"Bundles",IF(ISNUMBER(SEARCH("Merchant",C86)),"Merchant Payment",IF(ISNUMBER(SEARCH("Offnet C2B",C86)),"Merchant Payment",IF(ISNUMBER(SEARCH("Offnet B2C",C86)),"Merchant Payment",IF(ISNUMBER(SEARCH("Customer Payment to Small",C86)),"Merchant Payment",IF(ISNUMBER(SEARCH("Payment to Small Business",C86)),"Merchant Payment",IF(ISNUMBER(SEARCH("Sent to",C86)),"Sent to Person",IF(ISNUMBER(SEARCH("Customer Transfer to",C86)),"Sent to Person",IF(ISNUMBER(SEARCH("Business Payment",C86)),"Money In",IF(ISNUMBER(SEARCH("Funds Received",C86)),"Money In",IF(ISNUMBER(SEARCH("Receive International",C86)),"Money In",IF(ISNUMBER(SEARCH("Send Money Reversal",C86)),"Money In",IF(ISNUMBER(SEARCH("Pay Utility Reversal",C86)),"Money In",IF(ISNUMBER(SEARCH("Customer Transfer",C86)),"Money In",IF(ISNUMBER(SEARCH("Ziidi",C86)),"Investment",IF(ISNUMBER(SEARCH("Nabo",C86)),"Investment",IF(ISNUMBER(SEARCH("Paybill Online",C86)),"Pay Bill",IF(ISNUMBER(SEARCH("Pay Bill",C86)),"Pay Bill",IF(ISNUMBER(SEARCH("Spotify",C86)),"Pay Bill",IF(ISNUMBER(SEARCH("M-Shwari",C86)),"Mshwari",IF(ISNUMBER(SEARCH("Mshwari",C86)),"Mshwari",IF(ISNUMBER(SEARCH("Withdrawal charge",C86)),"Fees",IF(ISNUMBER(SEARCH("Customer Withdrawal",C86)),"Fees",IF(ISNUMBER(SEARCH("charge",C86)),"Fees","Other")))))))))))))))))))))))))</f>
        <v>Bundles</v>
      </c>
      <c r="R86" s="1" t="str">
        <f aca="false">TEXT(B86,"MMM YYYY")</f>
        <v>Jan 2026</v>
      </c>
    </row>
    <row r="87" customFormat="false" ht="13.8" hidden="false" customHeight="false" outlineLevel="0" collapsed="false">
      <c r="A87" s="4" t="s">
        <v>207</v>
      </c>
      <c r="B87" s="4" t="s">
        <v>208</v>
      </c>
      <c r="C87" s="4" t="s">
        <v>29</v>
      </c>
      <c r="D87" s="4" t="s">
        <v>18</v>
      </c>
      <c r="E87" s="4"/>
      <c r="F87" s="4" t="n">
        <v>10</v>
      </c>
      <c r="G87" s="4" t="n">
        <v>170</v>
      </c>
      <c r="L87" s="1" t="str">
        <f aca="false">IF(ISNUMBER(SEARCH("Bundle",C87)),"Bundles",IF(ISNUMBER(SEARCH("Airtime",C87)),"Bundles",IF(ISNUMBER(SEARCH("Merchant",C87)),"Merchant Payment",IF(ISNUMBER(SEARCH("Offnet C2B",C87)),"Merchant Payment",IF(ISNUMBER(SEARCH("Offnet B2C",C87)),"Merchant Payment",IF(ISNUMBER(SEARCH("Customer Payment to Small",C87)),"Merchant Payment",IF(ISNUMBER(SEARCH("Payment to Small Business",C87)),"Merchant Payment",IF(ISNUMBER(SEARCH("Sent to",C87)),"Sent to Person",IF(ISNUMBER(SEARCH("Customer Transfer to",C87)),"Sent to Person",IF(ISNUMBER(SEARCH("Business Payment",C87)),"Money In",IF(ISNUMBER(SEARCH("Funds Received",C87)),"Money In",IF(ISNUMBER(SEARCH("Receive International",C87)),"Money In",IF(ISNUMBER(SEARCH("Send Money Reversal",C87)),"Money In",IF(ISNUMBER(SEARCH("Pay Utility Reversal",C87)),"Money In",IF(ISNUMBER(SEARCH("Customer Transfer",C87)),"Money In",IF(ISNUMBER(SEARCH("Ziidi",C87)),"Investment",IF(ISNUMBER(SEARCH("Nabo",C87)),"Investment",IF(ISNUMBER(SEARCH("Paybill Online",C87)),"Pay Bill",IF(ISNUMBER(SEARCH("Pay Bill",C87)),"Pay Bill",IF(ISNUMBER(SEARCH("Spotify",C87)),"Pay Bill",IF(ISNUMBER(SEARCH("M-Shwari",C87)),"Mshwari",IF(ISNUMBER(SEARCH("Mshwari",C87)),"Mshwari",IF(ISNUMBER(SEARCH("Withdrawal charge",C87)),"Fees",IF(ISNUMBER(SEARCH("Customer Withdrawal",C87)),"Fees",IF(ISNUMBER(SEARCH("charge",C87)),"Fees","Other")))))))))))))))))))))))))</f>
        <v>Bundles</v>
      </c>
      <c r="R87" s="1" t="str">
        <f aca="false">TEXT(B87,"MMM YYYY")</f>
        <v>Jan 2026</v>
      </c>
    </row>
    <row r="88" customFormat="false" ht="13.8" hidden="false" customHeight="false" outlineLevel="0" collapsed="false">
      <c r="A88" s="4" t="s">
        <v>209</v>
      </c>
      <c r="B88" s="4" t="s">
        <v>210</v>
      </c>
      <c r="C88" s="4" t="s">
        <v>29</v>
      </c>
      <c r="D88" s="4" t="s">
        <v>18</v>
      </c>
      <c r="E88" s="4"/>
      <c r="F88" s="4" t="n">
        <v>10</v>
      </c>
      <c r="G88" s="4" t="n">
        <v>160</v>
      </c>
      <c r="L88" s="1" t="str">
        <f aca="false">IF(ISNUMBER(SEARCH("Bundle",C88)),"Bundles",IF(ISNUMBER(SEARCH("Airtime",C88)),"Bundles",IF(ISNUMBER(SEARCH("Merchant",C88)),"Merchant Payment",IF(ISNUMBER(SEARCH("Offnet C2B",C88)),"Merchant Payment",IF(ISNUMBER(SEARCH("Offnet B2C",C88)),"Merchant Payment",IF(ISNUMBER(SEARCH("Customer Payment to Small",C88)),"Merchant Payment",IF(ISNUMBER(SEARCH("Payment to Small Business",C88)),"Merchant Payment",IF(ISNUMBER(SEARCH("Sent to",C88)),"Sent to Person",IF(ISNUMBER(SEARCH("Customer Transfer to",C88)),"Sent to Person",IF(ISNUMBER(SEARCH("Business Payment",C88)),"Money In",IF(ISNUMBER(SEARCH("Funds Received",C88)),"Money In",IF(ISNUMBER(SEARCH("Receive International",C88)),"Money In",IF(ISNUMBER(SEARCH("Send Money Reversal",C88)),"Money In",IF(ISNUMBER(SEARCH("Pay Utility Reversal",C88)),"Money In",IF(ISNUMBER(SEARCH("Customer Transfer",C88)),"Money In",IF(ISNUMBER(SEARCH("Ziidi",C88)),"Investment",IF(ISNUMBER(SEARCH("Nabo",C88)),"Investment",IF(ISNUMBER(SEARCH("Paybill Online",C88)),"Pay Bill",IF(ISNUMBER(SEARCH("Pay Bill",C88)),"Pay Bill",IF(ISNUMBER(SEARCH("Spotify",C88)),"Pay Bill",IF(ISNUMBER(SEARCH("M-Shwari",C88)),"Mshwari",IF(ISNUMBER(SEARCH("Mshwari",C88)),"Mshwari",IF(ISNUMBER(SEARCH("Withdrawal charge",C88)),"Fees",IF(ISNUMBER(SEARCH("Customer Withdrawal",C88)),"Fees",IF(ISNUMBER(SEARCH("charge",C88)),"Fees","Other")))))))))))))))))))))))))</f>
        <v>Bundles</v>
      </c>
      <c r="R88" s="1" t="str">
        <f aca="false">TEXT(B88,"MMM YYYY")</f>
        <v>Jan 2026</v>
      </c>
    </row>
    <row r="89" customFormat="false" ht="13.8" hidden="false" customHeight="false" outlineLevel="0" collapsed="false">
      <c r="A89" s="4" t="s">
        <v>211</v>
      </c>
      <c r="B89" s="4" t="s">
        <v>212</v>
      </c>
      <c r="C89" s="4" t="s">
        <v>29</v>
      </c>
      <c r="D89" s="4" t="s">
        <v>18</v>
      </c>
      <c r="E89" s="4"/>
      <c r="F89" s="4" t="n">
        <v>10</v>
      </c>
      <c r="G89" s="4" t="n">
        <v>150</v>
      </c>
      <c r="L89" s="1" t="str">
        <f aca="false">IF(ISNUMBER(SEARCH("Bundle",C89)),"Bundles",IF(ISNUMBER(SEARCH("Airtime",C89)),"Bundles",IF(ISNUMBER(SEARCH("Merchant",C89)),"Merchant Payment",IF(ISNUMBER(SEARCH("Offnet C2B",C89)),"Merchant Payment",IF(ISNUMBER(SEARCH("Offnet B2C",C89)),"Merchant Payment",IF(ISNUMBER(SEARCH("Customer Payment to Small",C89)),"Merchant Payment",IF(ISNUMBER(SEARCH("Payment to Small Business",C89)),"Merchant Payment",IF(ISNUMBER(SEARCH("Sent to",C89)),"Sent to Person",IF(ISNUMBER(SEARCH("Customer Transfer to",C89)),"Sent to Person",IF(ISNUMBER(SEARCH("Business Payment",C89)),"Money In",IF(ISNUMBER(SEARCH("Funds Received",C89)),"Money In",IF(ISNUMBER(SEARCH("Receive International",C89)),"Money In",IF(ISNUMBER(SEARCH("Send Money Reversal",C89)),"Money In",IF(ISNUMBER(SEARCH("Pay Utility Reversal",C89)),"Money In",IF(ISNUMBER(SEARCH("Customer Transfer",C89)),"Money In",IF(ISNUMBER(SEARCH("Ziidi",C89)),"Investment",IF(ISNUMBER(SEARCH("Nabo",C89)),"Investment",IF(ISNUMBER(SEARCH("Paybill Online",C89)),"Pay Bill",IF(ISNUMBER(SEARCH("Pay Bill",C89)),"Pay Bill",IF(ISNUMBER(SEARCH("Spotify",C89)),"Pay Bill",IF(ISNUMBER(SEARCH("M-Shwari",C89)),"Mshwari",IF(ISNUMBER(SEARCH("Mshwari",C89)),"Mshwari",IF(ISNUMBER(SEARCH("Withdrawal charge",C89)),"Fees",IF(ISNUMBER(SEARCH("Customer Withdrawal",C89)),"Fees",IF(ISNUMBER(SEARCH("charge",C89)),"Fees","Other")))))))))))))))))))))))))</f>
        <v>Bundles</v>
      </c>
      <c r="R89" s="1" t="str">
        <f aca="false">TEXT(B89,"MMM YYYY")</f>
        <v>Jan 2026</v>
      </c>
    </row>
    <row r="90" customFormat="false" ht="13.8" hidden="false" customHeight="false" outlineLevel="0" collapsed="false">
      <c r="A90" s="4" t="s">
        <v>213</v>
      </c>
      <c r="B90" s="4" t="s">
        <v>214</v>
      </c>
      <c r="C90" s="4" t="s">
        <v>29</v>
      </c>
      <c r="D90" s="4" t="s">
        <v>18</v>
      </c>
      <c r="E90" s="4"/>
      <c r="F90" s="4" t="n">
        <v>10</v>
      </c>
      <c r="G90" s="4" t="n">
        <v>140</v>
      </c>
      <c r="L90" s="1" t="str">
        <f aca="false">IF(ISNUMBER(SEARCH("Bundle",C90)),"Bundles",IF(ISNUMBER(SEARCH("Airtime",C90)),"Bundles",IF(ISNUMBER(SEARCH("Merchant",C90)),"Merchant Payment",IF(ISNUMBER(SEARCH("Offnet C2B",C90)),"Merchant Payment",IF(ISNUMBER(SEARCH("Offnet B2C",C90)),"Merchant Payment",IF(ISNUMBER(SEARCH("Customer Payment to Small",C90)),"Merchant Payment",IF(ISNUMBER(SEARCH("Payment to Small Business",C90)),"Merchant Payment",IF(ISNUMBER(SEARCH("Sent to",C90)),"Sent to Person",IF(ISNUMBER(SEARCH("Customer Transfer to",C90)),"Sent to Person",IF(ISNUMBER(SEARCH("Business Payment",C90)),"Money In",IF(ISNUMBER(SEARCH("Funds Received",C90)),"Money In",IF(ISNUMBER(SEARCH("Receive International",C90)),"Money In",IF(ISNUMBER(SEARCH("Send Money Reversal",C90)),"Money In",IF(ISNUMBER(SEARCH("Pay Utility Reversal",C90)),"Money In",IF(ISNUMBER(SEARCH("Customer Transfer",C90)),"Money In",IF(ISNUMBER(SEARCH("Ziidi",C90)),"Investment",IF(ISNUMBER(SEARCH("Nabo",C90)),"Investment",IF(ISNUMBER(SEARCH("Paybill Online",C90)),"Pay Bill",IF(ISNUMBER(SEARCH("Pay Bill",C90)),"Pay Bill",IF(ISNUMBER(SEARCH("Spotify",C90)),"Pay Bill",IF(ISNUMBER(SEARCH("M-Shwari",C90)),"Mshwari",IF(ISNUMBER(SEARCH("Mshwari",C90)),"Mshwari",IF(ISNUMBER(SEARCH("Withdrawal charge",C90)),"Fees",IF(ISNUMBER(SEARCH("Customer Withdrawal",C90)),"Fees",IF(ISNUMBER(SEARCH("charge",C90)),"Fees","Other")))))))))))))))))))))))))</f>
        <v>Bundles</v>
      </c>
      <c r="R90" s="1" t="str">
        <f aca="false">TEXT(B90,"MMM YYYY")</f>
        <v>Jan 2026</v>
      </c>
    </row>
    <row r="91" customFormat="false" ht="13.8" hidden="false" customHeight="false" outlineLevel="0" collapsed="false">
      <c r="A91" s="4" t="s">
        <v>215</v>
      </c>
      <c r="B91" s="4" t="s">
        <v>216</v>
      </c>
      <c r="C91" s="4" t="s">
        <v>217</v>
      </c>
      <c r="D91" s="4" t="s">
        <v>18</v>
      </c>
      <c r="E91" s="4"/>
      <c r="F91" s="4" t="n">
        <v>100</v>
      </c>
      <c r="G91" s="4" t="n">
        <v>40</v>
      </c>
      <c r="L91" s="1" t="str">
        <f aca="false">IF(ISNUMBER(SEARCH("Bundle",C91)),"Bundles",IF(ISNUMBER(SEARCH("Airtime",C91)),"Bundles",IF(ISNUMBER(SEARCH("Merchant",C91)),"Merchant Payment",IF(ISNUMBER(SEARCH("Offnet C2B",C91)),"Merchant Payment",IF(ISNUMBER(SEARCH("Offnet B2C",C91)),"Merchant Payment",IF(ISNUMBER(SEARCH("Customer Payment to Small",C91)),"Merchant Payment",IF(ISNUMBER(SEARCH("Payment to Small Business",C91)),"Merchant Payment",IF(ISNUMBER(SEARCH("Sent to",C91)),"Sent to Person",IF(ISNUMBER(SEARCH("Customer Transfer to",C91)),"Sent to Person",IF(ISNUMBER(SEARCH("Business Payment",C91)),"Money In",IF(ISNUMBER(SEARCH("Funds Received",C91)),"Money In",IF(ISNUMBER(SEARCH("Receive International",C91)),"Money In",IF(ISNUMBER(SEARCH("Send Money Reversal",C91)),"Money In",IF(ISNUMBER(SEARCH("Pay Utility Reversal",C91)),"Money In",IF(ISNUMBER(SEARCH("Customer Transfer",C91)),"Money In",IF(ISNUMBER(SEARCH("Ziidi",C91)),"Investment",IF(ISNUMBER(SEARCH("Nabo",C91)),"Investment",IF(ISNUMBER(SEARCH("Paybill Online",C91)),"Pay Bill",IF(ISNUMBER(SEARCH("Pay Bill",C91)),"Pay Bill",IF(ISNUMBER(SEARCH("Spotify",C91)),"Pay Bill",IF(ISNUMBER(SEARCH("M-Shwari",C91)),"Mshwari",IF(ISNUMBER(SEARCH("Mshwari",C91)),"Mshwari",IF(ISNUMBER(SEARCH("Withdrawal charge",C91)),"Fees",IF(ISNUMBER(SEARCH("Customer Withdrawal",C91)),"Fees",IF(ISNUMBER(SEARCH("charge",C91)),"Fees","Other")))))))))))))))))))))))))</f>
        <v>Investment</v>
      </c>
      <c r="R91" s="1" t="str">
        <f aca="false">TEXT(B91,"MMM YYYY")</f>
        <v>Jan 2026</v>
      </c>
    </row>
    <row r="92" customFormat="false" ht="13.8" hidden="false" customHeight="false" outlineLevel="0" collapsed="false">
      <c r="A92" s="4" t="s">
        <v>218</v>
      </c>
      <c r="B92" s="4" t="s">
        <v>219</v>
      </c>
      <c r="C92" s="4" t="s">
        <v>192</v>
      </c>
      <c r="D92" s="4" t="s">
        <v>18</v>
      </c>
      <c r="E92" s="4" t="n">
        <v>500</v>
      </c>
      <c r="F92" s="4"/>
      <c r="G92" s="4" t="n">
        <v>540</v>
      </c>
      <c r="L92" s="1" t="str">
        <f aca="false">IF(ISNUMBER(SEARCH("Bundle",C92)),"Bundles",IF(ISNUMBER(SEARCH("Airtime",C92)),"Bundles",IF(ISNUMBER(SEARCH("Merchant",C92)),"Merchant Payment",IF(ISNUMBER(SEARCH("Offnet C2B",C92)),"Merchant Payment",IF(ISNUMBER(SEARCH("Offnet B2C",C92)),"Merchant Payment",IF(ISNUMBER(SEARCH("Customer Payment to Small",C92)),"Merchant Payment",IF(ISNUMBER(SEARCH("Payment to Small Business",C92)),"Merchant Payment",IF(ISNUMBER(SEARCH("Sent to",C92)),"Sent to Person",IF(ISNUMBER(SEARCH("Customer Transfer to",C92)),"Sent to Person",IF(ISNUMBER(SEARCH("Business Payment",C92)),"Money In",IF(ISNUMBER(SEARCH("Funds Received",C92)),"Money In",IF(ISNUMBER(SEARCH("Receive International",C92)),"Money In",IF(ISNUMBER(SEARCH("Send Money Reversal",C92)),"Money In",IF(ISNUMBER(SEARCH("Pay Utility Reversal",C92)),"Money In",IF(ISNUMBER(SEARCH("Customer Transfer",C92)),"Money In",IF(ISNUMBER(SEARCH("Ziidi",C92)),"Investment",IF(ISNUMBER(SEARCH("Nabo",C92)),"Investment",IF(ISNUMBER(SEARCH("Paybill Online",C92)),"Pay Bill",IF(ISNUMBER(SEARCH("Pay Bill",C92)),"Pay Bill",IF(ISNUMBER(SEARCH("Spotify",C92)),"Pay Bill",IF(ISNUMBER(SEARCH("M-Shwari",C92)),"Mshwari",IF(ISNUMBER(SEARCH("Mshwari",C92)),"Mshwari",IF(ISNUMBER(SEARCH("Withdrawal charge",C92)),"Fees",IF(ISNUMBER(SEARCH("Customer Withdrawal",C92)),"Fees",IF(ISNUMBER(SEARCH("charge",C92)),"Fees","Other")))))))))))))))))))))))))</f>
        <v>Mshwari</v>
      </c>
      <c r="R92" s="1" t="str">
        <f aca="false">TEXT(B92,"MMM YYYY")</f>
        <v>Jan 2026</v>
      </c>
    </row>
    <row r="93" customFormat="false" ht="13.8" hidden="false" customHeight="false" outlineLevel="0" collapsed="false">
      <c r="A93" s="4" t="s">
        <v>220</v>
      </c>
      <c r="B93" s="4" t="s">
        <v>221</v>
      </c>
      <c r="C93" s="4" t="s">
        <v>222</v>
      </c>
      <c r="D93" s="4" t="s">
        <v>18</v>
      </c>
      <c r="E93" s="4"/>
      <c r="F93" s="4" t="n">
        <v>100</v>
      </c>
      <c r="G93" s="4" t="n">
        <v>440</v>
      </c>
      <c r="L93" s="1" t="str">
        <f aca="false">IF(ISNUMBER(SEARCH("Bundle",C93)),"Bundles",IF(ISNUMBER(SEARCH("Airtime",C93)),"Bundles",IF(ISNUMBER(SEARCH("Merchant",C93)),"Merchant Payment",IF(ISNUMBER(SEARCH("Offnet C2B",C93)),"Merchant Payment",IF(ISNUMBER(SEARCH("Offnet B2C",C93)),"Merchant Payment",IF(ISNUMBER(SEARCH("Customer Payment to Small",C93)),"Merchant Payment",IF(ISNUMBER(SEARCH("Payment to Small Business",C93)),"Merchant Payment",IF(ISNUMBER(SEARCH("Sent to",C93)),"Sent to Person",IF(ISNUMBER(SEARCH("Customer Transfer to",C93)),"Sent to Person",IF(ISNUMBER(SEARCH("Business Payment",C93)),"Money In",IF(ISNUMBER(SEARCH("Funds Received",C93)),"Money In",IF(ISNUMBER(SEARCH("Receive International",C93)),"Money In",IF(ISNUMBER(SEARCH("Send Money Reversal",C93)),"Money In",IF(ISNUMBER(SEARCH("Pay Utility Reversal",C93)),"Money In",IF(ISNUMBER(SEARCH("Customer Transfer",C93)),"Money In",IF(ISNUMBER(SEARCH("Ziidi",C93)),"Investment",IF(ISNUMBER(SEARCH("Nabo",C93)),"Investment",IF(ISNUMBER(SEARCH("Paybill Online",C93)),"Pay Bill",IF(ISNUMBER(SEARCH("Pay Bill",C93)),"Pay Bill",IF(ISNUMBER(SEARCH("Spotify",C93)),"Pay Bill",IF(ISNUMBER(SEARCH("M-Shwari",C93)),"Mshwari",IF(ISNUMBER(SEARCH("Mshwari",C93)),"Mshwari",IF(ISNUMBER(SEARCH("Withdrawal charge",C93)),"Fees",IF(ISNUMBER(SEARCH("Customer Withdrawal",C93)),"Fees",IF(ISNUMBER(SEARCH("charge",C93)),"Fees","Other")))))))))))))))))))))))))</f>
        <v>Merchant Payment</v>
      </c>
      <c r="R93" s="1" t="str">
        <f aca="false">TEXT(B93,"MMM YYYY")</f>
        <v>Jan 2026</v>
      </c>
    </row>
    <row r="94" customFormat="false" ht="13.8" hidden="false" customHeight="false" outlineLevel="0" collapsed="false">
      <c r="A94" s="4" t="s">
        <v>223</v>
      </c>
      <c r="B94" s="4" t="s">
        <v>224</v>
      </c>
      <c r="C94" s="4" t="s">
        <v>49</v>
      </c>
      <c r="D94" s="4" t="s">
        <v>18</v>
      </c>
      <c r="E94" s="4"/>
      <c r="F94" s="4" t="n">
        <v>100</v>
      </c>
      <c r="G94" s="4" t="n">
        <v>340</v>
      </c>
      <c r="L94" s="1" t="str">
        <f aca="false">IF(ISNUMBER(SEARCH("Bundle",C94)),"Bundles",IF(ISNUMBER(SEARCH("Airtime",C94)),"Bundles",IF(ISNUMBER(SEARCH("Merchant",C94)),"Merchant Payment",IF(ISNUMBER(SEARCH("Offnet C2B",C94)),"Merchant Payment",IF(ISNUMBER(SEARCH("Offnet B2C",C94)),"Merchant Payment",IF(ISNUMBER(SEARCH("Customer Payment to Small",C94)),"Merchant Payment",IF(ISNUMBER(SEARCH("Payment to Small Business",C94)),"Merchant Payment",IF(ISNUMBER(SEARCH("Sent to",C94)),"Sent to Person",IF(ISNUMBER(SEARCH("Customer Transfer to",C94)),"Sent to Person",IF(ISNUMBER(SEARCH("Business Payment",C94)),"Money In",IF(ISNUMBER(SEARCH("Funds Received",C94)),"Money In",IF(ISNUMBER(SEARCH("Receive International",C94)),"Money In",IF(ISNUMBER(SEARCH("Send Money Reversal",C94)),"Money In",IF(ISNUMBER(SEARCH("Pay Utility Reversal",C94)),"Money In",IF(ISNUMBER(SEARCH("Customer Transfer",C94)),"Money In",IF(ISNUMBER(SEARCH("Ziidi",C94)),"Investment",IF(ISNUMBER(SEARCH("Nabo",C94)),"Investment",IF(ISNUMBER(SEARCH("Paybill Online",C94)),"Pay Bill",IF(ISNUMBER(SEARCH("Pay Bill",C94)),"Pay Bill",IF(ISNUMBER(SEARCH("Spotify",C94)),"Pay Bill",IF(ISNUMBER(SEARCH("M-Shwari",C94)),"Mshwari",IF(ISNUMBER(SEARCH("Mshwari",C94)),"Mshwari",IF(ISNUMBER(SEARCH("Withdrawal charge",C94)),"Fees",IF(ISNUMBER(SEARCH("Customer Withdrawal",C94)),"Fees",IF(ISNUMBER(SEARCH("charge",C94)),"Fees","Other")))))))))))))))))))))))))</f>
        <v>Merchant Payment</v>
      </c>
      <c r="R94" s="1" t="str">
        <f aca="false">TEXT(B94,"MMM YYYY")</f>
        <v>Jan 2026</v>
      </c>
    </row>
    <row r="95" customFormat="false" ht="13.8" hidden="false" customHeight="false" outlineLevel="0" collapsed="false">
      <c r="A95" s="4" t="s">
        <v>225</v>
      </c>
      <c r="B95" s="4" t="s">
        <v>226</v>
      </c>
      <c r="C95" s="4" t="s">
        <v>45</v>
      </c>
      <c r="D95" s="4" t="s">
        <v>18</v>
      </c>
      <c r="E95" s="4"/>
      <c r="F95" s="4" t="n">
        <v>100</v>
      </c>
      <c r="G95" s="4" t="n">
        <v>240</v>
      </c>
      <c r="L95" s="1" t="str">
        <f aca="false">IF(ISNUMBER(SEARCH("Bundle",C95)),"Bundles",IF(ISNUMBER(SEARCH("Airtime",C95)),"Bundles",IF(ISNUMBER(SEARCH("Merchant",C95)),"Merchant Payment",IF(ISNUMBER(SEARCH("Offnet C2B",C95)),"Merchant Payment",IF(ISNUMBER(SEARCH("Offnet B2C",C95)),"Merchant Payment",IF(ISNUMBER(SEARCH("Customer Payment to Small",C95)),"Merchant Payment",IF(ISNUMBER(SEARCH("Payment to Small Business",C95)),"Merchant Payment",IF(ISNUMBER(SEARCH("Sent to",C95)),"Sent to Person",IF(ISNUMBER(SEARCH("Customer Transfer to",C95)),"Sent to Person",IF(ISNUMBER(SEARCH("Business Payment",C95)),"Money In",IF(ISNUMBER(SEARCH("Funds Received",C95)),"Money In",IF(ISNUMBER(SEARCH("Receive International",C95)),"Money In",IF(ISNUMBER(SEARCH("Send Money Reversal",C95)),"Money In",IF(ISNUMBER(SEARCH("Pay Utility Reversal",C95)),"Money In",IF(ISNUMBER(SEARCH("Customer Transfer",C95)),"Money In",IF(ISNUMBER(SEARCH("Ziidi",C95)),"Investment",IF(ISNUMBER(SEARCH("Nabo",C95)),"Investment",IF(ISNUMBER(SEARCH("Paybill Online",C95)),"Pay Bill",IF(ISNUMBER(SEARCH("Pay Bill",C95)),"Pay Bill",IF(ISNUMBER(SEARCH("Spotify",C95)),"Pay Bill",IF(ISNUMBER(SEARCH("M-Shwari",C95)),"Mshwari",IF(ISNUMBER(SEARCH("Mshwari",C95)),"Mshwari",IF(ISNUMBER(SEARCH("Withdrawal charge",C95)),"Fees",IF(ISNUMBER(SEARCH("Customer Withdrawal",C95)),"Fees",IF(ISNUMBER(SEARCH("charge",C95)),"Fees","Other")))))))))))))))))))))))))</f>
        <v>Merchant Payment</v>
      </c>
      <c r="R95" s="1" t="str">
        <f aca="false">TEXT(B95,"MMM YYYY")</f>
        <v>Jan 2026</v>
      </c>
    </row>
    <row r="96" customFormat="false" ht="13.8" hidden="false" customHeight="false" outlineLevel="0" collapsed="false">
      <c r="A96" s="4" t="s">
        <v>227</v>
      </c>
      <c r="B96" s="4" t="s">
        <v>228</v>
      </c>
      <c r="C96" s="4" t="s">
        <v>217</v>
      </c>
      <c r="D96" s="4" t="s">
        <v>18</v>
      </c>
      <c r="E96" s="4"/>
      <c r="F96" s="4" t="n">
        <v>100</v>
      </c>
      <c r="G96" s="4" t="n">
        <v>140</v>
      </c>
      <c r="L96" s="1" t="str">
        <f aca="false">IF(ISNUMBER(SEARCH("Bundle",C96)),"Bundles",IF(ISNUMBER(SEARCH("Airtime",C96)),"Bundles",IF(ISNUMBER(SEARCH("Merchant",C96)),"Merchant Payment",IF(ISNUMBER(SEARCH("Offnet C2B",C96)),"Merchant Payment",IF(ISNUMBER(SEARCH("Offnet B2C",C96)),"Merchant Payment",IF(ISNUMBER(SEARCH("Customer Payment to Small",C96)),"Merchant Payment",IF(ISNUMBER(SEARCH("Payment to Small Business",C96)),"Merchant Payment",IF(ISNUMBER(SEARCH("Sent to",C96)),"Sent to Person",IF(ISNUMBER(SEARCH("Customer Transfer to",C96)),"Sent to Person",IF(ISNUMBER(SEARCH("Business Payment",C96)),"Money In",IF(ISNUMBER(SEARCH("Funds Received",C96)),"Money In",IF(ISNUMBER(SEARCH("Receive International",C96)),"Money In",IF(ISNUMBER(SEARCH("Send Money Reversal",C96)),"Money In",IF(ISNUMBER(SEARCH("Pay Utility Reversal",C96)),"Money In",IF(ISNUMBER(SEARCH("Customer Transfer",C96)),"Money In",IF(ISNUMBER(SEARCH("Ziidi",C96)),"Investment",IF(ISNUMBER(SEARCH("Nabo",C96)),"Investment",IF(ISNUMBER(SEARCH("Paybill Online",C96)),"Pay Bill",IF(ISNUMBER(SEARCH("Pay Bill",C96)),"Pay Bill",IF(ISNUMBER(SEARCH("Spotify",C96)),"Pay Bill",IF(ISNUMBER(SEARCH("M-Shwari",C96)),"Mshwari",IF(ISNUMBER(SEARCH("Mshwari",C96)),"Mshwari",IF(ISNUMBER(SEARCH("Withdrawal charge",C96)),"Fees",IF(ISNUMBER(SEARCH("Customer Withdrawal",C96)),"Fees",IF(ISNUMBER(SEARCH("charge",C96)),"Fees","Other")))))))))))))))))))))))))</f>
        <v>Investment</v>
      </c>
      <c r="R96" s="1" t="str">
        <f aca="false">TEXT(B96,"MMM YYYY")</f>
        <v>Jan 2026</v>
      </c>
    </row>
    <row r="97" customFormat="false" ht="13.8" hidden="false" customHeight="false" outlineLevel="0" collapsed="false">
      <c r="A97" s="4" t="s">
        <v>229</v>
      </c>
      <c r="B97" s="4" t="s">
        <v>230</v>
      </c>
      <c r="C97" s="4" t="s">
        <v>217</v>
      </c>
      <c r="D97" s="4" t="s">
        <v>18</v>
      </c>
      <c r="E97" s="4"/>
      <c r="F97" s="4" t="n">
        <v>100</v>
      </c>
      <c r="G97" s="4" t="n">
        <v>40</v>
      </c>
      <c r="L97" s="1" t="str">
        <f aca="false">IF(ISNUMBER(SEARCH("Bundle",C97)),"Bundles",IF(ISNUMBER(SEARCH("Airtime",C97)),"Bundles",IF(ISNUMBER(SEARCH("Merchant",C97)),"Merchant Payment",IF(ISNUMBER(SEARCH("Offnet C2B",C97)),"Merchant Payment",IF(ISNUMBER(SEARCH("Offnet B2C",C97)),"Merchant Payment",IF(ISNUMBER(SEARCH("Customer Payment to Small",C97)),"Merchant Payment",IF(ISNUMBER(SEARCH("Payment to Small Business",C97)),"Merchant Payment",IF(ISNUMBER(SEARCH("Sent to",C97)),"Sent to Person",IF(ISNUMBER(SEARCH("Customer Transfer to",C97)),"Sent to Person",IF(ISNUMBER(SEARCH("Business Payment",C97)),"Money In",IF(ISNUMBER(SEARCH("Funds Received",C97)),"Money In",IF(ISNUMBER(SEARCH("Receive International",C97)),"Money In",IF(ISNUMBER(SEARCH("Send Money Reversal",C97)),"Money In",IF(ISNUMBER(SEARCH("Pay Utility Reversal",C97)),"Money In",IF(ISNUMBER(SEARCH("Customer Transfer",C97)),"Money In",IF(ISNUMBER(SEARCH("Ziidi",C97)),"Investment",IF(ISNUMBER(SEARCH("Nabo",C97)),"Investment",IF(ISNUMBER(SEARCH("Paybill Online",C97)),"Pay Bill",IF(ISNUMBER(SEARCH("Pay Bill",C97)),"Pay Bill",IF(ISNUMBER(SEARCH("Spotify",C97)),"Pay Bill",IF(ISNUMBER(SEARCH("M-Shwari",C97)),"Mshwari",IF(ISNUMBER(SEARCH("Mshwari",C97)),"Mshwari",IF(ISNUMBER(SEARCH("Withdrawal charge",C97)),"Fees",IF(ISNUMBER(SEARCH("Customer Withdrawal",C97)),"Fees",IF(ISNUMBER(SEARCH("charge",C97)),"Fees","Other")))))))))))))))))))))))))</f>
        <v>Investment</v>
      </c>
      <c r="R97" s="1" t="str">
        <f aca="false">TEXT(B97,"MMM YYYY")</f>
        <v>Jan 2026</v>
      </c>
    </row>
    <row r="98" customFormat="false" ht="13.8" hidden="false" customHeight="false" outlineLevel="0" collapsed="false">
      <c r="A98" s="4" t="s">
        <v>231</v>
      </c>
      <c r="B98" s="4" t="s">
        <v>232</v>
      </c>
      <c r="C98" s="4" t="s">
        <v>29</v>
      </c>
      <c r="D98" s="4" t="s">
        <v>18</v>
      </c>
      <c r="E98" s="4"/>
      <c r="F98" s="4" t="n">
        <v>10</v>
      </c>
      <c r="G98" s="4" t="n">
        <v>30</v>
      </c>
      <c r="L98" s="1" t="str">
        <f aca="false">IF(ISNUMBER(SEARCH("Bundle",C98)),"Bundles",IF(ISNUMBER(SEARCH("Airtime",C98)),"Bundles",IF(ISNUMBER(SEARCH("Merchant",C98)),"Merchant Payment",IF(ISNUMBER(SEARCH("Offnet C2B",C98)),"Merchant Payment",IF(ISNUMBER(SEARCH("Offnet B2C",C98)),"Merchant Payment",IF(ISNUMBER(SEARCH("Customer Payment to Small",C98)),"Merchant Payment",IF(ISNUMBER(SEARCH("Payment to Small Business",C98)),"Merchant Payment",IF(ISNUMBER(SEARCH("Sent to",C98)),"Sent to Person",IF(ISNUMBER(SEARCH("Customer Transfer to",C98)),"Sent to Person",IF(ISNUMBER(SEARCH("Business Payment",C98)),"Money In",IF(ISNUMBER(SEARCH("Funds Received",C98)),"Money In",IF(ISNUMBER(SEARCH("Receive International",C98)),"Money In",IF(ISNUMBER(SEARCH("Send Money Reversal",C98)),"Money In",IF(ISNUMBER(SEARCH("Pay Utility Reversal",C98)),"Money In",IF(ISNUMBER(SEARCH("Customer Transfer",C98)),"Money In",IF(ISNUMBER(SEARCH("Ziidi",C98)),"Investment",IF(ISNUMBER(SEARCH("Nabo",C98)),"Investment",IF(ISNUMBER(SEARCH("Paybill Online",C98)),"Pay Bill",IF(ISNUMBER(SEARCH("Pay Bill",C98)),"Pay Bill",IF(ISNUMBER(SEARCH("Spotify",C98)),"Pay Bill",IF(ISNUMBER(SEARCH("M-Shwari",C98)),"Mshwari",IF(ISNUMBER(SEARCH("Mshwari",C98)),"Mshwari",IF(ISNUMBER(SEARCH("Withdrawal charge",C98)),"Fees",IF(ISNUMBER(SEARCH("Customer Withdrawal",C98)),"Fees",IF(ISNUMBER(SEARCH("charge",C98)),"Fees","Other")))))))))))))))))))))))))</f>
        <v>Bundles</v>
      </c>
      <c r="R98" s="1" t="str">
        <f aca="false">TEXT(B98,"MMM YYYY")</f>
        <v>Jan 2026</v>
      </c>
    </row>
    <row r="99" customFormat="false" ht="13.8" hidden="false" customHeight="false" outlineLevel="0" collapsed="false">
      <c r="A99" s="4" t="s">
        <v>233</v>
      </c>
      <c r="B99" s="4" t="s">
        <v>234</v>
      </c>
      <c r="C99" s="4" t="s">
        <v>29</v>
      </c>
      <c r="D99" s="4" t="s">
        <v>18</v>
      </c>
      <c r="E99" s="4"/>
      <c r="F99" s="4" t="n">
        <v>10</v>
      </c>
      <c r="G99" s="4" t="n">
        <v>20</v>
      </c>
      <c r="L99" s="1" t="str">
        <f aca="false">IF(ISNUMBER(SEARCH("Bundle",C99)),"Bundles",IF(ISNUMBER(SEARCH("Airtime",C99)),"Bundles",IF(ISNUMBER(SEARCH("Merchant",C99)),"Merchant Payment",IF(ISNUMBER(SEARCH("Offnet C2B",C99)),"Merchant Payment",IF(ISNUMBER(SEARCH("Offnet B2C",C99)),"Merchant Payment",IF(ISNUMBER(SEARCH("Customer Payment to Small",C99)),"Merchant Payment",IF(ISNUMBER(SEARCH("Payment to Small Business",C99)),"Merchant Payment",IF(ISNUMBER(SEARCH("Sent to",C99)),"Sent to Person",IF(ISNUMBER(SEARCH("Customer Transfer to",C99)),"Sent to Person",IF(ISNUMBER(SEARCH("Business Payment",C99)),"Money In",IF(ISNUMBER(SEARCH("Funds Received",C99)),"Money In",IF(ISNUMBER(SEARCH("Receive International",C99)),"Money In",IF(ISNUMBER(SEARCH("Send Money Reversal",C99)),"Money In",IF(ISNUMBER(SEARCH("Pay Utility Reversal",C99)),"Money In",IF(ISNUMBER(SEARCH("Customer Transfer",C99)),"Money In",IF(ISNUMBER(SEARCH("Ziidi",C99)),"Investment",IF(ISNUMBER(SEARCH("Nabo",C99)),"Investment",IF(ISNUMBER(SEARCH("Paybill Online",C99)),"Pay Bill",IF(ISNUMBER(SEARCH("Pay Bill",C99)),"Pay Bill",IF(ISNUMBER(SEARCH("Spotify",C99)),"Pay Bill",IF(ISNUMBER(SEARCH("M-Shwari",C99)),"Mshwari",IF(ISNUMBER(SEARCH("Mshwari",C99)),"Mshwari",IF(ISNUMBER(SEARCH("Withdrawal charge",C99)),"Fees",IF(ISNUMBER(SEARCH("Customer Withdrawal",C99)),"Fees",IF(ISNUMBER(SEARCH("charge",C99)),"Fees","Other")))))))))))))))))))))))))</f>
        <v>Bundles</v>
      </c>
      <c r="R99" s="1" t="str">
        <f aca="false">TEXT(B99,"MMM YYYY")</f>
        <v>Jan 2026</v>
      </c>
    </row>
    <row r="100" customFormat="false" ht="13.8" hidden="false" customHeight="false" outlineLevel="0" collapsed="false">
      <c r="A100" s="4" t="s">
        <v>235</v>
      </c>
      <c r="B100" s="4" t="s">
        <v>236</v>
      </c>
      <c r="C100" s="4" t="s">
        <v>192</v>
      </c>
      <c r="D100" s="4" t="s">
        <v>18</v>
      </c>
      <c r="E100" s="4" t="n">
        <v>500</v>
      </c>
      <c r="F100" s="4"/>
      <c r="G100" s="4" t="n">
        <v>520</v>
      </c>
      <c r="L100" s="1" t="str">
        <f aca="false">IF(ISNUMBER(SEARCH("Bundle",C100)),"Bundles",IF(ISNUMBER(SEARCH("Airtime",C100)),"Bundles",IF(ISNUMBER(SEARCH("Merchant",C100)),"Merchant Payment",IF(ISNUMBER(SEARCH("Offnet C2B",C100)),"Merchant Payment",IF(ISNUMBER(SEARCH("Offnet B2C",C100)),"Merchant Payment",IF(ISNUMBER(SEARCH("Customer Payment to Small",C100)),"Merchant Payment",IF(ISNUMBER(SEARCH("Payment to Small Business",C100)),"Merchant Payment",IF(ISNUMBER(SEARCH("Sent to",C100)),"Sent to Person",IF(ISNUMBER(SEARCH("Customer Transfer to",C100)),"Sent to Person",IF(ISNUMBER(SEARCH("Business Payment",C100)),"Money In",IF(ISNUMBER(SEARCH("Funds Received",C100)),"Money In",IF(ISNUMBER(SEARCH("Receive International",C100)),"Money In",IF(ISNUMBER(SEARCH("Send Money Reversal",C100)),"Money In",IF(ISNUMBER(SEARCH("Pay Utility Reversal",C100)),"Money In",IF(ISNUMBER(SEARCH("Customer Transfer",C100)),"Money In",IF(ISNUMBER(SEARCH("Ziidi",C100)),"Investment",IF(ISNUMBER(SEARCH("Nabo",C100)),"Investment",IF(ISNUMBER(SEARCH("Paybill Online",C100)),"Pay Bill",IF(ISNUMBER(SEARCH("Pay Bill",C100)),"Pay Bill",IF(ISNUMBER(SEARCH("Spotify",C100)),"Pay Bill",IF(ISNUMBER(SEARCH("M-Shwari",C100)),"Mshwari",IF(ISNUMBER(SEARCH("Mshwari",C100)),"Mshwari",IF(ISNUMBER(SEARCH("Withdrawal charge",C100)),"Fees",IF(ISNUMBER(SEARCH("Customer Withdrawal",C100)),"Fees",IF(ISNUMBER(SEARCH("charge",C100)),"Fees","Other")))))))))))))))))))))))))</f>
        <v>Mshwari</v>
      </c>
      <c r="R100" s="1" t="str">
        <f aca="false">TEXT(B100,"MMM YYYY")</f>
        <v>Jan 2026</v>
      </c>
    </row>
    <row r="101" customFormat="false" ht="13.8" hidden="false" customHeight="false" outlineLevel="0" collapsed="false">
      <c r="A101" s="4" t="s">
        <v>237</v>
      </c>
      <c r="B101" s="4" t="s">
        <v>238</v>
      </c>
      <c r="C101" s="4" t="s">
        <v>239</v>
      </c>
      <c r="D101" s="4" t="s">
        <v>18</v>
      </c>
      <c r="E101" s="4"/>
      <c r="F101" s="4" t="n">
        <v>7</v>
      </c>
      <c r="G101" s="4" t="n">
        <v>313</v>
      </c>
      <c r="L101" s="1" t="str">
        <f aca="false">IF(ISNUMBER(SEARCH("Bundle",C101)),"Bundles",IF(ISNUMBER(SEARCH("Airtime",C101)),"Bundles",IF(ISNUMBER(SEARCH("Merchant",C101)),"Merchant Payment",IF(ISNUMBER(SEARCH("Offnet C2B",C101)),"Merchant Payment",IF(ISNUMBER(SEARCH("Offnet B2C",C101)),"Merchant Payment",IF(ISNUMBER(SEARCH("Customer Payment to Small",C101)),"Merchant Payment",IF(ISNUMBER(SEARCH("Payment to Small Business",C101)),"Merchant Payment",IF(ISNUMBER(SEARCH("Sent to",C101)),"Sent to Person",IF(ISNUMBER(SEARCH("Customer Transfer to",C101)),"Sent to Person",IF(ISNUMBER(SEARCH("Business Payment",C101)),"Money In",IF(ISNUMBER(SEARCH("Funds Received",C101)),"Money In",IF(ISNUMBER(SEARCH("Receive International",C101)),"Money In",IF(ISNUMBER(SEARCH("Send Money Reversal",C101)),"Money In",IF(ISNUMBER(SEARCH("Pay Utility Reversal",C101)),"Money In",IF(ISNUMBER(SEARCH("Customer Transfer",C101)),"Money In",IF(ISNUMBER(SEARCH("Ziidi",C101)),"Investment",IF(ISNUMBER(SEARCH("Nabo",C101)),"Investment",IF(ISNUMBER(SEARCH("Paybill Online",C101)),"Pay Bill",IF(ISNUMBER(SEARCH("Pay Bill",C101)),"Pay Bill",IF(ISNUMBER(SEARCH("Spotify",C101)),"Pay Bill",IF(ISNUMBER(SEARCH("M-Shwari",C101)),"Mshwari",IF(ISNUMBER(SEARCH("Mshwari",C101)),"Mshwari",IF(ISNUMBER(SEARCH("Withdrawal charge",C101)),"Fees",IF(ISNUMBER(SEARCH("Customer Withdrawal",C101)),"Fees",IF(ISNUMBER(SEARCH("charge",C101)),"Fees","Other")))))))))))))))))))))))))</f>
        <v>Money In</v>
      </c>
      <c r="R101" s="1" t="str">
        <f aca="false">TEXT(B101,"MMM YYYY")</f>
        <v>Jan 2026</v>
      </c>
    </row>
    <row r="102" customFormat="false" ht="13.8" hidden="false" customHeight="false" outlineLevel="0" collapsed="false">
      <c r="A102" s="4" t="s">
        <v>237</v>
      </c>
      <c r="B102" s="4" t="s">
        <v>238</v>
      </c>
      <c r="C102" s="4" t="s">
        <v>240</v>
      </c>
      <c r="D102" s="4" t="s">
        <v>18</v>
      </c>
      <c r="E102" s="4"/>
      <c r="F102" s="4" t="n">
        <v>200</v>
      </c>
      <c r="G102" s="4" t="n">
        <v>320</v>
      </c>
      <c r="L102" s="1" t="str">
        <f aca="false">IF(ISNUMBER(SEARCH("Bundle",C102)),"Bundles",IF(ISNUMBER(SEARCH("Airtime",C102)),"Bundles",IF(ISNUMBER(SEARCH("Merchant",C102)),"Merchant Payment",IF(ISNUMBER(SEARCH("Offnet C2B",C102)),"Merchant Payment",IF(ISNUMBER(SEARCH("Offnet B2C",C102)),"Merchant Payment",IF(ISNUMBER(SEARCH("Customer Payment to Small",C102)),"Merchant Payment",IF(ISNUMBER(SEARCH("Payment to Small Business",C102)),"Merchant Payment",IF(ISNUMBER(SEARCH("Sent to",C102)),"Sent to Person",IF(ISNUMBER(SEARCH("Customer Transfer to",C102)),"Sent to Person",IF(ISNUMBER(SEARCH("Business Payment",C102)),"Money In",IF(ISNUMBER(SEARCH("Funds Received",C102)),"Money In",IF(ISNUMBER(SEARCH("Receive International",C102)),"Money In",IF(ISNUMBER(SEARCH("Send Money Reversal",C102)),"Money In",IF(ISNUMBER(SEARCH("Pay Utility Reversal",C102)),"Money In",IF(ISNUMBER(SEARCH("Customer Transfer",C102)),"Money In",IF(ISNUMBER(SEARCH("Ziidi",C102)),"Investment",IF(ISNUMBER(SEARCH("Nabo",C102)),"Investment",IF(ISNUMBER(SEARCH("Paybill Online",C102)),"Pay Bill",IF(ISNUMBER(SEARCH("Pay Bill",C102)),"Pay Bill",IF(ISNUMBER(SEARCH("Spotify",C102)),"Pay Bill",IF(ISNUMBER(SEARCH("M-Shwari",C102)),"Mshwari",IF(ISNUMBER(SEARCH("Mshwari",C102)),"Mshwari",IF(ISNUMBER(SEARCH("Withdrawal charge",C102)),"Fees",IF(ISNUMBER(SEARCH("Customer Withdrawal",C102)),"Fees",IF(ISNUMBER(SEARCH("charge",C102)),"Fees","Other")))))))))))))))))))))))))</f>
        <v>Merchant Payment</v>
      </c>
      <c r="R102" s="1" t="str">
        <f aca="false">TEXT(B102,"MMM YYYY")</f>
        <v>Jan 2026</v>
      </c>
    </row>
    <row r="103" customFormat="false" ht="13.8" hidden="false" customHeight="false" outlineLevel="0" collapsed="false">
      <c r="A103" s="4" t="s">
        <v>241</v>
      </c>
      <c r="B103" s="4" t="s">
        <v>242</v>
      </c>
      <c r="C103" s="4" t="s">
        <v>243</v>
      </c>
      <c r="D103" s="4" t="s">
        <v>18</v>
      </c>
      <c r="E103" s="4"/>
      <c r="F103" s="4" t="n">
        <v>70</v>
      </c>
      <c r="G103" s="4" t="n">
        <v>243</v>
      </c>
      <c r="L103" s="1" t="str">
        <f aca="false">IF(ISNUMBER(SEARCH("Bundle",C103)),"Bundles",IF(ISNUMBER(SEARCH("Airtime",C103)),"Bundles",IF(ISNUMBER(SEARCH("Merchant",C103)),"Merchant Payment",IF(ISNUMBER(SEARCH("Offnet C2B",C103)),"Merchant Payment",IF(ISNUMBER(SEARCH("Offnet B2C",C103)),"Merchant Payment",IF(ISNUMBER(SEARCH("Customer Payment to Small",C103)),"Merchant Payment",IF(ISNUMBER(SEARCH("Payment to Small Business",C103)),"Merchant Payment",IF(ISNUMBER(SEARCH("Sent to",C103)),"Sent to Person",IF(ISNUMBER(SEARCH("Customer Transfer to",C103)),"Sent to Person",IF(ISNUMBER(SEARCH("Business Payment",C103)),"Money In",IF(ISNUMBER(SEARCH("Funds Received",C103)),"Money In",IF(ISNUMBER(SEARCH("Receive International",C103)),"Money In",IF(ISNUMBER(SEARCH("Send Money Reversal",C103)),"Money In",IF(ISNUMBER(SEARCH("Pay Utility Reversal",C103)),"Money In",IF(ISNUMBER(SEARCH("Customer Transfer",C103)),"Money In",IF(ISNUMBER(SEARCH("Ziidi",C103)),"Investment",IF(ISNUMBER(SEARCH("Nabo",C103)),"Investment",IF(ISNUMBER(SEARCH("Paybill Online",C103)),"Pay Bill",IF(ISNUMBER(SEARCH("Pay Bill",C103)),"Pay Bill",IF(ISNUMBER(SEARCH("Spotify",C103)),"Pay Bill",IF(ISNUMBER(SEARCH("M-Shwari",C103)),"Mshwari",IF(ISNUMBER(SEARCH("Mshwari",C103)),"Mshwari",IF(ISNUMBER(SEARCH("Withdrawal charge",C103)),"Fees",IF(ISNUMBER(SEARCH("Customer Withdrawal",C103)),"Fees",IF(ISNUMBER(SEARCH("charge",C103)),"Fees","Other")))))))))))))))))))))))))</f>
        <v>Merchant Payment</v>
      </c>
      <c r="R103" s="1" t="str">
        <f aca="false">TEXT(B103,"MMM YYYY")</f>
        <v>Jan 2026</v>
      </c>
    </row>
    <row r="104" customFormat="false" ht="13.8" hidden="false" customHeight="false" outlineLevel="0" collapsed="false">
      <c r="A104" s="4" t="s">
        <v>244</v>
      </c>
      <c r="B104" s="4" t="s">
        <v>245</v>
      </c>
      <c r="C104" s="4" t="s">
        <v>239</v>
      </c>
      <c r="D104" s="4" t="s">
        <v>18</v>
      </c>
      <c r="E104" s="4"/>
      <c r="F104" s="4" t="n">
        <v>7</v>
      </c>
      <c r="G104" s="4" t="n">
        <v>96</v>
      </c>
      <c r="L104" s="1" t="str">
        <f aca="false">IF(ISNUMBER(SEARCH("Bundle",C104)),"Bundles",IF(ISNUMBER(SEARCH("Airtime",C104)),"Bundles",IF(ISNUMBER(SEARCH("Merchant",C104)),"Merchant Payment",IF(ISNUMBER(SEARCH("Offnet C2B",C104)),"Merchant Payment",IF(ISNUMBER(SEARCH("Offnet B2C",C104)),"Merchant Payment",IF(ISNUMBER(SEARCH("Customer Payment to Small",C104)),"Merchant Payment",IF(ISNUMBER(SEARCH("Payment to Small Business",C104)),"Merchant Payment",IF(ISNUMBER(SEARCH("Sent to",C104)),"Sent to Person",IF(ISNUMBER(SEARCH("Customer Transfer to",C104)),"Sent to Person",IF(ISNUMBER(SEARCH("Business Payment",C104)),"Money In",IF(ISNUMBER(SEARCH("Funds Received",C104)),"Money In",IF(ISNUMBER(SEARCH("Receive International",C104)),"Money In",IF(ISNUMBER(SEARCH("Send Money Reversal",C104)),"Money In",IF(ISNUMBER(SEARCH("Pay Utility Reversal",C104)),"Money In",IF(ISNUMBER(SEARCH("Customer Transfer",C104)),"Money In",IF(ISNUMBER(SEARCH("Ziidi",C104)),"Investment",IF(ISNUMBER(SEARCH("Nabo",C104)),"Investment",IF(ISNUMBER(SEARCH("Paybill Online",C104)),"Pay Bill",IF(ISNUMBER(SEARCH("Pay Bill",C104)),"Pay Bill",IF(ISNUMBER(SEARCH("Spotify",C104)),"Pay Bill",IF(ISNUMBER(SEARCH("M-Shwari",C104)),"Mshwari",IF(ISNUMBER(SEARCH("Mshwari",C104)),"Mshwari",IF(ISNUMBER(SEARCH("Withdrawal charge",C104)),"Fees",IF(ISNUMBER(SEARCH("Customer Withdrawal",C104)),"Fees",IF(ISNUMBER(SEARCH("charge",C104)),"Fees","Other")))))))))))))))))))))))))</f>
        <v>Money In</v>
      </c>
      <c r="R104" s="1" t="str">
        <f aca="false">TEXT(B104,"MMM YYYY")</f>
        <v>Jan 2026</v>
      </c>
    </row>
    <row r="105" customFormat="false" ht="13.8" hidden="false" customHeight="false" outlineLevel="0" collapsed="false">
      <c r="A105" s="4" t="s">
        <v>244</v>
      </c>
      <c r="B105" s="4" t="s">
        <v>245</v>
      </c>
      <c r="C105" s="4" t="s">
        <v>246</v>
      </c>
      <c r="D105" s="4" t="s">
        <v>18</v>
      </c>
      <c r="E105" s="4"/>
      <c r="F105" s="4" t="n">
        <v>140</v>
      </c>
      <c r="G105" s="4" t="n">
        <v>103</v>
      </c>
      <c r="L105" s="1" t="str">
        <f aca="false">IF(ISNUMBER(SEARCH("Bundle",C105)),"Bundles",IF(ISNUMBER(SEARCH("Airtime",C105)),"Bundles",IF(ISNUMBER(SEARCH("Merchant",C105)),"Merchant Payment",IF(ISNUMBER(SEARCH("Offnet C2B",C105)),"Merchant Payment",IF(ISNUMBER(SEARCH("Offnet B2C",C105)),"Merchant Payment",IF(ISNUMBER(SEARCH("Customer Payment to Small",C105)),"Merchant Payment",IF(ISNUMBER(SEARCH("Payment to Small Business",C105)),"Merchant Payment",IF(ISNUMBER(SEARCH("Sent to",C105)),"Sent to Person",IF(ISNUMBER(SEARCH("Customer Transfer to",C105)),"Sent to Person",IF(ISNUMBER(SEARCH("Business Payment",C105)),"Money In",IF(ISNUMBER(SEARCH("Funds Received",C105)),"Money In",IF(ISNUMBER(SEARCH("Receive International",C105)),"Money In",IF(ISNUMBER(SEARCH("Send Money Reversal",C105)),"Money In",IF(ISNUMBER(SEARCH("Pay Utility Reversal",C105)),"Money In",IF(ISNUMBER(SEARCH("Customer Transfer",C105)),"Money In",IF(ISNUMBER(SEARCH("Ziidi",C105)),"Investment",IF(ISNUMBER(SEARCH("Nabo",C105)),"Investment",IF(ISNUMBER(SEARCH("Paybill Online",C105)),"Pay Bill",IF(ISNUMBER(SEARCH("Pay Bill",C105)),"Pay Bill",IF(ISNUMBER(SEARCH("Spotify",C105)),"Pay Bill",IF(ISNUMBER(SEARCH("M-Shwari",C105)),"Mshwari",IF(ISNUMBER(SEARCH("Mshwari",C105)),"Mshwari",IF(ISNUMBER(SEARCH("Withdrawal charge",C105)),"Fees",IF(ISNUMBER(SEARCH("Customer Withdrawal",C105)),"Fees",IF(ISNUMBER(SEARCH("charge",C105)),"Fees","Other")))))))))))))))))))))))))</f>
        <v>Merchant Payment</v>
      </c>
      <c r="R105" s="1" t="str">
        <f aca="false">TEXT(B105,"MMM YYYY")</f>
        <v>Jan 2026</v>
      </c>
    </row>
    <row r="106" customFormat="false" ht="13.8" hidden="false" customHeight="false" outlineLevel="0" collapsed="false">
      <c r="A106" s="4" t="s">
        <v>247</v>
      </c>
      <c r="B106" s="4" t="s">
        <v>248</v>
      </c>
      <c r="C106" s="4" t="s">
        <v>222</v>
      </c>
      <c r="D106" s="4" t="s">
        <v>18</v>
      </c>
      <c r="E106" s="4"/>
      <c r="F106" s="4" t="n">
        <v>50</v>
      </c>
      <c r="G106" s="4" t="n">
        <v>46</v>
      </c>
      <c r="L106" s="1" t="str">
        <f aca="false">IF(ISNUMBER(SEARCH("Bundle",C106)),"Bundles",IF(ISNUMBER(SEARCH("Airtime",C106)),"Bundles",IF(ISNUMBER(SEARCH("Merchant",C106)),"Merchant Payment",IF(ISNUMBER(SEARCH("Offnet C2B",C106)),"Merchant Payment",IF(ISNUMBER(SEARCH("Offnet B2C",C106)),"Merchant Payment",IF(ISNUMBER(SEARCH("Customer Payment to Small",C106)),"Merchant Payment",IF(ISNUMBER(SEARCH("Payment to Small Business",C106)),"Merchant Payment",IF(ISNUMBER(SEARCH("Sent to",C106)),"Sent to Person",IF(ISNUMBER(SEARCH("Customer Transfer to",C106)),"Sent to Person",IF(ISNUMBER(SEARCH("Business Payment",C106)),"Money In",IF(ISNUMBER(SEARCH("Funds Received",C106)),"Money In",IF(ISNUMBER(SEARCH("Receive International",C106)),"Money In",IF(ISNUMBER(SEARCH("Send Money Reversal",C106)),"Money In",IF(ISNUMBER(SEARCH("Pay Utility Reversal",C106)),"Money In",IF(ISNUMBER(SEARCH("Customer Transfer",C106)),"Money In",IF(ISNUMBER(SEARCH("Ziidi",C106)),"Investment",IF(ISNUMBER(SEARCH("Nabo",C106)),"Investment",IF(ISNUMBER(SEARCH("Paybill Online",C106)),"Pay Bill",IF(ISNUMBER(SEARCH("Pay Bill",C106)),"Pay Bill",IF(ISNUMBER(SEARCH("Spotify",C106)),"Pay Bill",IF(ISNUMBER(SEARCH("M-Shwari",C106)),"Mshwari",IF(ISNUMBER(SEARCH("Mshwari",C106)),"Mshwari",IF(ISNUMBER(SEARCH("Withdrawal charge",C106)),"Fees",IF(ISNUMBER(SEARCH("Customer Withdrawal",C106)),"Fees",IF(ISNUMBER(SEARCH("charge",C106)),"Fees","Other")))))))))))))))))))))))))</f>
        <v>Merchant Payment</v>
      </c>
      <c r="R106" s="1" t="str">
        <f aca="false">TEXT(B106,"MMM YYYY")</f>
        <v>Jan 2026</v>
      </c>
    </row>
    <row r="107" customFormat="false" ht="13.8" hidden="false" customHeight="false" outlineLevel="0" collapsed="false">
      <c r="A107" s="4" t="s">
        <v>249</v>
      </c>
      <c r="B107" s="4" t="s">
        <v>250</v>
      </c>
      <c r="C107" s="4" t="s">
        <v>29</v>
      </c>
      <c r="D107" s="4" t="s">
        <v>18</v>
      </c>
      <c r="E107" s="4"/>
      <c r="F107" s="4" t="n">
        <v>30</v>
      </c>
      <c r="G107" s="4" t="n">
        <v>16</v>
      </c>
      <c r="L107" s="1" t="str">
        <f aca="false">IF(ISNUMBER(SEARCH("Bundle",C107)),"Bundles",IF(ISNUMBER(SEARCH("Airtime",C107)),"Bundles",IF(ISNUMBER(SEARCH("Merchant",C107)),"Merchant Payment",IF(ISNUMBER(SEARCH("Offnet C2B",C107)),"Merchant Payment",IF(ISNUMBER(SEARCH("Offnet B2C",C107)),"Merchant Payment",IF(ISNUMBER(SEARCH("Customer Payment to Small",C107)),"Merchant Payment",IF(ISNUMBER(SEARCH("Payment to Small Business",C107)),"Merchant Payment",IF(ISNUMBER(SEARCH("Sent to",C107)),"Sent to Person",IF(ISNUMBER(SEARCH("Customer Transfer to",C107)),"Sent to Person",IF(ISNUMBER(SEARCH("Business Payment",C107)),"Money In",IF(ISNUMBER(SEARCH("Funds Received",C107)),"Money In",IF(ISNUMBER(SEARCH("Receive International",C107)),"Money In",IF(ISNUMBER(SEARCH("Send Money Reversal",C107)),"Money In",IF(ISNUMBER(SEARCH("Pay Utility Reversal",C107)),"Money In",IF(ISNUMBER(SEARCH("Customer Transfer",C107)),"Money In",IF(ISNUMBER(SEARCH("Ziidi",C107)),"Investment",IF(ISNUMBER(SEARCH("Nabo",C107)),"Investment",IF(ISNUMBER(SEARCH("Paybill Online",C107)),"Pay Bill",IF(ISNUMBER(SEARCH("Pay Bill",C107)),"Pay Bill",IF(ISNUMBER(SEARCH("Spotify",C107)),"Pay Bill",IF(ISNUMBER(SEARCH("M-Shwari",C107)),"Mshwari",IF(ISNUMBER(SEARCH("Mshwari",C107)),"Mshwari",IF(ISNUMBER(SEARCH("Withdrawal charge",C107)),"Fees",IF(ISNUMBER(SEARCH("Customer Withdrawal",C107)),"Fees",IF(ISNUMBER(SEARCH("charge",C107)),"Fees","Other")))))))))))))))))))))))))</f>
        <v>Bundles</v>
      </c>
      <c r="R107" s="1" t="str">
        <f aca="false">TEXT(B107,"MMM YYYY")</f>
        <v>Jan 2026</v>
      </c>
    </row>
    <row r="108" customFormat="false" ht="13.8" hidden="false" customHeight="false" outlineLevel="0" collapsed="false">
      <c r="A108" s="4" t="s">
        <v>251</v>
      </c>
      <c r="B108" s="4" t="s">
        <v>252</v>
      </c>
      <c r="C108" s="4" t="s">
        <v>192</v>
      </c>
      <c r="D108" s="4" t="s">
        <v>18</v>
      </c>
      <c r="E108" s="4" t="n">
        <v>500</v>
      </c>
      <c r="F108" s="4"/>
      <c r="G108" s="4" t="n">
        <v>516</v>
      </c>
      <c r="L108" s="1" t="str">
        <f aca="false">IF(ISNUMBER(SEARCH("Bundle",C108)),"Bundles",IF(ISNUMBER(SEARCH("Airtime",C108)),"Bundles",IF(ISNUMBER(SEARCH("Merchant",C108)),"Merchant Payment",IF(ISNUMBER(SEARCH("Offnet C2B",C108)),"Merchant Payment",IF(ISNUMBER(SEARCH("Offnet B2C",C108)),"Merchant Payment",IF(ISNUMBER(SEARCH("Customer Payment to Small",C108)),"Merchant Payment",IF(ISNUMBER(SEARCH("Payment to Small Business",C108)),"Merchant Payment",IF(ISNUMBER(SEARCH("Sent to",C108)),"Sent to Person",IF(ISNUMBER(SEARCH("Customer Transfer to",C108)),"Sent to Person",IF(ISNUMBER(SEARCH("Business Payment",C108)),"Money In",IF(ISNUMBER(SEARCH("Funds Received",C108)),"Money In",IF(ISNUMBER(SEARCH("Receive International",C108)),"Money In",IF(ISNUMBER(SEARCH("Send Money Reversal",C108)),"Money In",IF(ISNUMBER(SEARCH("Pay Utility Reversal",C108)),"Money In",IF(ISNUMBER(SEARCH("Customer Transfer",C108)),"Money In",IF(ISNUMBER(SEARCH("Ziidi",C108)),"Investment",IF(ISNUMBER(SEARCH("Nabo",C108)),"Investment",IF(ISNUMBER(SEARCH("Paybill Online",C108)),"Pay Bill",IF(ISNUMBER(SEARCH("Pay Bill",C108)),"Pay Bill",IF(ISNUMBER(SEARCH("Spotify",C108)),"Pay Bill",IF(ISNUMBER(SEARCH("M-Shwari",C108)),"Mshwari",IF(ISNUMBER(SEARCH("Mshwari",C108)),"Mshwari",IF(ISNUMBER(SEARCH("Withdrawal charge",C108)),"Fees",IF(ISNUMBER(SEARCH("Customer Withdrawal",C108)),"Fees",IF(ISNUMBER(SEARCH("charge",C108)),"Fees","Other")))))))))))))))))))))))))</f>
        <v>Mshwari</v>
      </c>
      <c r="R108" s="1" t="str">
        <f aca="false">TEXT(B108,"MMM YYYY")</f>
        <v>Jan 2026</v>
      </c>
    </row>
    <row r="109" customFormat="false" ht="13.8" hidden="false" customHeight="false" outlineLevel="0" collapsed="false">
      <c r="A109" s="4" t="s">
        <v>253</v>
      </c>
      <c r="B109" s="4" t="s">
        <v>254</v>
      </c>
      <c r="C109" s="4" t="s">
        <v>29</v>
      </c>
      <c r="D109" s="4" t="s">
        <v>18</v>
      </c>
      <c r="E109" s="4"/>
      <c r="F109" s="4" t="n">
        <v>30</v>
      </c>
      <c r="G109" s="4" t="n">
        <v>486</v>
      </c>
      <c r="L109" s="1" t="str">
        <f aca="false">IF(ISNUMBER(SEARCH("Bundle",C109)),"Bundles",IF(ISNUMBER(SEARCH("Airtime",C109)),"Bundles",IF(ISNUMBER(SEARCH("Merchant",C109)),"Merchant Payment",IF(ISNUMBER(SEARCH("Offnet C2B",C109)),"Merchant Payment",IF(ISNUMBER(SEARCH("Offnet B2C",C109)),"Merchant Payment",IF(ISNUMBER(SEARCH("Customer Payment to Small",C109)),"Merchant Payment",IF(ISNUMBER(SEARCH("Payment to Small Business",C109)),"Merchant Payment",IF(ISNUMBER(SEARCH("Sent to",C109)),"Sent to Person",IF(ISNUMBER(SEARCH("Customer Transfer to",C109)),"Sent to Person",IF(ISNUMBER(SEARCH("Business Payment",C109)),"Money In",IF(ISNUMBER(SEARCH("Funds Received",C109)),"Money In",IF(ISNUMBER(SEARCH("Receive International",C109)),"Money In",IF(ISNUMBER(SEARCH("Send Money Reversal",C109)),"Money In",IF(ISNUMBER(SEARCH("Pay Utility Reversal",C109)),"Money In",IF(ISNUMBER(SEARCH("Customer Transfer",C109)),"Money In",IF(ISNUMBER(SEARCH("Ziidi",C109)),"Investment",IF(ISNUMBER(SEARCH("Nabo",C109)),"Investment",IF(ISNUMBER(SEARCH("Paybill Online",C109)),"Pay Bill",IF(ISNUMBER(SEARCH("Pay Bill",C109)),"Pay Bill",IF(ISNUMBER(SEARCH("Spotify",C109)),"Pay Bill",IF(ISNUMBER(SEARCH("M-Shwari",C109)),"Mshwari",IF(ISNUMBER(SEARCH("Mshwari",C109)),"Mshwari",IF(ISNUMBER(SEARCH("Withdrawal charge",C109)),"Fees",IF(ISNUMBER(SEARCH("Customer Withdrawal",C109)),"Fees",IF(ISNUMBER(SEARCH("charge",C109)),"Fees","Other")))))))))))))))))))))))))</f>
        <v>Bundles</v>
      </c>
      <c r="R109" s="1" t="str">
        <f aca="false">TEXT(B109,"MMM YYYY")</f>
        <v>Jan 2026</v>
      </c>
    </row>
    <row r="110" customFormat="false" ht="13.8" hidden="false" customHeight="false" outlineLevel="0" collapsed="false">
      <c r="A110" s="4" t="s">
        <v>255</v>
      </c>
      <c r="B110" s="4" t="s">
        <v>256</v>
      </c>
      <c r="C110" s="4" t="s">
        <v>29</v>
      </c>
      <c r="D110" s="4" t="s">
        <v>18</v>
      </c>
      <c r="E110" s="4"/>
      <c r="F110" s="4" t="n">
        <v>10</v>
      </c>
      <c r="G110" s="4" t="n">
        <v>476</v>
      </c>
      <c r="L110" s="1" t="str">
        <f aca="false">IF(ISNUMBER(SEARCH("Bundle",C110)),"Bundles",IF(ISNUMBER(SEARCH("Airtime",C110)),"Bundles",IF(ISNUMBER(SEARCH("Merchant",C110)),"Merchant Payment",IF(ISNUMBER(SEARCH("Offnet C2B",C110)),"Merchant Payment",IF(ISNUMBER(SEARCH("Offnet B2C",C110)),"Merchant Payment",IF(ISNUMBER(SEARCH("Customer Payment to Small",C110)),"Merchant Payment",IF(ISNUMBER(SEARCH("Payment to Small Business",C110)),"Merchant Payment",IF(ISNUMBER(SEARCH("Sent to",C110)),"Sent to Person",IF(ISNUMBER(SEARCH("Customer Transfer to",C110)),"Sent to Person",IF(ISNUMBER(SEARCH("Business Payment",C110)),"Money In",IF(ISNUMBER(SEARCH("Funds Received",C110)),"Money In",IF(ISNUMBER(SEARCH("Receive International",C110)),"Money In",IF(ISNUMBER(SEARCH("Send Money Reversal",C110)),"Money In",IF(ISNUMBER(SEARCH("Pay Utility Reversal",C110)),"Money In",IF(ISNUMBER(SEARCH("Customer Transfer",C110)),"Money In",IF(ISNUMBER(SEARCH("Ziidi",C110)),"Investment",IF(ISNUMBER(SEARCH("Nabo",C110)),"Investment",IF(ISNUMBER(SEARCH("Paybill Online",C110)),"Pay Bill",IF(ISNUMBER(SEARCH("Pay Bill",C110)),"Pay Bill",IF(ISNUMBER(SEARCH("Spotify",C110)),"Pay Bill",IF(ISNUMBER(SEARCH("M-Shwari",C110)),"Mshwari",IF(ISNUMBER(SEARCH("Mshwari",C110)),"Mshwari",IF(ISNUMBER(SEARCH("Withdrawal charge",C110)),"Fees",IF(ISNUMBER(SEARCH("Customer Withdrawal",C110)),"Fees",IF(ISNUMBER(SEARCH("charge",C110)),"Fees","Other")))))))))))))))))))))))))</f>
        <v>Bundles</v>
      </c>
      <c r="R110" s="1" t="str">
        <f aca="false">TEXT(B110,"MMM YYYY")</f>
        <v>Jan 2026</v>
      </c>
    </row>
    <row r="111" customFormat="false" ht="13.8" hidden="false" customHeight="false" outlineLevel="0" collapsed="false">
      <c r="A111" s="4" t="s">
        <v>257</v>
      </c>
      <c r="B111" s="4" t="s">
        <v>258</v>
      </c>
      <c r="C111" s="4" t="s">
        <v>29</v>
      </c>
      <c r="D111" s="4" t="s">
        <v>18</v>
      </c>
      <c r="E111" s="4"/>
      <c r="F111" s="4" t="n">
        <v>5</v>
      </c>
      <c r="G111" s="4" t="n">
        <v>471</v>
      </c>
      <c r="L111" s="1" t="str">
        <f aca="false">IF(ISNUMBER(SEARCH("Bundle",C111)),"Bundles",IF(ISNUMBER(SEARCH("Airtime",C111)),"Bundles",IF(ISNUMBER(SEARCH("Merchant",C111)),"Merchant Payment",IF(ISNUMBER(SEARCH("Offnet C2B",C111)),"Merchant Payment",IF(ISNUMBER(SEARCH("Offnet B2C",C111)),"Merchant Payment",IF(ISNUMBER(SEARCH("Customer Payment to Small",C111)),"Merchant Payment",IF(ISNUMBER(SEARCH("Payment to Small Business",C111)),"Merchant Payment",IF(ISNUMBER(SEARCH("Sent to",C111)),"Sent to Person",IF(ISNUMBER(SEARCH("Customer Transfer to",C111)),"Sent to Person",IF(ISNUMBER(SEARCH("Business Payment",C111)),"Money In",IF(ISNUMBER(SEARCH("Funds Received",C111)),"Money In",IF(ISNUMBER(SEARCH("Receive International",C111)),"Money In",IF(ISNUMBER(SEARCH("Send Money Reversal",C111)),"Money In",IF(ISNUMBER(SEARCH("Pay Utility Reversal",C111)),"Money In",IF(ISNUMBER(SEARCH("Customer Transfer",C111)),"Money In",IF(ISNUMBER(SEARCH("Ziidi",C111)),"Investment",IF(ISNUMBER(SEARCH("Nabo",C111)),"Investment",IF(ISNUMBER(SEARCH("Paybill Online",C111)),"Pay Bill",IF(ISNUMBER(SEARCH("Pay Bill",C111)),"Pay Bill",IF(ISNUMBER(SEARCH("Spotify",C111)),"Pay Bill",IF(ISNUMBER(SEARCH("M-Shwari",C111)),"Mshwari",IF(ISNUMBER(SEARCH("Mshwari",C111)),"Mshwari",IF(ISNUMBER(SEARCH("Withdrawal charge",C111)),"Fees",IF(ISNUMBER(SEARCH("Customer Withdrawal",C111)),"Fees",IF(ISNUMBER(SEARCH("charge",C111)),"Fees","Other")))))))))))))))))))))))))</f>
        <v>Bundles</v>
      </c>
      <c r="R111" s="1" t="str">
        <f aca="false">TEXT(B111,"MMM YYYY")</f>
        <v>Jan 2026</v>
      </c>
    </row>
    <row r="112" customFormat="false" ht="13.8" hidden="false" customHeight="false" outlineLevel="0" collapsed="false">
      <c r="A112" s="4" t="s">
        <v>259</v>
      </c>
      <c r="B112" s="4" t="s">
        <v>260</v>
      </c>
      <c r="C112" s="4" t="s">
        <v>192</v>
      </c>
      <c r="D112" s="4" t="s">
        <v>18</v>
      </c>
      <c r="E112" s="4" t="n">
        <v>500</v>
      </c>
      <c r="F112" s="4"/>
      <c r="G112" s="4" t="n">
        <v>971</v>
      </c>
      <c r="L112" s="1" t="str">
        <f aca="false">IF(ISNUMBER(SEARCH("Bundle",C112)),"Bundles",IF(ISNUMBER(SEARCH("Airtime",C112)),"Bundles",IF(ISNUMBER(SEARCH("Merchant",C112)),"Merchant Payment",IF(ISNUMBER(SEARCH("Offnet C2B",C112)),"Merchant Payment",IF(ISNUMBER(SEARCH("Offnet B2C",C112)),"Merchant Payment",IF(ISNUMBER(SEARCH("Customer Payment to Small",C112)),"Merchant Payment",IF(ISNUMBER(SEARCH("Payment to Small Business",C112)),"Merchant Payment",IF(ISNUMBER(SEARCH("Sent to",C112)),"Sent to Person",IF(ISNUMBER(SEARCH("Customer Transfer to",C112)),"Sent to Person",IF(ISNUMBER(SEARCH("Business Payment",C112)),"Money In",IF(ISNUMBER(SEARCH("Funds Received",C112)),"Money In",IF(ISNUMBER(SEARCH("Receive International",C112)),"Money In",IF(ISNUMBER(SEARCH("Send Money Reversal",C112)),"Money In",IF(ISNUMBER(SEARCH("Pay Utility Reversal",C112)),"Money In",IF(ISNUMBER(SEARCH("Customer Transfer",C112)),"Money In",IF(ISNUMBER(SEARCH("Ziidi",C112)),"Investment",IF(ISNUMBER(SEARCH("Nabo",C112)),"Investment",IF(ISNUMBER(SEARCH("Paybill Online",C112)),"Pay Bill",IF(ISNUMBER(SEARCH("Pay Bill",C112)),"Pay Bill",IF(ISNUMBER(SEARCH("Spotify",C112)),"Pay Bill",IF(ISNUMBER(SEARCH("M-Shwari",C112)),"Mshwari",IF(ISNUMBER(SEARCH("Mshwari",C112)),"Mshwari",IF(ISNUMBER(SEARCH("Withdrawal charge",C112)),"Fees",IF(ISNUMBER(SEARCH("Customer Withdrawal",C112)),"Fees",IF(ISNUMBER(SEARCH("charge",C112)),"Fees","Other")))))))))))))))))))))))))</f>
        <v>Mshwari</v>
      </c>
      <c r="R112" s="1" t="str">
        <f aca="false">TEXT(B112,"MMM YYYY")</f>
        <v>Jan 2026</v>
      </c>
    </row>
    <row r="113" customFormat="false" ht="13.8" hidden="false" customHeight="false" outlineLevel="0" collapsed="false">
      <c r="A113" s="4" t="s">
        <v>261</v>
      </c>
      <c r="B113" s="4" t="s">
        <v>262</v>
      </c>
      <c r="C113" s="4" t="s">
        <v>263</v>
      </c>
      <c r="D113" s="4" t="s">
        <v>18</v>
      </c>
      <c r="E113" s="4"/>
      <c r="F113" s="4" t="n">
        <v>490</v>
      </c>
      <c r="G113" s="4" t="n">
        <v>481</v>
      </c>
      <c r="L113" s="1" t="str">
        <f aca="false">IF(ISNUMBER(SEARCH("Bundle",C113)),"Bundles",IF(ISNUMBER(SEARCH("Airtime",C113)),"Bundles",IF(ISNUMBER(SEARCH("Merchant",C113)),"Merchant Payment",IF(ISNUMBER(SEARCH("Offnet C2B",C113)),"Merchant Payment",IF(ISNUMBER(SEARCH("Offnet B2C",C113)),"Merchant Payment",IF(ISNUMBER(SEARCH("Customer Payment to Small",C113)),"Merchant Payment",IF(ISNUMBER(SEARCH("Payment to Small Business",C113)),"Merchant Payment",IF(ISNUMBER(SEARCH("Sent to",C113)),"Sent to Person",IF(ISNUMBER(SEARCH("Customer Transfer to",C113)),"Sent to Person",IF(ISNUMBER(SEARCH("Business Payment",C113)),"Money In",IF(ISNUMBER(SEARCH("Funds Received",C113)),"Money In",IF(ISNUMBER(SEARCH("Receive International",C113)),"Money In",IF(ISNUMBER(SEARCH("Send Money Reversal",C113)),"Money In",IF(ISNUMBER(SEARCH("Pay Utility Reversal",C113)),"Money In",IF(ISNUMBER(SEARCH("Customer Transfer",C113)),"Money In",IF(ISNUMBER(SEARCH("Ziidi",C113)),"Investment",IF(ISNUMBER(SEARCH("Nabo",C113)),"Investment",IF(ISNUMBER(SEARCH("Paybill Online",C113)),"Pay Bill",IF(ISNUMBER(SEARCH("Pay Bill",C113)),"Pay Bill",IF(ISNUMBER(SEARCH("Spotify",C113)),"Pay Bill",IF(ISNUMBER(SEARCH("M-Shwari",C113)),"Mshwari",IF(ISNUMBER(SEARCH("Mshwari",C113)),"Mshwari",IF(ISNUMBER(SEARCH("Withdrawal charge",C113)),"Fees",IF(ISNUMBER(SEARCH("Customer Withdrawal",C113)),"Fees",IF(ISNUMBER(SEARCH("charge",C113)),"Fees","Other")))))))))))))))))))))))))</f>
        <v>Merchant Payment</v>
      </c>
      <c r="R113" s="1" t="str">
        <f aca="false">TEXT(B113,"MMM YYYY")</f>
        <v>Jan 2026</v>
      </c>
    </row>
    <row r="114" customFormat="false" ht="13.8" hidden="false" customHeight="false" outlineLevel="0" collapsed="false">
      <c r="A114" s="4" t="s">
        <v>264</v>
      </c>
      <c r="B114" s="4" t="s">
        <v>265</v>
      </c>
      <c r="C114" s="4" t="s">
        <v>29</v>
      </c>
      <c r="D114" s="4" t="s">
        <v>18</v>
      </c>
      <c r="E114" s="4"/>
      <c r="F114" s="4" t="n">
        <v>30</v>
      </c>
      <c r="G114" s="4" t="n">
        <v>451</v>
      </c>
      <c r="L114" s="1" t="str">
        <f aca="false">IF(ISNUMBER(SEARCH("Bundle",C114)),"Bundles",IF(ISNUMBER(SEARCH("Airtime",C114)),"Bundles",IF(ISNUMBER(SEARCH("Merchant",C114)),"Merchant Payment",IF(ISNUMBER(SEARCH("Offnet C2B",C114)),"Merchant Payment",IF(ISNUMBER(SEARCH("Offnet B2C",C114)),"Merchant Payment",IF(ISNUMBER(SEARCH("Customer Payment to Small",C114)),"Merchant Payment",IF(ISNUMBER(SEARCH("Payment to Small Business",C114)),"Merchant Payment",IF(ISNUMBER(SEARCH("Sent to",C114)),"Sent to Person",IF(ISNUMBER(SEARCH("Customer Transfer to",C114)),"Sent to Person",IF(ISNUMBER(SEARCH("Business Payment",C114)),"Money In",IF(ISNUMBER(SEARCH("Funds Received",C114)),"Money In",IF(ISNUMBER(SEARCH("Receive International",C114)),"Money In",IF(ISNUMBER(SEARCH("Send Money Reversal",C114)),"Money In",IF(ISNUMBER(SEARCH("Pay Utility Reversal",C114)),"Money In",IF(ISNUMBER(SEARCH("Customer Transfer",C114)),"Money In",IF(ISNUMBER(SEARCH("Ziidi",C114)),"Investment",IF(ISNUMBER(SEARCH("Nabo",C114)),"Investment",IF(ISNUMBER(SEARCH("Paybill Online",C114)),"Pay Bill",IF(ISNUMBER(SEARCH("Pay Bill",C114)),"Pay Bill",IF(ISNUMBER(SEARCH("Spotify",C114)),"Pay Bill",IF(ISNUMBER(SEARCH("M-Shwari",C114)),"Mshwari",IF(ISNUMBER(SEARCH("Mshwari",C114)),"Mshwari",IF(ISNUMBER(SEARCH("Withdrawal charge",C114)),"Fees",IF(ISNUMBER(SEARCH("Customer Withdrawal",C114)),"Fees",IF(ISNUMBER(SEARCH("charge",C114)),"Fees","Other")))))))))))))))))))))))))</f>
        <v>Bundles</v>
      </c>
      <c r="R114" s="1" t="str">
        <f aca="false">TEXT(B114,"MMM YYYY")</f>
        <v>Jan 2026</v>
      </c>
    </row>
    <row r="115" customFormat="false" ht="13.8" hidden="false" customHeight="false" outlineLevel="0" collapsed="false">
      <c r="A115" s="4" t="s">
        <v>266</v>
      </c>
      <c r="B115" s="4" t="s">
        <v>267</v>
      </c>
      <c r="C115" s="4" t="s">
        <v>29</v>
      </c>
      <c r="D115" s="4" t="s">
        <v>18</v>
      </c>
      <c r="E115" s="4"/>
      <c r="F115" s="4" t="n">
        <v>10</v>
      </c>
      <c r="G115" s="4" t="n">
        <v>441</v>
      </c>
      <c r="L115" s="1" t="str">
        <f aca="false">IF(ISNUMBER(SEARCH("Bundle",C115)),"Bundles",IF(ISNUMBER(SEARCH("Airtime",C115)),"Bundles",IF(ISNUMBER(SEARCH("Merchant",C115)),"Merchant Payment",IF(ISNUMBER(SEARCH("Offnet C2B",C115)),"Merchant Payment",IF(ISNUMBER(SEARCH("Offnet B2C",C115)),"Merchant Payment",IF(ISNUMBER(SEARCH("Customer Payment to Small",C115)),"Merchant Payment",IF(ISNUMBER(SEARCH("Payment to Small Business",C115)),"Merchant Payment",IF(ISNUMBER(SEARCH("Sent to",C115)),"Sent to Person",IF(ISNUMBER(SEARCH("Customer Transfer to",C115)),"Sent to Person",IF(ISNUMBER(SEARCH("Business Payment",C115)),"Money In",IF(ISNUMBER(SEARCH("Funds Received",C115)),"Money In",IF(ISNUMBER(SEARCH("Receive International",C115)),"Money In",IF(ISNUMBER(SEARCH("Send Money Reversal",C115)),"Money In",IF(ISNUMBER(SEARCH("Pay Utility Reversal",C115)),"Money In",IF(ISNUMBER(SEARCH("Customer Transfer",C115)),"Money In",IF(ISNUMBER(SEARCH("Ziidi",C115)),"Investment",IF(ISNUMBER(SEARCH("Nabo",C115)),"Investment",IF(ISNUMBER(SEARCH("Paybill Online",C115)),"Pay Bill",IF(ISNUMBER(SEARCH("Pay Bill",C115)),"Pay Bill",IF(ISNUMBER(SEARCH("Spotify",C115)),"Pay Bill",IF(ISNUMBER(SEARCH("M-Shwari",C115)),"Mshwari",IF(ISNUMBER(SEARCH("Mshwari",C115)),"Mshwari",IF(ISNUMBER(SEARCH("Withdrawal charge",C115)),"Fees",IF(ISNUMBER(SEARCH("Customer Withdrawal",C115)),"Fees",IF(ISNUMBER(SEARCH("charge",C115)),"Fees","Other")))))))))))))))))))))))))</f>
        <v>Bundles</v>
      </c>
      <c r="R115" s="1" t="str">
        <f aca="false">TEXT(B115,"MMM YYYY")</f>
        <v>Jan 2026</v>
      </c>
    </row>
    <row r="116" customFormat="false" ht="13.8" hidden="false" customHeight="false" outlineLevel="0" collapsed="false">
      <c r="A116" s="4" t="s">
        <v>268</v>
      </c>
      <c r="B116" s="4" t="s">
        <v>269</v>
      </c>
      <c r="C116" s="4" t="s">
        <v>177</v>
      </c>
      <c r="D116" s="4" t="s">
        <v>18</v>
      </c>
      <c r="E116" s="4" t="n">
        <v>3000</v>
      </c>
      <c r="F116" s="4"/>
      <c r="G116" s="4" t="n">
        <v>3441</v>
      </c>
      <c r="L116" s="1" t="str">
        <f aca="false">IF(ISNUMBER(SEARCH("Bundle",C116)),"Bundles",IF(ISNUMBER(SEARCH("Airtime",C116)),"Bundles",IF(ISNUMBER(SEARCH("Merchant",C116)),"Merchant Payment",IF(ISNUMBER(SEARCH("Offnet C2B",C116)),"Merchant Payment",IF(ISNUMBER(SEARCH("Offnet B2C",C116)),"Merchant Payment",IF(ISNUMBER(SEARCH("Customer Payment to Small",C116)),"Merchant Payment",IF(ISNUMBER(SEARCH("Payment to Small Business",C116)),"Merchant Payment",IF(ISNUMBER(SEARCH("Sent to",C116)),"Sent to Person",IF(ISNUMBER(SEARCH("Customer Transfer to",C116)),"Sent to Person",IF(ISNUMBER(SEARCH("Business Payment",C116)),"Money In",IF(ISNUMBER(SEARCH("Funds Received",C116)),"Money In",IF(ISNUMBER(SEARCH("Receive International",C116)),"Money In",IF(ISNUMBER(SEARCH("Send Money Reversal",C116)),"Money In",IF(ISNUMBER(SEARCH("Pay Utility Reversal",C116)),"Money In",IF(ISNUMBER(SEARCH("Customer Transfer",C116)),"Money In",IF(ISNUMBER(SEARCH("Ziidi",C116)),"Investment",IF(ISNUMBER(SEARCH("Nabo",C116)),"Investment",IF(ISNUMBER(SEARCH("Paybill Online",C116)),"Pay Bill",IF(ISNUMBER(SEARCH("Pay Bill",C116)),"Pay Bill",IF(ISNUMBER(SEARCH("Spotify",C116)),"Pay Bill",IF(ISNUMBER(SEARCH("M-Shwari",C116)),"Mshwari",IF(ISNUMBER(SEARCH("Mshwari",C116)),"Mshwari",IF(ISNUMBER(SEARCH("Withdrawal charge",C116)),"Fees",IF(ISNUMBER(SEARCH("Customer Withdrawal",C116)),"Fees",IF(ISNUMBER(SEARCH("charge",C116)),"Fees","Other")))))))))))))))))))))))))</f>
        <v>Money In</v>
      </c>
      <c r="R116" s="1" t="str">
        <f aca="false">TEXT(B116,"MMM YYYY")</f>
        <v>Jan 2026</v>
      </c>
    </row>
    <row r="117" customFormat="false" ht="13.8" hidden="false" customHeight="false" outlineLevel="0" collapsed="false">
      <c r="A117" s="4" t="s">
        <v>270</v>
      </c>
      <c r="B117" s="4" t="s">
        <v>271</v>
      </c>
      <c r="C117" s="4" t="s">
        <v>17</v>
      </c>
      <c r="D117" s="4" t="s">
        <v>18</v>
      </c>
      <c r="E117" s="4"/>
      <c r="F117" s="4" t="n">
        <v>20</v>
      </c>
      <c r="G117" s="4" t="n">
        <v>3421</v>
      </c>
      <c r="L117" s="1" t="str">
        <f aca="false">IF(ISNUMBER(SEARCH("Bundle",C117)),"Bundles",IF(ISNUMBER(SEARCH("Airtime",C117)),"Bundles",IF(ISNUMBER(SEARCH("Merchant",C117)),"Merchant Payment",IF(ISNUMBER(SEARCH("Offnet C2B",C117)),"Merchant Payment",IF(ISNUMBER(SEARCH("Offnet B2C",C117)),"Merchant Payment",IF(ISNUMBER(SEARCH("Customer Payment to Small",C117)),"Merchant Payment",IF(ISNUMBER(SEARCH("Payment to Small Business",C117)),"Merchant Payment",IF(ISNUMBER(SEARCH("Sent to",C117)),"Sent to Person",IF(ISNUMBER(SEARCH("Customer Transfer to",C117)),"Sent to Person",IF(ISNUMBER(SEARCH("Business Payment",C117)),"Money In",IF(ISNUMBER(SEARCH("Funds Received",C117)),"Money In",IF(ISNUMBER(SEARCH("Receive International",C117)),"Money In",IF(ISNUMBER(SEARCH("Send Money Reversal",C117)),"Money In",IF(ISNUMBER(SEARCH("Pay Utility Reversal",C117)),"Money In",IF(ISNUMBER(SEARCH("Customer Transfer",C117)),"Money In",IF(ISNUMBER(SEARCH("Ziidi",C117)),"Investment",IF(ISNUMBER(SEARCH("Nabo",C117)),"Investment",IF(ISNUMBER(SEARCH("Paybill Online",C117)),"Pay Bill",IF(ISNUMBER(SEARCH("Pay Bill",C117)),"Pay Bill",IF(ISNUMBER(SEARCH("Spotify",C117)),"Pay Bill",IF(ISNUMBER(SEARCH("M-Shwari",C117)),"Mshwari",IF(ISNUMBER(SEARCH("Mshwari",C117)),"Mshwari",IF(ISNUMBER(SEARCH("Withdrawal charge",C117)),"Fees",IF(ISNUMBER(SEARCH("Customer Withdrawal",C117)),"Fees",IF(ISNUMBER(SEARCH("charge",C117)),"Fees","Other")))))))))))))))))))))))))</f>
        <v>Bundles</v>
      </c>
      <c r="R117" s="1" t="str">
        <f aca="false">TEXT(B117,"MMM YYYY")</f>
        <v>Jan 2026</v>
      </c>
    </row>
    <row r="118" customFormat="false" ht="13.8" hidden="false" customHeight="false" outlineLevel="0" collapsed="false">
      <c r="A118" s="4" t="s">
        <v>272</v>
      </c>
      <c r="B118" s="4" t="s">
        <v>273</v>
      </c>
      <c r="C118" s="4" t="s">
        <v>29</v>
      </c>
      <c r="D118" s="4" t="s">
        <v>18</v>
      </c>
      <c r="E118" s="4"/>
      <c r="F118" s="4" t="n">
        <v>20</v>
      </c>
      <c r="G118" s="4" t="n">
        <v>3401</v>
      </c>
      <c r="L118" s="1" t="str">
        <f aca="false">IF(ISNUMBER(SEARCH("Bundle",C118)),"Bundles",IF(ISNUMBER(SEARCH("Airtime",C118)),"Bundles",IF(ISNUMBER(SEARCH("Merchant",C118)),"Merchant Payment",IF(ISNUMBER(SEARCH("Offnet C2B",C118)),"Merchant Payment",IF(ISNUMBER(SEARCH("Offnet B2C",C118)),"Merchant Payment",IF(ISNUMBER(SEARCH("Customer Payment to Small",C118)),"Merchant Payment",IF(ISNUMBER(SEARCH("Payment to Small Business",C118)),"Merchant Payment",IF(ISNUMBER(SEARCH("Sent to",C118)),"Sent to Person",IF(ISNUMBER(SEARCH("Customer Transfer to",C118)),"Sent to Person",IF(ISNUMBER(SEARCH("Business Payment",C118)),"Money In",IF(ISNUMBER(SEARCH("Funds Received",C118)),"Money In",IF(ISNUMBER(SEARCH("Receive International",C118)),"Money In",IF(ISNUMBER(SEARCH("Send Money Reversal",C118)),"Money In",IF(ISNUMBER(SEARCH("Pay Utility Reversal",C118)),"Money In",IF(ISNUMBER(SEARCH("Customer Transfer",C118)),"Money In",IF(ISNUMBER(SEARCH("Ziidi",C118)),"Investment",IF(ISNUMBER(SEARCH("Nabo",C118)),"Investment",IF(ISNUMBER(SEARCH("Paybill Online",C118)),"Pay Bill",IF(ISNUMBER(SEARCH("Pay Bill",C118)),"Pay Bill",IF(ISNUMBER(SEARCH("Spotify",C118)),"Pay Bill",IF(ISNUMBER(SEARCH("M-Shwari",C118)),"Mshwari",IF(ISNUMBER(SEARCH("Mshwari",C118)),"Mshwari",IF(ISNUMBER(SEARCH("Withdrawal charge",C118)),"Fees",IF(ISNUMBER(SEARCH("Customer Withdrawal",C118)),"Fees",IF(ISNUMBER(SEARCH("charge",C118)),"Fees","Other")))))))))))))))))))))))))</f>
        <v>Bundles</v>
      </c>
      <c r="R118" s="1" t="str">
        <f aca="false">TEXT(B118,"MMM YYYY")</f>
        <v>Jan 2026</v>
      </c>
    </row>
    <row r="119" customFormat="false" ht="13.8" hidden="false" customHeight="false" outlineLevel="0" collapsed="false">
      <c r="A119" s="4" t="s">
        <v>274</v>
      </c>
      <c r="B119" s="4" t="s">
        <v>275</v>
      </c>
      <c r="C119" s="4" t="s">
        <v>29</v>
      </c>
      <c r="D119" s="4" t="s">
        <v>18</v>
      </c>
      <c r="E119" s="4"/>
      <c r="F119" s="4" t="n">
        <v>10</v>
      </c>
      <c r="G119" s="4" t="n">
        <v>3391</v>
      </c>
      <c r="L119" s="1" t="str">
        <f aca="false">IF(ISNUMBER(SEARCH("Bundle",C119)),"Bundles",IF(ISNUMBER(SEARCH("Airtime",C119)),"Bundles",IF(ISNUMBER(SEARCH("Merchant",C119)),"Merchant Payment",IF(ISNUMBER(SEARCH("Offnet C2B",C119)),"Merchant Payment",IF(ISNUMBER(SEARCH("Offnet B2C",C119)),"Merchant Payment",IF(ISNUMBER(SEARCH("Customer Payment to Small",C119)),"Merchant Payment",IF(ISNUMBER(SEARCH("Payment to Small Business",C119)),"Merchant Payment",IF(ISNUMBER(SEARCH("Sent to",C119)),"Sent to Person",IF(ISNUMBER(SEARCH("Customer Transfer to",C119)),"Sent to Person",IF(ISNUMBER(SEARCH("Business Payment",C119)),"Money In",IF(ISNUMBER(SEARCH("Funds Received",C119)),"Money In",IF(ISNUMBER(SEARCH("Receive International",C119)),"Money In",IF(ISNUMBER(SEARCH("Send Money Reversal",C119)),"Money In",IF(ISNUMBER(SEARCH("Pay Utility Reversal",C119)),"Money In",IF(ISNUMBER(SEARCH("Customer Transfer",C119)),"Money In",IF(ISNUMBER(SEARCH("Ziidi",C119)),"Investment",IF(ISNUMBER(SEARCH("Nabo",C119)),"Investment",IF(ISNUMBER(SEARCH("Paybill Online",C119)),"Pay Bill",IF(ISNUMBER(SEARCH("Pay Bill",C119)),"Pay Bill",IF(ISNUMBER(SEARCH("Spotify",C119)),"Pay Bill",IF(ISNUMBER(SEARCH("M-Shwari",C119)),"Mshwari",IF(ISNUMBER(SEARCH("Mshwari",C119)),"Mshwari",IF(ISNUMBER(SEARCH("Withdrawal charge",C119)),"Fees",IF(ISNUMBER(SEARCH("Customer Withdrawal",C119)),"Fees",IF(ISNUMBER(SEARCH("charge",C119)),"Fees","Other")))))))))))))))))))))))))</f>
        <v>Bundles</v>
      </c>
      <c r="R119" s="1" t="str">
        <f aca="false">TEXT(B119,"MMM YYYY")</f>
        <v>Jan 2026</v>
      </c>
    </row>
    <row r="120" customFormat="false" ht="13.8" hidden="false" customHeight="false" outlineLevel="0" collapsed="false">
      <c r="A120" s="4" t="s">
        <v>276</v>
      </c>
      <c r="B120" s="4" t="s">
        <v>277</v>
      </c>
      <c r="C120" s="4" t="s">
        <v>29</v>
      </c>
      <c r="D120" s="4" t="s">
        <v>18</v>
      </c>
      <c r="E120" s="4"/>
      <c r="F120" s="4" t="n">
        <v>20</v>
      </c>
      <c r="G120" s="4" t="n">
        <v>3371</v>
      </c>
      <c r="L120" s="1" t="str">
        <f aca="false">IF(ISNUMBER(SEARCH("Bundle",C120)),"Bundles",IF(ISNUMBER(SEARCH("Airtime",C120)),"Bundles",IF(ISNUMBER(SEARCH("Merchant",C120)),"Merchant Payment",IF(ISNUMBER(SEARCH("Offnet C2B",C120)),"Merchant Payment",IF(ISNUMBER(SEARCH("Offnet B2C",C120)),"Merchant Payment",IF(ISNUMBER(SEARCH("Customer Payment to Small",C120)),"Merchant Payment",IF(ISNUMBER(SEARCH("Payment to Small Business",C120)),"Merchant Payment",IF(ISNUMBER(SEARCH("Sent to",C120)),"Sent to Person",IF(ISNUMBER(SEARCH("Customer Transfer to",C120)),"Sent to Person",IF(ISNUMBER(SEARCH("Business Payment",C120)),"Money In",IF(ISNUMBER(SEARCH("Funds Received",C120)),"Money In",IF(ISNUMBER(SEARCH("Receive International",C120)),"Money In",IF(ISNUMBER(SEARCH("Send Money Reversal",C120)),"Money In",IF(ISNUMBER(SEARCH("Pay Utility Reversal",C120)),"Money In",IF(ISNUMBER(SEARCH("Customer Transfer",C120)),"Money In",IF(ISNUMBER(SEARCH("Ziidi",C120)),"Investment",IF(ISNUMBER(SEARCH("Nabo",C120)),"Investment",IF(ISNUMBER(SEARCH("Paybill Online",C120)),"Pay Bill",IF(ISNUMBER(SEARCH("Pay Bill",C120)),"Pay Bill",IF(ISNUMBER(SEARCH("Spotify",C120)),"Pay Bill",IF(ISNUMBER(SEARCH("M-Shwari",C120)),"Mshwari",IF(ISNUMBER(SEARCH("Mshwari",C120)),"Mshwari",IF(ISNUMBER(SEARCH("Withdrawal charge",C120)),"Fees",IF(ISNUMBER(SEARCH("Customer Withdrawal",C120)),"Fees",IF(ISNUMBER(SEARCH("charge",C120)),"Fees","Other")))))))))))))))))))))))))</f>
        <v>Bundles</v>
      </c>
      <c r="R120" s="1" t="str">
        <f aca="false">TEXT(B120,"MMM YYYY")</f>
        <v>Jan 2026</v>
      </c>
    </row>
    <row r="121" customFormat="false" ht="13.8" hidden="false" customHeight="false" outlineLevel="0" collapsed="false">
      <c r="A121" s="4" t="s">
        <v>278</v>
      </c>
      <c r="B121" s="4" t="s">
        <v>279</v>
      </c>
      <c r="C121" s="4" t="s">
        <v>29</v>
      </c>
      <c r="D121" s="4" t="s">
        <v>18</v>
      </c>
      <c r="E121" s="4"/>
      <c r="F121" s="4" t="n">
        <v>10</v>
      </c>
      <c r="G121" s="4" t="n">
        <v>3361</v>
      </c>
      <c r="L121" s="1" t="str">
        <f aca="false">IF(ISNUMBER(SEARCH("Bundle",C121)),"Bundles",IF(ISNUMBER(SEARCH("Airtime",C121)),"Bundles",IF(ISNUMBER(SEARCH("Merchant",C121)),"Merchant Payment",IF(ISNUMBER(SEARCH("Offnet C2B",C121)),"Merchant Payment",IF(ISNUMBER(SEARCH("Offnet B2C",C121)),"Merchant Payment",IF(ISNUMBER(SEARCH("Customer Payment to Small",C121)),"Merchant Payment",IF(ISNUMBER(SEARCH("Payment to Small Business",C121)),"Merchant Payment",IF(ISNUMBER(SEARCH("Sent to",C121)),"Sent to Person",IF(ISNUMBER(SEARCH("Customer Transfer to",C121)),"Sent to Person",IF(ISNUMBER(SEARCH("Business Payment",C121)),"Money In",IF(ISNUMBER(SEARCH("Funds Received",C121)),"Money In",IF(ISNUMBER(SEARCH("Receive International",C121)),"Money In",IF(ISNUMBER(SEARCH("Send Money Reversal",C121)),"Money In",IF(ISNUMBER(SEARCH("Pay Utility Reversal",C121)),"Money In",IF(ISNUMBER(SEARCH("Customer Transfer",C121)),"Money In",IF(ISNUMBER(SEARCH("Ziidi",C121)),"Investment",IF(ISNUMBER(SEARCH("Nabo",C121)),"Investment",IF(ISNUMBER(SEARCH("Paybill Online",C121)),"Pay Bill",IF(ISNUMBER(SEARCH("Pay Bill",C121)),"Pay Bill",IF(ISNUMBER(SEARCH("Spotify",C121)),"Pay Bill",IF(ISNUMBER(SEARCH("M-Shwari",C121)),"Mshwari",IF(ISNUMBER(SEARCH("Mshwari",C121)),"Mshwari",IF(ISNUMBER(SEARCH("Withdrawal charge",C121)),"Fees",IF(ISNUMBER(SEARCH("Customer Withdrawal",C121)),"Fees",IF(ISNUMBER(SEARCH("charge",C121)),"Fees","Other")))))))))))))))))))))))))</f>
        <v>Bundles</v>
      </c>
      <c r="R121" s="1" t="str">
        <f aca="false">TEXT(B121,"MMM YYYY")</f>
        <v>Jan 2026</v>
      </c>
    </row>
    <row r="122" customFormat="false" ht="13.8" hidden="false" customHeight="false" outlineLevel="0" collapsed="false">
      <c r="A122" s="4" t="s">
        <v>280</v>
      </c>
      <c r="B122" s="4" t="s">
        <v>281</v>
      </c>
      <c r="C122" s="4" t="s">
        <v>29</v>
      </c>
      <c r="D122" s="4" t="s">
        <v>18</v>
      </c>
      <c r="E122" s="4"/>
      <c r="F122" s="4" t="n">
        <v>10</v>
      </c>
      <c r="G122" s="4" t="n">
        <v>3351</v>
      </c>
      <c r="L122" s="1" t="str">
        <f aca="false">IF(ISNUMBER(SEARCH("Bundle",C122)),"Bundles",IF(ISNUMBER(SEARCH("Airtime",C122)),"Bundles",IF(ISNUMBER(SEARCH("Merchant",C122)),"Merchant Payment",IF(ISNUMBER(SEARCH("Offnet C2B",C122)),"Merchant Payment",IF(ISNUMBER(SEARCH("Offnet B2C",C122)),"Merchant Payment",IF(ISNUMBER(SEARCH("Customer Payment to Small",C122)),"Merchant Payment",IF(ISNUMBER(SEARCH("Payment to Small Business",C122)),"Merchant Payment",IF(ISNUMBER(SEARCH("Sent to",C122)),"Sent to Person",IF(ISNUMBER(SEARCH("Customer Transfer to",C122)),"Sent to Person",IF(ISNUMBER(SEARCH("Business Payment",C122)),"Money In",IF(ISNUMBER(SEARCH("Funds Received",C122)),"Money In",IF(ISNUMBER(SEARCH("Receive International",C122)),"Money In",IF(ISNUMBER(SEARCH("Send Money Reversal",C122)),"Money In",IF(ISNUMBER(SEARCH("Pay Utility Reversal",C122)),"Money In",IF(ISNUMBER(SEARCH("Customer Transfer",C122)),"Money In",IF(ISNUMBER(SEARCH("Ziidi",C122)),"Investment",IF(ISNUMBER(SEARCH("Nabo",C122)),"Investment",IF(ISNUMBER(SEARCH("Paybill Online",C122)),"Pay Bill",IF(ISNUMBER(SEARCH("Pay Bill",C122)),"Pay Bill",IF(ISNUMBER(SEARCH("Spotify",C122)),"Pay Bill",IF(ISNUMBER(SEARCH("M-Shwari",C122)),"Mshwari",IF(ISNUMBER(SEARCH("Mshwari",C122)),"Mshwari",IF(ISNUMBER(SEARCH("Withdrawal charge",C122)),"Fees",IF(ISNUMBER(SEARCH("Customer Withdrawal",C122)),"Fees",IF(ISNUMBER(SEARCH("charge",C122)),"Fees","Other")))))))))))))))))))))))))</f>
        <v>Bundles</v>
      </c>
      <c r="R122" s="1" t="str">
        <f aca="false">TEXT(B122,"MMM YYYY")</f>
        <v>Jan 2026</v>
      </c>
    </row>
    <row r="123" customFormat="false" ht="13.8" hidden="false" customHeight="false" outlineLevel="0" collapsed="false">
      <c r="A123" s="4" t="s">
        <v>282</v>
      </c>
      <c r="B123" s="4" t="s">
        <v>283</v>
      </c>
      <c r="C123" s="4" t="s">
        <v>29</v>
      </c>
      <c r="D123" s="4" t="s">
        <v>18</v>
      </c>
      <c r="E123" s="4"/>
      <c r="F123" s="4" t="n">
        <v>10</v>
      </c>
      <c r="G123" s="4" t="n">
        <v>3341</v>
      </c>
      <c r="L123" s="1" t="str">
        <f aca="false">IF(ISNUMBER(SEARCH("Bundle",C123)),"Bundles",IF(ISNUMBER(SEARCH("Airtime",C123)),"Bundles",IF(ISNUMBER(SEARCH("Merchant",C123)),"Merchant Payment",IF(ISNUMBER(SEARCH("Offnet C2B",C123)),"Merchant Payment",IF(ISNUMBER(SEARCH("Offnet B2C",C123)),"Merchant Payment",IF(ISNUMBER(SEARCH("Customer Payment to Small",C123)),"Merchant Payment",IF(ISNUMBER(SEARCH("Payment to Small Business",C123)),"Merchant Payment",IF(ISNUMBER(SEARCH("Sent to",C123)),"Sent to Person",IF(ISNUMBER(SEARCH("Customer Transfer to",C123)),"Sent to Person",IF(ISNUMBER(SEARCH("Business Payment",C123)),"Money In",IF(ISNUMBER(SEARCH("Funds Received",C123)),"Money In",IF(ISNUMBER(SEARCH("Receive International",C123)),"Money In",IF(ISNUMBER(SEARCH("Send Money Reversal",C123)),"Money In",IF(ISNUMBER(SEARCH("Pay Utility Reversal",C123)),"Money In",IF(ISNUMBER(SEARCH("Customer Transfer",C123)),"Money In",IF(ISNUMBER(SEARCH("Ziidi",C123)),"Investment",IF(ISNUMBER(SEARCH("Nabo",C123)),"Investment",IF(ISNUMBER(SEARCH("Paybill Online",C123)),"Pay Bill",IF(ISNUMBER(SEARCH("Pay Bill",C123)),"Pay Bill",IF(ISNUMBER(SEARCH("Spotify",C123)),"Pay Bill",IF(ISNUMBER(SEARCH("M-Shwari",C123)),"Mshwari",IF(ISNUMBER(SEARCH("Mshwari",C123)),"Mshwari",IF(ISNUMBER(SEARCH("Withdrawal charge",C123)),"Fees",IF(ISNUMBER(SEARCH("Customer Withdrawal",C123)),"Fees",IF(ISNUMBER(SEARCH("charge",C123)),"Fees","Other")))))))))))))))))))))))))</f>
        <v>Bundles</v>
      </c>
      <c r="R123" s="1" t="str">
        <f aca="false">TEXT(B123,"MMM YYYY")</f>
        <v>Jan 2026</v>
      </c>
    </row>
    <row r="124" customFormat="false" ht="13.8" hidden="false" customHeight="false" outlineLevel="0" collapsed="false">
      <c r="A124" s="4" t="s">
        <v>284</v>
      </c>
      <c r="B124" s="4" t="s">
        <v>285</v>
      </c>
      <c r="C124" s="4" t="s">
        <v>17</v>
      </c>
      <c r="D124" s="4" t="s">
        <v>18</v>
      </c>
      <c r="E124" s="4"/>
      <c r="F124" s="4" t="n">
        <v>20</v>
      </c>
      <c r="G124" s="4" t="n">
        <v>3321</v>
      </c>
      <c r="L124" s="1" t="str">
        <f aca="false">IF(ISNUMBER(SEARCH("Bundle",C124)),"Bundles",IF(ISNUMBER(SEARCH("Airtime",C124)),"Bundles",IF(ISNUMBER(SEARCH("Merchant",C124)),"Merchant Payment",IF(ISNUMBER(SEARCH("Offnet C2B",C124)),"Merchant Payment",IF(ISNUMBER(SEARCH("Offnet B2C",C124)),"Merchant Payment",IF(ISNUMBER(SEARCH("Customer Payment to Small",C124)),"Merchant Payment",IF(ISNUMBER(SEARCH("Payment to Small Business",C124)),"Merchant Payment",IF(ISNUMBER(SEARCH("Sent to",C124)),"Sent to Person",IF(ISNUMBER(SEARCH("Customer Transfer to",C124)),"Sent to Person",IF(ISNUMBER(SEARCH("Business Payment",C124)),"Money In",IF(ISNUMBER(SEARCH("Funds Received",C124)),"Money In",IF(ISNUMBER(SEARCH("Receive International",C124)),"Money In",IF(ISNUMBER(SEARCH("Send Money Reversal",C124)),"Money In",IF(ISNUMBER(SEARCH("Pay Utility Reversal",C124)),"Money In",IF(ISNUMBER(SEARCH("Customer Transfer",C124)),"Money In",IF(ISNUMBER(SEARCH("Ziidi",C124)),"Investment",IF(ISNUMBER(SEARCH("Nabo",C124)),"Investment",IF(ISNUMBER(SEARCH("Paybill Online",C124)),"Pay Bill",IF(ISNUMBER(SEARCH("Pay Bill",C124)),"Pay Bill",IF(ISNUMBER(SEARCH("Spotify",C124)),"Pay Bill",IF(ISNUMBER(SEARCH("M-Shwari",C124)),"Mshwari",IF(ISNUMBER(SEARCH("Mshwari",C124)),"Mshwari",IF(ISNUMBER(SEARCH("Withdrawal charge",C124)),"Fees",IF(ISNUMBER(SEARCH("Customer Withdrawal",C124)),"Fees",IF(ISNUMBER(SEARCH("charge",C124)),"Fees","Other")))))))))))))))))))))))))</f>
        <v>Bundles</v>
      </c>
      <c r="R124" s="1" t="str">
        <f aca="false">TEXT(B124,"MMM YYYY")</f>
        <v>Jan 2026</v>
      </c>
    </row>
    <row r="125" customFormat="false" ht="13.8" hidden="false" customHeight="false" outlineLevel="0" collapsed="false">
      <c r="A125" s="4" t="s">
        <v>286</v>
      </c>
      <c r="B125" s="4" t="s">
        <v>287</v>
      </c>
      <c r="C125" s="4" t="s">
        <v>29</v>
      </c>
      <c r="D125" s="4" t="s">
        <v>18</v>
      </c>
      <c r="E125" s="4"/>
      <c r="F125" s="4" t="n">
        <v>10</v>
      </c>
      <c r="G125" s="4" t="n">
        <v>3311</v>
      </c>
      <c r="L125" s="1" t="str">
        <f aca="false">IF(ISNUMBER(SEARCH("Bundle",C125)),"Bundles",IF(ISNUMBER(SEARCH("Airtime",C125)),"Bundles",IF(ISNUMBER(SEARCH("Merchant",C125)),"Merchant Payment",IF(ISNUMBER(SEARCH("Offnet C2B",C125)),"Merchant Payment",IF(ISNUMBER(SEARCH("Offnet B2C",C125)),"Merchant Payment",IF(ISNUMBER(SEARCH("Customer Payment to Small",C125)),"Merchant Payment",IF(ISNUMBER(SEARCH("Payment to Small Business",C125)),"Merchant Payment",IF(ISNUMBER(SEARCH("Sent to",C125)),"Sent to Person",IF(ISNUMBER(SEARCH("Customer Transfer to",C125)),"Sent to Person",IF(ISNUMBER(SEARCH("Business Payment",C125)),"Money In",IF(ISNUMBER(SEARCH("Funds Received",C125)),"Money In",IF(ISNUMBER(SEARCH("Receive International",C125)),"Money In",IF(ISNUMBER(SEARCH("Send Money Reversal",C125)),"Money In",IF(ISNUMBER(SEARCH("Pay Utility Reversal",C125)),"Money In",IF(ISNUMBER(SEARCH("Customer Transfer",C125)),"Money In",IF(ISNUMBER(SEARCH("Ziidi",C125)),"Investment",IF(ISNUMBER(SEARCH("Nabo",C125)),"Investment",IF(ISNUMBER(SEARCH("Paybill Online",C125)),"Pay Bill",IF(ISNUMBER(SEARCH("Pay Bill",C125)),"Pay Bill",IF(ISNUMBER(SEARCH("Spotify",C125)),"Pay Bill",IF(ISNUMBER(SEARCH("M-Shwari",C125)),"Mshwari",IF(ISNUMBER(SEARCH("Mshwari",C125)),"Mshwari",IF(ISNUMBER(SEARCH("Withdrawal charge",C125)),"Fees",IF(ISNUMBER(SEARCH("Customer Withdrawal",C125)),"Fees",IF(ISNUMBER(SEARCH("charge",C125)),"Fees","Other")))))))))))))))))))))))))</f>
        <v>Bundles</v>
      </c>
      <c r="R125" s="1" t="str">
        <f aca="false">TEXT(B125,"MMM YYYY")</f>
        <v>Jan 2026</v>
      </c>
    </row>
    <row r="126" customFormat="false" ht="13.8" hidden="false" customHeight="false" outlineLevel="0" collapsed="false">
      <c r="A126" s="4" t="s">
        <v>288</v>
      </c>
      <c r="B126" s="4" t="s">
        <v>289</v>
      </c>
      <c r="C126" s="4" t="s">
        <v>182</v>
      </c>
      <c r="D126" s="4" t="s">
        <v>18</v>
      </c>
      <c r="E126" s="4"/>
      <c r="F126" s="4" t="n">
        <v>20</v>
      </c>
      <c r="G126" s="4" t="n">
        <v>3291</v>
      </c>
      <c r="L126" s="1" t="str">
        <f aca="false">IF(ISNUMBER(SEARCH("Bundle",C126)),"Bundles",IF(ISNUMBER(SEARCH("Airtime",C126)),"Bundles",IF(ISNUMBER(SEARCH("Merchant",C126)),"Merchant Payment",IF(ISNUMBER(SEARCH("Offnet C2B",C126)),"Merchant Payment",IF(ISNUMBER(SEARCH("Offnet B2C",C126)),"Merchant Payment",IF(ISNUMBER(SEARCH("Customer Payment to Small",C126)),"Merchant Payment",IF(ISNUMBER(SEARCH("Payment to Small Business",C126)),"Merchant Payment",IF(ISNUMBER(SEARCH("Sent to",C126)),"Sent to Person",IF(ISNUMBER(SEARCH("Customer Transfer to",C126)),"Sent to Person",IF(ISNUMBER(SEARCH("Business Payment",C126)),"Money In",IF(ISNUMBER(SEARCH("Funds Received",C126)),"Money In",IF(ISNUMBER(SEARCH("Receive International",C126)),"Money In",IF(ISNUMBER(SEARCH("Send Money Reversal",C126)),"Money In",IF(ISNUMBER(SEARCH("Pay Utility Reversal",C126)),"Money In",IF(ISNUMBER(SEARCH("Customer Transfer",C126)),"Money In",IF(ISNUMBER(SEARCH("Ziidi",C126)),"Investment",IF(ISNUMBER(SEARCH("Nabo",C126)),"Investment",IF(ISNUMBER(SEARCH("Paybill Online",C126)),"Pay Bill",IF(ISNUMBER(SEARCH("Pay Bill",C126)),"Pay Bill",IF(ISNUMBER(SEARCH("Spotify",C126)),"Pay Bill",IF(ISNUMBER(SEARCH("M-Shwari",C126)),"Mshwari",IF(ISNUMBER(SEARCH("Mshwari",C126)),"Mshwari",IF(ISNUMBER(SEARCH("Withdrawal charge",C126)),"Fees",IF(ISNUMBER(SEARCH("Customer Withdrawal",C126)),"Fees",IF(ISNUMBER(SEARCH("charge",C126)),"Fees","Other")))))))))))))))))))))))))</f>
        <v>Pay Bill</v>
      </c>
      <c r="R126" s="1" t="str">
        <f aca="false">TEXT(B126,"MMM YYYY")</f>
        <v>Jan 2026</v>
      </c>
    </row>
    <row r="127" customFormat="false" ht="13.8" hidden="false" customHeight="false" outlineLevel="0" collapsed="false">
      <c r="A127" s="4" t="s">
        <v>288</v>
      </c>
      <c r="B127" s="4" t="s">
        <v>289</v>
      </c>
      <c r="C127" s="4" t="s">
        <v>290</v>
      </c>
      <c r="D127" s="4" t="s">
        <v>18</v>
      </c>
      <c r="E127" s="4"/>
      <c r="F127" s="4" t="n">
        <v>1850</v>
      </c>
      <c r="G127" s="4" t="n">
        <v>1441</v>
      </c>
      <c r="L127" s="1" t="str">
        <f aca="false">IF(ISNUMBER(SEARCH("Bundle",C127)),"Bundles",IF(ISNUMBER(SEARCH("Airtime",C127)),"Bundles",IF(ISNUMBER(SEARCH("Merchant",C127)),"Merchant Payment",IF(ISNUMBER(SEARCH("Offnet C2B",C127)),"Merchant Payment",IF(ISNUMBER(SEARCH("Offnet B2C",C127)),"Merchant Payment",IF(ISNUMBER(SEARCH("Customer Payment to Small",C127)),"Merchant Payment",IF(ISNUMBER(SEARCH("Payment to Small Business",C127)),"Merchant Payment",IF(ISNUMBER(SEARCH("Sent to",C127)),"Sent to Person",IF(ISNUMBER(SEARCH("Customer Transfer to",C127)),"Sent to Person",IF(ISNUMBER(SEARCH("Business Payment",C127)),"Money In",IF(ISNUMBER(SEARCH("Funds Received",C127)),"Money In",IF(ISNUMBER(SEARCH("Receive International",C127)),"Money In",IF(ISNUMBER(SEARCH("Send Money Reversal",C127)),"Money In",IF(ISNUMBER(SEARCH("Pay Utility Reversal",C127)),"Money In",IF(ISNUMBER(SEARCH("Customer Transfer",C127)),"Money In",IF(ISNUMBER(SEARCH("Ziidi",C127)),"Investment",IF(ISNUMBER(SEARCH("Nabo",C127)),"Investment",IF(ISNUMBER(SEARCH("Paybill Online",C127)),"Pay Bill",IF(ISNUMBER(SEARCH("Pay Bill",C127)),"Pay Bill",IF(ISNUMBER(SEARCH("Spotify",C127)),"Pay Bill",IF(ISNUMBER(SEARCH("M-Shwari",C127)),"Mshwari",IF(ISNUMBER(SEARCH("Mshwari",C127)),"Mshwari",IF(ISNUMBER(SEARCH("Withdrawal charge",C127)),"Fees",IF(ISNUMBER(SEARCH("Customer Withdrawal",C127)),"Fees",IF(ISNUMBER(SEARCH("charge",C127)),"Fees","Other")))))))))))))))))))))))))</f>
        <v>Pay Bill</v>
      </c>
      <c r="R127" s="1" t="str">
        <f aca="false">TEXT(B127,"MMM YYYY")</f>
        <v>Jan 2026</v>
      </c>
    </row>
    <row r="128" customFormat="false" ht="13.8" hidden="false" customHeight="false" outlineLevel="0" collapsed="false">
      <c r="A128" s="4" t="s">
        <v>291</v>
      </c>
      <c r="B128" s="4" t="s">
        <v>292</v>
      </c>
      <c r="C128" s="4" t="s">
        <v>29</v>
      </c>
      <c r="D128" s="4" t="s">
        <v>18</v>
      </c>
      <c r="E128" s="4"/>
      <c r="F128" s="4" t="n">
        <v>30</v>
      </c>
      <c r="G128" s="4" t="n">
        <v>1411</v>
      </c>
      <c r="L128" s="1" t="str">
        <f aca="false">IF(ISNUMBER(SEARCH("Bundle",C128)),"Bundles",IF(ISNUMBER(SEARCH("Airtime",C128)),"Bundles",IF(ISNUMBER(SEARCH("Merchant",C128)),"Merchant Payment",IF(ISNUMBER(SEARCH("Offnet C2B",C128)),"Merchant Payment",IF(ISNUMBER(SEARCH("Offnet B2C",C128)),"Merchant Payment",IF(ISNUMBER(SEARCH("Customer Payment to Small",C128)),"Merchant Payment",IF(ISNUMBER(SEARCH("Payment to Small Business",C128)),"Merchant Payment",IF(ISNUMBER(SEARCH("Sent to",C128)),"Sent to Person",IF(ISNUMBER(SEARCH("Customer Transfer to",C128)),"Sent to Person",IF(ISNUMBER(SEARCH("Business Payment",C128)),"Money In",IF(ISNUMBER(SEARCH("Funds Received",C128)),"Money In",IF(ISNUMBER(SEARCH("Receive International",C128)),"Money In",IF(ISNUMBER(SEARCH("Send Money Reversal",C128)),"Money In",IF(ISNUMBER(SEARCH("Pay Utility Reversal",C128)),"Money In",IF(ISNUMBER(SEARCH("Customer Transfer",C128)),"Money In",IF(ISNUMBER(SEARCH("Ziidi",C128)),"Investment",IF(ISNUMBER(SEARCH("Nabo",C128)),"Investment",IF(ISNUMBER(SEARCH("Paybill Online",C128)),"Pay Bill",IF(ISNUMBER(SEARCH("Pay Bill",C128)),"Pay Bill",IF(ISNUMBER(SEARCH("Spotify",C128)),"Pay Bill",IF(ISNUMBER(SEARCH("M-Shwari",C128)),"Mshwari",IF(ISNUMBER(SEARCH("Mshwari",C128)),"Mshwari",IF(ISNUMBER(SEARCH("Withdrawal charge",C128)),"Fees",IF(ISNUMBER(SEARCH("Customer Withdrawal",C128)),"Fees",IF(ISNUMBER(SEARCH("charge",C128)),"Fees","Other")))))))))))))))))))))))))</f>
        <v>Bundles</v>
      </c>
      <c r="R128" s="1" t="str">
        <f aca="false">TEXT(B128,"MMM YYYY")</f>
        <v>Jan 2026</v>
      </c>
    </row>
    <row r="129" customFormat="false" ht="13.8" hidden="false" customHeight="false" outlineLevel="0" collapsed="false">
      <c r="A129" s="4" t="s">
        <v>293</v>
      </c>
      <c r="B129" s="4" t="s">
        <v>294</v>
      </c>
      <c r="C129" s="4" t="s">
        <v>29</v>
      </c>
      <c r="D129" s="4" t="s">
        <v>18</v>
      </c>
      <c r="E129" s="4"/>
      <c r="F129" s="4" t="n">
        <v>10</v>
      </c>
      <c r="G129" s="4" t="n">
        <v>1401</v>
      </c>
      <c r="L129" s="1" t="str">
        <f aca="false">IF(ISNUMBER(SEARCH("Bundle",C129)),"Bundles",IF(ISNUMBER(SEARCH("Airtime",C129)),"Bundles",IF(ISNUMBER(SEARCH("Merchant",C129)),"Merchant Payment",IF(ISNUMBER(SEARCH("Offnet C2B",C129)),"Merchant Payment",IF(ISNUMBER(SEARCH("Offnet B2C",C129)),"Merchant Payment",IF(ISNUMBER(SEARCH("Customer Payment to Small",C129)),"Merchant Payment",IF(ISNUMBER(SEARCH("Payment to Small Business",C129)),"Merchant Payment",IF(ISNUMBER(SEARCH("Sent to",C129)),"Sent to Person",IF(ISNUMBER(SEARCH("Customer Transfer to",C129)),"Sent to Person",IF(ISNUMBER(SEARCH("Business Payment",C129)),"Money In",IF(ISNUMBER(SEARCH("Funds Received",C129)),"Money In",IF(ISNUMBER(SEARCH("Receive International",C129)),"Money In",IF(ISNUMBER(SEARCH("Send Money Reversal",C129)),"Money In",IF(ISNUMBER(SEARCH("Pay Utility Reversal",C129)),"Money In",IF(ISNUMBER(SEARCH("Customer Transfer",C129)),"Money In",IF(ISNUMBER(SEARCH("Ziidi",C129)),"Investment",IF(ISNUMBER(SEARCH("Nabo",C129)),"Investment",IF(ISNUMBER(SEARCH("Paybill Online",C129)),"Pay Bill",IF(ISNUMBER(SEARCH("Pay Bill",C129)),"Pay Bill",IF(ISNUMBER(SEARCH("Spotify",C129)),"Pay Bill",IF(ISNUMBER(SEARCH("M-Shwari",C129)),"Mshwari",IF(ISNUMBER(SEARCH("Mshwari",C129)),"Mshwari",IF(ISNUMBER(SEARCH("Withdrawal charge",C129)),"Fees",IF(ISNUMBER(SEARCH("Customer Withdrawal",C129)),"Fees",IF(ISNUMBER(SEARCH("charge",C129)),"Fees","Other")))))))))))))))))))))))))</f>
        <v>Bundles</v>
      </c>
      <c r="R129" s="1" t="str">
        <f aca="false">TEXT(B129,"MMM YYYY")</f>
        <v>Jan 2026</v>
      </c>
    </row>
    <row r="130" customFormat="false" ht="13.8" hidden="false" customHeight="false" outlineLevel="0" collapsed="false">
      <c r="A130" s="4" t="s">
        <v>295</v>
      </c>
      <c r="B130" s="4" t="s">
        <v>296</v>
      </c>
      <c r="C130" s="4" t="s">
        <v>222</v>
      </c>
      <c r="D130" s="4" t="s">
        <v>18</v>
      </c>
      <c r="E130" s="4"/>
      <c r="F130" s="4" t="n">
        <v>100</v>
      </c>
      <c r="G130" s="4" t="n">
        <v>1301</v>
      </c>
      <c r="L130" s="1" t="str">
        <f aca="false">IF(ISNUMBER(SEARCH("Bundle",C130)),"Bundles",IF(ISNUMBER(SEARCH("Airtime",C130)),"Bundles",IF(ISNUMBER(SEARCH("Merchant",C130)),"Merchant Payment",IF(ISNUMBER(SEARCH("Offnet C2B",C130)),"Merchant Payment",IF(ISNUMBER(SEARCH("Offnet B2C",C130)),"Merchant Payment",IF(ISNUMBER(SEARCH("Customer Payment to Small",C130)),"Merchant Payment",IF(ISNUMBER(SEARCH("Payment to Small Business",C130)),"Merchant Payment",IF(ISNUMBER(SEARCH("Sent to",C130)),"Sent to Person",IF(ISNUMBER(SEARCH("Customer Transfer to",C130)),"Sent to Person",IF(ISNUMBER(SEARCH("Business Payment",C130)),"Money In",IF(ISNUMBER(SEARCH("Funds Received",C130)),"Money In",IF(ISNUMBER(SEARCH("Receive International",C130)),"Money In",IF(ISNUMBER(SEARCH("Send Money Reversal",C130)),"Money In",IF(ISNUMBER(SEARCH("Pay Utility Reversal",C130)),"Money In",IF(ISNUMBER(SEARCH("Customer Transfer",C130)),"Money In",IF(ISNUMBER(SEARCH("Ziidi",C130)),"Investment",IF(ISNUMBER(SEARCH("Nabo",C130)),"Investment",IF(ISNUMBER(SEARCH("Paybill Online",C130)),"Pay Bill",IF(ISNUMBER(SEARCH("Pay Bill",C130)),"Pay Bill",IF(ISNUMBER(SEARCH("Spotify",C130)),"Pay Bill",IF(ISNUMBER(SEARCH("M-Shwari",C130)),"Mshwari",IF(ISNUMBER(SEARCH("Mshwari",C130)),"Mshwari",IF(ISNUMBER(SEARCH("Withdrawal charge",C130)),"Fees",IF(ISNUMBER(SEARCH("Customer Withdrawal",C130)),"Fees",IF(ISNUMBER(SEARCH("charge",C130)),"Fees","Other")))))))))))))))))))))))))</f>
        <v>Merchant Payment</v>
      </c>
      <c r="R130" s="1" t="str">
        <f aca="false">TEXT(B130,"MMM YYYY")</f>
        <v>Jan 2026</v>
      </c>
    </row>
    <row r="131" customFormat="false" ht="13.8" hidden="false" customHeight="false" outlineLevel="0" collapsed="false">
      <c r="A131" s="4" t="s">
        <v>297</v>
      </c>
      <c r="B131" s="4" t="s">
        <v>298</v>
      </c>
      <c r="C131" s="4" t="s">
        <v>17</v>
      </c>
      <c r="D131" s="4" t="s">
        <v>18</v>
      </c>
      <c r="E131" s="4"/>
      <c r="F131" s="4" t="n">
        <v>20</v>
      </c>
      <c r="G131" s="4" t="n">
        <v>1281</v>
      </c>
      <c r="L131" s="1" t="str">
        <f aca="false">IF(ISNUMBER(SEARCH("Bundle",C131)),"Bundles",IF(ISNUMBER(SEARCH("Airtime",C131)),"Bundles",IF(ISNUMBER(SEARCH("Merchant",C131)),"Merchant Payment",IF(ISNUMBER(SEARCH("Offnet C2B",C131)),"Merchant Payment",IF(ISNUMBER(SEARCH("Offnet B2C",C131)),"Merchant Payment",IF(ISNUMBER(SEARCH("Customer Payment to Small",C131)),"Merchant Payment",IF(ISNUMBER(SEARCH("Payment to Small Business",C131)),"Merchant Payment",IF(ISNUMBER(SEARCH("Sent to",C131)),"Sent to Person",IF(ISNUMBER(SEARCH("Customer Transfer to",C131)),"Sent to Person",IF(ISNUMBER(SEARCH("Business Payment",C131)),"Money In",IF(ISNUMBER(SEARCH("Funds Received",C131)),"Money In",IF(ISNUMBER(SEARCH("Receive International",C131)),"Money In",IF(ISNUMBER(SEARCH("Send Money Reversal",C131)),"Money In",IF(ISNUMBER(SEARCH("Pay Utility Reversal",C131)),"Money In",IF(ISNUMBER(SEARCH("Customer Transfer",C131)),"Money In",IF(ISNUMBER(SEARCH("Ziidi",C131)),"Investment",IF(ISNUMBER(SEARCH("Nabo",C131)),"Investment",IF(ISNUMBER(SEARCH("Paybill Online",C131)),"Pay Bill",IF(ISNUMBER(SEARCH("Pay Bill",C131)),"Pay Bill",IF(ISNUMBER(SEARCH("Spotify",C131)),"Pay Bill",IF(ISNUMBER(SEARCH("M-Shwari",C131)),"Mshwari",IF(ISNUMBER(SEARCH("Mshwari",C131)),"Mshwari",IF(ISNUMBER(SEARCH("Withdrawal charge",C131)),"Fees",IF(ISNUMBER(SEARCH("Customer Withdrawal",C131)),"Fees",IF(ISNUMBER(SEARCH("charge",C131)),"Fees","Other")))))))))))))))))))))))))</f>
        <v>Bundles</v>
      </c>
      <c r="R131" s="1" t="str">
        <f aca="false">TEXT(B131,"MMM YYYY")</f>
        <v>Jan 2026</v>
      </c>
    </row>
    <row r="132" customFormat="false" ht="13.8" hidden="false" customHeight="false" outlineLevel="0" collapsed="false">
      <c r="A132" s="4" t="s">
        <v>299</v>
      </c>
      <c r="B132" s="4" t="s">
        <v>300</v>
      </c>
      <c r="C132" s="4" t="s">
        <v>301</v>
      </c>
      <c r="D132" s="4" t="s">
        <v>18</v>
      </c>
      <c r="E132" s="4" t="n">
        <v>5148</v>
      </c>
      <c r="F132" s="4"/>
      <c r="G132" s="4" t="n">
        <v>6429</v>
      </c>
      <c r="L132" s="1" t="str">
        <f aca="false">IF(ISNUMBER(SEARCH("Bundle",C132)),"Bundles",IF(ISNUMBER(SEARCH("Airtime",C132)),"Bundles",IF(ISNUMBER(SEARCH("Merchant",C132)),"Merchant Payment",IF(ISNUMBER(SEARCH("Offnet C2B",C132)),"Merchant Payment",IF(ISNUMBER(SEARCH("Offnet B2C",C132)),"Merchant Payment",IF(ISNUMBER(SEARCH("Customer Payment to Small",C132)),"Merchant Payment",IF(ISNUMBER(SEARCH("Payment to Small Business",C132)),"Merchant Payment",IF(ISNUMBER(SEARCH("Sent to",C132)),"Sent to Person",IF(ISNUMBER(SEARCH("Customer Transfer to",C132)),"Sent to Person",IF(ISNUMBER(SEARCH("Business Payment",C132)),"Money In",IF(ISNUMBER(SEARCH("Funds Received",C132)),"Money In",IF(ISNUMBER(SEARCH("Receive International",C132)),"Money In",IF(ISNUMBER(SEARCH("Send Money Reversal",C132)),"Money In",IF(ISNUMBER(SEARCH("Pay Utility Reversal",C132)),"Money In",IF(ISNUMBER(SEARCH("Customer Transfer",C132)),"Money In",IF(ISNUMBER(SEARCH("Ziidi",C132)),"Investment",IF(ISNUMBER(SEARCH("Nabo",C132)),"Investment",IF(ISNUMBER(SEARCH("Paybill Online",C132)),"Pay Bill",IF(ISNUMBER(SEARCH("Pay Bill",C132)),"Pay Bill",IF(ISNUMBER(SEARCH("Spotify",C132)),"Pay Bill",IF(ISNUMBER(SEARCH("M-Shwari",C132)),"Mshwari",IF(ISNUMBER(SEARCH("Mshwari",C132)),"Mshwari",IF(ISNUMBER(SEARCH("Withdrawal charge",C132)),"Fees",IF(ISNUMBER(SEARCH("Customer Withdrawal",C132)),"Fees",IF(ISNUMBER(SEARCH("charge",C132)),"Fees","Other")))))))))))))))))))))))))</f>
        <v>Money In</v>
      </c>
      <c r="R132" s="1" t="str">
        <f aca="false">TEXT(B132,"MMM YYYY")</f>
        <v>Jan 2026</v>
      </c>
    </row>
    <row r="133" customFormat="false" ht="13.8" hidden="false" customHeight="false" outlineLevel="0" collapsed="false">
      <c r="A133" s="4" t="s">
        <v>302</v>
      </c>
      <c r="B133" s="4" t="s">
        <v>303</v>
      </c>
      <c r="C133" s="4" t="s">
        <v>177</v>
      </c>
      <c r="D133" s="4" t="s">
        <v>18</v>
      </c>
      <c r="E133" s="4" t="n">
        <v>2000</v>
      </c>
      <c r="F133" s="4"/>
      <c r="G133" s="4" t="n">
        <v>8429</v>
      </c>
      <c r="L133" s="1" t="str">
        <f aca="false">IF(ISNUMBER(SEARCH("Bundle",C133)),"Bundles",IF(ISNUMBER(SEARCH("Airtime",C133)),"Bundles",IF(ISNUMBER(SEARCH("Merchant",C133)),"Merchant Payment",IF(ISNUMBER(SEARCH("Offnet C2B",C133)),"Merchant Payment",IF(ISNUMBER(SEARCH("Offnet B2C",C133)),"Merchant Payment",IF(ISNUMBER(SEARCH("Customer Payment to Small",C133)),"Merchant Payment",IF(ISNUMBER(SEARCH("Payment to Small Business",C133)),"Merchant Payment",IF(ISNUMBER(SEARCH("Sent to",C133)),"Sent to Person",IF(ISNUMBER(SEARCH("Customer Transfer to",C133)),"Sent to Person",IF(ISNUMBER(SEARCH("Business Payment",C133)),"Money In",IF(ISNUMBER(SEARCH("Funds Received",C133)),"Money In",IF(ISNUMBER(SEARCH("Receive International",C133)),"Money In",IF(ISNUMBER(SEARCH("Send Money Reversal",C133)),"Money In",IF(ISNUMBER(SEARCH("Pay Utility Reversal",C133)),"Money In",IF(ISNUMBER(SEARCH("Customer Transfer",C133)),"Money In",IF(ISNUMBER(SEARCH("Ziidi",C133)),"Investment",IF(ISNUMBER(SEARCH("Nabo",C133)),"Investment",IF(ISNUMBER(SEARCH("Paybill Online",C133)),"Pay Bill",IF(ISNUMBER(SEARCH("Pay Bill",C133)),"Pay Bill",IF(ISNUMBER(SEARCH("Spotify",C133)),"Pay Bill",IF(ISNUMBER(SEARCH("M-Shwari",C133)),"Mshwari",IF(ISNUMBER(SEARCH("Mshwari",C133)),"Mshwari",IF(ISNUMBER(SEARCH("Withdrawal charge",C133)),"Fees",IF(ISNUMBER(SEARCH("Customer Withdrawal",C133)),"Fees",IF(ISNUMBER(SEARCH("charge",C133)),"Fees","Other")))))))))))))))))))))))))</f>
        <v>Money In</v>
      </c>
      <c r="R133" s="1" t="str">
        <f aca="false">TEXT(B133,"MMM YYYY")</f>
        <v>Jan 2026</v>
      </c>
    </row>
    <row r="134" customFormat="false" ht="13.8" hidden="false" customHeight="false" outlineLevel="0" collapsed="false">
      <c r="A134" s="4" t="s">
        <v>304</v>
      </c>
      <c r="B134" s="4" t="s">
        <v>305</v>
      </c>
      <c r="C134" s="4" t="s">
        <v>306</v>
      </c>
      <c r="D134" s="4" t="s">
        <v>18</v>
      </c>
      <c r="E134" s="4"/>
      <c r="F134" s="4" t="n">
        <v>5000</v>
      </c>
      <c r="G134" s="4" t="n">
        <v>3395</v>
      </c>
      <c r="L134" s="1" t="str">
        <f aca="false">IF(ISNUMBER(SEARCH("Bundle",C134)),"Bundles",IF(ISNUMBER(SEARCH("Airtime",C134)),"Bundles",IF(ISNUMBER(SEARCH("Merchant",C134)),"Merchant Payment",IF(ISNUMBER(SEARCH("Offnet C2B",C134)),"Merchant Payment",IF(ISNUMBER(SEARCH("Offnet B2C",C134)),"Merchant Payment",IF(ISNUMBER(SEARCH("Customer Payment to Small",C134)),"Merchant Payment",IF(ISNUMBER(SEARCH("Payment to Small Business",C134)),"Merchant Payment",IF(ISNUMBER(SEARCH("Sent to",C134)),"Sent to Person",IF(ISNUMBER(SEARCH("Customer Transfer to",C134)),"Sent to Person",IF(ISNUMBER(SEARCH("Business Payment",C134)),"Money In",IF(ISNUMBER(SEARCH("Funds Received",C134)),"Money In",IF(ISNUMBER(SEARCH("Receive International",C134)),"Money In",IF(ISNUMBER(SEARCH("Send Money Reversal",C134)),"Money In",IF(ISNUMBER(SEARCH("Pay Utility Reversal",C134)),"Money In",IF(ISNUMBER(SEARCH("Customer Transfer",C134)),"Money In",IF(ISNUMBER(SEARCH("Ziidi",C134)),"Investment",IF(ISNUMBER(SEARCH("Nabo",C134)),"Investment",IF(ISNUMBER(SEARCH("Paybill Online",C134)),"Pay Bill",IF(ISNUMBER(SEARCH("Pay Bill",C134)),"Pay Bill",IF(ISNUMBER(SEARCH("Spotify",C134)),"Pay Bill",IF(ISNUMBER(SEARCH("M-Shwari",C134)),"Mshwari",IF(ISNUMBER(SEARCH("Mshwari",C134)),"Mshwari",IF(ISNUMBER(SEARCH("Withdrawal charge",C134)),"Fees",IF(ISNUMBER(SEARCH("Customer Withdrawal",C134)),"Fees",IF(ISNUMBER(SEARCH("charge",C134)),"Fees","Other")))))))))))))))))))))))))</f>
        <v>Investment</v>
      </c>
      <c r="R134" s="1" t="str">
        <f aca="false">TEXT(B134,"MMM YYYY")</f>
        <v>Jan 2026</v>
      </c>
    </row>
    <row r="135" customFormat="false" ht="13.8" hidden="false" customHeight="false" outlineLevel="0" collapsed="false">
      <c r="A135" s="4" t="s">
        <v>304</v>
      </c>
      <c r="B135" s="4" t="s">
        <v>305</v>
      </c>
      <c r="C135" s="4" t="s">
        <v>182</v>
      </c>
      <c r="D135" s="4" t="s">
        <v>18</v>
      </c>
      <c r="E135" s="4"/>
      <c r="F135" s="4" t="n">
        <v>34</v>
      </c>
      <c r="G135" s="4" t="n">
        <v>8395</v>
      </c>
      <c r="L135" s="1" t="str">
        <f aca="false">IF(ISNUMBER(SEARCH("Bundle",C135)),"Bundles",IF(ISNUMBER(SEARCH("Airtime",C135)),"Bundles",IF(ISNUMBER(SEARCH("Merchant",C135)),"Merchant Payment",IF(ISNUMBER(SEARCH("Offnet C2B",C135)),"Merchant Payment",IF(ISNUMBER(SEARCH("Offnet B2C",C135)),"Merchant Payment",IF(ISNUMBER(SEARCH("Customer Payment to Small",C135)),"Merchant Payment",IF(ISNUMBER(SEARCH("Payment to Small Business",C135)),"Merchant Payment",IF(ISNUMBER(SEARCH("Sent to",C135)),"Sent to Person",IF(ISNUMBER(SEARCH("Customer Transfer to",C135)),"Sent to Person",IF(ISNUMBER(SEARCH("Business Payment",C135)),"Money In",IF(ISNUMBER(SEARCH("Funds Received",C135)),"Money In",IF(ISNUMBER(SEARCH("Receive International",C135)),"Money In",IF(ISNUMBER(SEARCH("Send Money Reversal",C135)),"Money In",IF(ISNUMBER(SEARCH("Pay Utility Reversal",C135)),"Money In",IF(ISNUMBER(SEARCH("Customer Transfer",C135)),"Money In",IF(ISNUMBER(SEARCH("Ziidi",C135)),"Investment",IF(ISNUMBER(SEARCH("Nabo",C135)),"Investment",IF(ISNUMBER(SEARCH("Paybill Online",C135)),"Pay Bill",IF(ISNUMBER(SEARCH("Pay Bill",C135)),"Pay Bill",IF(ISNUMBER(SEARCH("Spotify",C135)),"Pay Bill",IF(ISNUMBER(SEARCH("M-Shwari",C135)),"Mshwari",IF(ISNUMBER(SEARCH("Mshwari",C135)),"Mshwari",IF(ISNUMBER(SEARCH("Withdrawal charge",C135)),"Fees",IF(ISNUMBER(SEARCH("Customer Withdrawal",C135)),"Fees",IF(ISNUMBER(SEARCH("charge",C135)),"Fees","Other")))))))))))))))))))))))))</f>
        <v>Pay Bill</v>
      </c>
      <c r="R135" s="1" t="str">
        <f aca="false">TEXT(B135,"MMM YYYY")</f>
        <v>Jan 2026</v>
      </c>
    </row>
    <row r="136" customFormat="false" ht="13.8" hidden="false" customHeight="false" outlineLevel="0" collapsed="false">
      <c r="A136" s="4" t="s">
        <v>307</v>
      </c>
      <c r="B136" s="4" t="s">
        <v>308</v>
      </c>
      <c r="C136" s="4" t="s">
        <v>182</v>
      </c>
      <c r="D136" s="4" t="s">
        <v>18</v>
      </c>
      <c r="E136" s="4"/>
      <c r="F136" s="4" t="n">
        <v>5</v>
      </c>
      <c r="G136" s="4" t="n">
        <v>3390</v>
      </c>
      <c r="L136" s="1" t="str">
        <f aca="false">IF(ISNUMBER(SEARCH("Bundle",C136)),"Bundles",IF(ISNUMBER(SEARCH("Airtime",C136)),"Bundles",IF(ISNUMBER(SEARCH("Merchant",C136)),"Merchant Payment",IF(ISNUMBER(SEARCH("Offnet C2B",C136)),"Merchant Payment",IF(ISNUMBER(SEARCH("Offnet B2C",C136)),"Merchant Payment",IF(ISNUMBER(SEARCH("Customer Payment to Small",C136)),"Merchant Payment",IF(ISNUMBER(SEARCH("Payment to Small Business",C136)),"Merchant Payment",IF(ISNUMBER(SEARCH("Sent to",C136)),"Sent to Person",IF(ISNUMBER(SEARCH("Customer Transfer to",C136)),"Sent to Person",IF(ISNUMBER(SEARCH("Business Payment",C136)),"Money In",IF(ISNUMBER(SEARCH("Funds Received",C136)),"Money In",IF(ISNUMBER(SEARCH("Receive International",C136)),"Money In",IF(ISNUMBER(SEARCH("Send Money Reversal",C136)),"Money In",IF(ISNUMBER(SEARCH("Pay Utility Reversal",C136)),"Money In",IF(ISNUMBER(SEARCH("Customer Transfer",C136)),"Money In",IF(ISNUMBER(SEARCH("Ziidi",C136)),"Investment",IF(ISNUMBER(SEARCH("Nabo",C136)),"Investment",IF(ISNUMBER(SEARCH("Paybill Online",C136)),"Pay Bill",IF(ISNUMBER(SEARCH("Pay Bill",C136)),"Pay Bill",IF(ISNUMBER(SEARCH("Spotify",C136)),"Pay Bill",IF(ISNUMBER(SEARCH("M-Shwari",C136)),"Mshwari",IF(ISNUMBER(SEARCH("Mshwari",C136)),"Mshwari",IF(ISNUMBER(SEARCH("Withdrawal charge",C136)),"Fees",IF(ISNUMBER(SEARCH("Customer Withdrawal",C136)),"Fees",IF(ISNUMBER(SEARCH("charge",C136)),"Fees","Other")))))))))))))))))))))))))</f>
        <v>Pay Bill</v>
      </c>
      <c r="R136" s="1" t="str">
        <f aca="false">TEXT(B136,"MMM YYYY")</f>
        <v>Jan 2026</v>
      </c>
    </row>
    <row r="137" customFormat="false" ht="13.8" hidden="false" customHeight="false" outlineLevel="0" collapsed="false">
      <c r="A137" s="4" t="s">
        <v>307</v>
      </c>
      <c r="B137" s="4" t="s">
        <v>308</v>
      </c>
      <c r="C137" s="4" t="s">
        <v>217</v>
      </c>
      <c r="D137" s="4" t="s">
        <v>18</v>
      </c>
      <c r="E137" s="4"/>
      <c r="F137" s="4" t="n">
        <v>500</v>
      </c>
      <c r="G137" s="4" t="n">
        <v>2890</v>
      </c>
      <c r="L137" s="1" t="str">
        <f aca="false">IF(ISNUMBER(SEARCH("Bundle",C137)),"Bundles",IF(ISNUMBER(SEARCH("Airtime",C137)),"Bundles",IF(ISNUMBER(SEARCH("Merchant",C137)),"Merchant Payment",IF(ISNUMBER(SEARCH("Offnet C2B",C137)),"Merchant Payment",IF(ISNUMBER(SEARCH("Offnet B2C",C137)),"Merchant Payment",IF(ISNUMBER(SEARCH("Customer Payment to Small",C137)),"Merchant Payment",IF(ISNUMBER(SEARCH("Payment to Small Business",C137)),"Merchant Payment",IF(ISNUMBER(SEARCH("Sent to",C137)),"Sent to Person",IF(ISNUMBER(SEARCH("Customer Transfer to",C137)),"Sent to Person",IF(ISNUMBER(SEARCH("Business Payment",C137)),"Money In",IF(ISNUMBER(SEARCH("Funds Received",C137)),"Money In",IF(ISNUMBER(SEARCH("Receive International",C137)),"Money In",IF(ISNUMBER(SEARCH("Send Money Reversal",C137)),"Money In",IF(ISNUMBER(SEARCH("Pay Utility Reversal",C137)),"Money In",IF(ISNUMBER(SEARCH("Customer Transfer",C137)),"Money In",IF(ISNUMBER(SEARCH("Ziidi",C137)),"Investment",IF(ISNUMBER(SEARCH("Nabo",C137)),"Investment",IF(ISNUMBER(SEARCH("Paybill Online",C137)),"Pay Bill",IF(ISNUMBER(SEARCH("Pay Bill",C137)),"Pay Bill",IF(ISNUMBER(SEARCH("Spotify",C137)),"Pay Bill",IF(ISNUMBER(SEARCH("M-Shwari",C137)),"Mshwari",IF(ISNUMBER(SEARCH("Mshwari",C137)),"Mshwari",IF(ISNUMBER(SEARCH("Withdrawal charge",C137)),"Fees",IF(ISNUMBER(SEARCH("Customer Withdrawal",C137)),"Fees",IF(ISNUMBER(SEARCH("charge",C137)),"Fees","Other")))))))))))))))))))))))))</f>
        <v>Investment</v>
      </c>
      <c r="R137" s="1" t="str">
        <f aca="false">TEXT(B137,"MMM YYYY")</f>
        <v>Jan 2026</v>
      </c>
    </row>
    <row r="138" customFormat="false" ht="13.8" hidden="false" customHeight="false" outlineLevel="0" collapsed="false">
      <c r="A138" s="4" t="s">
        <v>309</v>
      </c>
      <c r="B138" s="4" t="s">
        <v>310</v>
      </c>
      <c r="C138" s="4" t="s">
        <v>311</v>
      </c>
      <c r="D138" s="4" t="s">
        <v>18</v>
      </c>
      <c r="E138" s="4"/>
      <c r="F138" s="4" t="n">
        <v>100</v>
      </c>
      <c r="G138" s="4" t="n">
        <v>2790</v>
      </c>
      <c r="L138" s="1" t="str">
        <f aca="false">IF(ISNUMBER(SEARCH("Bundle",C138)),"Bundles",IF(ISNUMBER(SEARCH("Airtime",C138)),"Bundles",IF(ISNUMBER(SEARCH("Merchant",C138)),"Merchant Payment",IF(ISNUMBER(SEARCH("Offnet C2B",C138)),"Merchant Payment",IF(ISNUMBER(SEARCH("Offnet B2C",C138)),"Merchant Payment",IF(ISNUMBER(SEARCH("Customer Payment to Small",C138)),"Merchant Payment",IF(ISNUMBER(SEARCH("Payment to Small Business",C138)),"Merchant Payment",IF(ISNUMBER(SEARCH("Sent to",C138)),"Sent to Person",IF(ISNUMBER(SEARCH("Customer Transfer to",C138)),"Sent to Person",IF(ISNUMBER(SEARCH("Business Payment",C138)),"Money In",IF(ISNUMBER(SEARCH("Funds Received",C138)),"Money In",IF(ISNUMBER(SEARCH("Receive International",C138)),"Money In",IF(ISNUMBER(SEARCH("Send Money Reversal",C138)),"Money In",IF(ISNUMBER(SEARCH("Pay Utility Reversal",C138)),"Money In",IF(ISNUMBER(SEARCH("Customer Transfer",C138)),"Money In",IF(ISNUMBER(SEARCH("Ziidi",C138)),"Investment",IF(ISNUMBER(SEARCH("Nabo",C138)),"Investment",IF(ISNUMBER(SEARCH("Paybill Online",C138)),"Pay Bill",IF(ISNUMBER(SEARCH("Pay Bill",C138)),"Pay Bill",IF(ISNUMBER(SEARCH("Spotify",C138)),"Pay Bill",IF(ISNUMBER(SEARCH("M-Shwari",C138)),"Mshwari",IF(ISNUMBER(SEARCH("Mshwari",C138)),"Mshwari",IF(ISNUMBER(SEARCH("Withdrawal charge",C138)),"Fees",IF(ISNUMBER(SEARCH("Customer Withdrawal",C138)),"Fees",IF(ISNUMBER(SEARCH("charge",C138)),"Fees","Other")))))))))))))))))))))))))</f>
        <v>Sent to Person</v>
      </c>
      <c r="R138" s="1" t="str">
        <f aca="false">TEXT(B138,"MMM YYYY")</f>
        <v>Jan 2026</v>
      </c>
    </row>
    <row r="139" customFormat="false" ht="13.8" hidden="false" customHeight="false" outlineLevel="0" collapsed="false">
      <c r="A139" s="4" t="s">
        <v>312</v>
      </c>
      <c r="B139" s="4" t="s">
        <v>313</v>
      </c>
      <c r="C139" s="4" t="s">
        <v>243</v>
      </c>
      <c r="D139" s="4" t="s">
        <v>18</v>
      </c>
      <c r="E139" s="4"/>
      <c r="F139" s="4" t="n">
        <v>70</v>
      </c>
      <c r="G139" s="4" t="n">
        <v>2720</v>
      </c>
      <c r="L139" s="1" t="str">
        <f aca="false">IF(ISNUMBER(SEARCH("Bundle",C139)),"Bundles",IF(ISNUMBER(SEARCH("Airtime",C139)),"Bundles",IF(ISNUMBER(SEARCH("Merchant",C139)),"Merchant Payment",IF(ISNUMBER(SEARCH("Offnet C2B",C139)),"Merchant Payment",IF(ISNUMBER(SEARCH("Offnet B2C",C139)),"Merchant Payment",IF(ISNUMBER(SEARCH("Customer Payment to Small",C139)),"Merchant Payment",IF(ISNUMBER(SEARCH("Payment to Small Business",C139)),"Merchant Payment",IF(ISNUMBER(SEARCH("Sent to",C139)),"Sent to Person",IF(ISNUMBER(SEARCH("Customer Transfer to",C139)),"Sent to Person",IF(ISNUMBER(SEARCH("Business Payment",C139)),"Money In",IF(ISNUMBER(SEARCH("Funds Received",C139)),"Money In",IF(ISNUMBER(SEARCH("Receive International",C139)),"Money In",IF(ISNUMBER(SEARCH("Send Money Reversal",C139)),"Money In",IF(ISNUMBER(SEARCH("Pay Utility Reversal",C139)),"Money In",IF(ISNUMBER(SEARCH("Customer Transfer",C139)),"Money In",IF(ISNUMBER(SEARCH("Ziidi",C139)),"Investment",IF(ISNUMBER(SEARCH("Nabo",C139)),"Investment",IF(ISNUMBER(SEARCH("Paybill Online",C139)),"Pay Bill",IF(ISNUMBER(SEARCH("Pay Bill",C139)),"Pay Bill",IF(ISNUMBER(SEARCH("Spotify",C139)),"Pay Bill",IF(ISNUMBER(SEARCH("M-Shwari",C139)),"Mshwari",IF(ISNUMBER(SEARCH("Mshwari",C139)),"Mshwari",IF(ISNUMBER(SEARCH("Withdrawal charge",C139)),"Fees",IF(ISNUMBER(SEARCH("Customer Withdrawal",C139)),"Fees",IF(ISNUMBER(SEARCH("charge",C139)),"Fees","Other")))))))))))))))))))))))))</f>
        <v>Merchant Payment</v>
      </c>
      <c r="R139" s="1" t="str">
        <f aca="false">TEXT(B139,"MMM YYYY")</f>
        <v>Jan 2026</v>
      </c>
    </row>
    <row r="140" customFormat="false" ht="13.8" hidden="false" customHeight="false" outlineLevel="0" collapsed="false">
      <c r="A140" s="4" t="s">
        <v>314</v>
      </c>
      <c r="B140" s="4" t="s">
        <v>315</v>
      </c>
      <c r="C140" s="4" t="s">
        <v>316</v>
      </c>
      <c r="D140" s="4" t="s">
        <v>18</v>
      </c>
      <c r="E140" s="4"/>
      <c r="F140" s="4" t="n">
        <v>70</v>
      </c>
      <c r="G140" s="4" t="n">
        <v>2650</v>
      </c>
      <c r="L140" s="1" t="str">
        <f aca="false">IF(ISNUMBER(SEARCH("Bundle",C140)),"Bundles",IF(ISNUMBER(SEARCH("Airtime",C140)),"Bundles",IF(ISNUMBER(SEARCH("Merchant",C140)),"Merchant Payment",IF(ISNUMBER(SEARCH("Offnet C2B",C140)),"Merchant Payment",IF(ISNUMBER(SEARCH("Offnet B2C",C140)),"Merchant Payment",IF(ISNUMBER(SEARCH("Customer Payment to Small",C140)),"Merchant Payment",IF(ISNUMBER(SEARCH("Payment to Small Business",C140)),"Merchant Payment",IF(ISNUMBER(SEARCH("Sent to",C140)),"Sent to Person",IF(ISNUMBER(SEARCH("Customer Transfer to",C140)),"Sent to Person",IF(ISNUMBER(SEARCH("Business Payment",C140)),"Money In",IF(ISNUMBER(SEARCH("Funds Received",C140)),"Money In",IF(ISNUMBER(SEARCH("Receive International",C140)),"Money In",IF(ISNUMBER(SEARCH("Send Money Reversal",C140)),"Money In",IF(ISNUMBER(SEARCH("Pay Utility Reversal",C140)),"Money In",IF(ISNUMBER(SEARCH("Customer Transfer",C140)),"Money In",IF(ISNUMBER(SEARCH("Ziidi",C140)),"Investment",IF(ISNUMBER(SEARCH("Nabo",C140)),"Investment",IF(ISNUMBER(SEARCH("Paybill Online",C140)),"Pay Bill",IF(ISNUMBER(SEARCH("Pay Bill",C140)),"Pay Bill",IF(ISNUMBER(SEARCH("Spotify",C140)),"Pay Bill",IF(ISNUMBER(SEARCH("M-Shwari",C140)),"Mshwari",IF(ISNUMBER(SEARCH("Mshwari",C140)),"Mshwari",IF(ISNUMBER(SEARCH("Withdrawal charge",C140)),"Fees",IF(ISNUMBER(SEARCH("Customer Withdrawal",C140)),"Fees",IF(ISNUMBER(SEARCH("charge",C140)),"Fees","Other")))))))))))))))))))))))))</f>
        <v>Merchant Payment</v>
      </c>
      <c r="R140" s="1" t="str">
        <f aca="false">TEXT(B140,"MMM YYYY")</f>
        <v>Jan 2026</v>
      </c>
    </row>
    <row r="141" customFormat="false" ht="13.8" hidden="false" customHeight="false" outlineLevel="0" collapsed="false">
      <c r="A141" s="4" t="s">
        <v>317</v>
      </c>
      <c r="B141" s="4" t="s">
        <v>318</v>
      </c>
      <c r="C141" s="4" t="s">
        <v>29</v>
      </c>
      <c r="D141" s="4" t="s">
        <v>18</v>
      </c>
      <c r="E141" s="4"/>
      <c r="F141" s="4" t="n">
        <v>10</v>
      </c>
      <c r="G141" s="4" t="n">
        <v>2640</v>
      </c>
      <c r="L141" s="1" t="str">
        <f aca="false">IF(ISNUMBER(SEARCH("Bundle",C141)),"Bundles",IF(ISNUMBER(SEARCH("Airtime",C141)),"Bundles",IF(ISNUMBER(SEARCH("Merchant",C141)),"Merchant Payment",IF(ISNUMBER(SEARCH("Offnet C2B",C141)),"Merchant Payment",IF(ISNUMBER(SEARCH("Offnet B2C",C141)),"Merchant Payment",IF(ISNUMBER(SEARCH("Customer Payment to Small",C141)),"Merchant Payment",IF(ISNUMBER(SEARCH("Payment to Small Business",C141)),"Merchant Payment",IF(ISNUMBER(SEARCH("Sent to",C141)),"Sent to Person",IF(ISNUMBER(SEARCH("Customer Transfer to",C141)),"Sent to Person",IF(ISNUMBER(SEARCH("Business Payment",C141)),"Money In",IF(ISNUMBER(SEARCH("Funds Received",C141)),"Money In",IF(ISNUMBER(SEARCH("Receive International",C141)),"Money In",IF(ISNUMBER(SEARCH("Send Money Reversal",C141)),"Money In",IF(ISNUMBER(SEARCH("Pay Utility Reversal",C141)),"Money In",IF(ISNUMBER(SEARCH("Customer Transfer",C141)),"Money In",IF(ISNUMBER(SEARCH("Ziidi",C141)),"Investment",IF(ISNUMBER(SEARCH("Nabo",C141)),"Investment",IF(ISNUMBER(SEARCH("Paybill Online",C141)),"Pay Bill",IF(ISNUMBER(SEARCH("Pay Bill",C141)),"Pay Bill",IF(ISNUMBER(SEARCH("Spotify",C141)),"Pay Bill",IF(ISNUMBER(SEARCH("M-Shwari",C141)),"Mshwari",IF(ISNUMBER(SEARCH("Mshwari",C141)),"Mshwari",IF(ISNUMBER(SEARCH("Withdrawal charge",C141)),"Fees",IF(ISNUMBER(SEARCH("Customer Withdrawal",C141)),"Fees",IF(ISNUMBER(SEARCH("charge",C141)),"Fees","Other")))))))))))))))))))))))))</f>
        <v>Bundles</v>
      </c>
      <c r="R141" s="1" t="str">
        <f aca="false">TEXT(B141,"MMM YYYY")</f>
        <v>Jan 2026</v>
      </c>
    </row>
    <row r="142" customFormat="false" ht="13.8" hidden="false" customHeight="false" outlineLevel="0" collapsed="false">
      <c r="A142" s="4" t="s">
        <v>319</v>
      </c>
      <c r="B142" s="4" t="s">
        <v>320</v>
      </c>
      <c r="C142" s="4" t="s">
        <v>239</v>
      </c>
      <c r="D142" s="4" t="s">
        <v>18</v>
      </c>
      <c r="E142" s="4"/>
      <c r="F142" s="4" t="n">
        <v>53</v>
      </c>
      <c r="G142" s="4" t="n">
        <v>25205</v>
      </c>
      <c r="L142" s="1" t="str">
        <f aca="false">IF(ISNUMBER(SEARCH("Bundle",C142)),"Bundles",IF(ISNUMBER(SEARCH("Airtime",C142)),"Bundles",IF(ISNUMBER(SEARCH("Merchant",C142)),"Merchant Payment",IF(ISNUMBER(SEARCH("Offnet C2B",C142)),"Merchant Payment",IF(ISNUMBER(SEARCH("Offnet B2C",C142)),"Merchant Payment",IF(ISNUMBER(SEARCH("Customer Payment to Small",C142)),"Merchant Payment",IF(ISNUMBER(SEARCH("Payment to Small Business",C142)),"Merchant Payment",IF(ISNUMBER(SEARCH("Sent to",C142)),"Sent to Person",IF(ISNUMBER(SEARCH("Customer Transfer to",C142)),"Sent to Person",IF(ISNUMBER(SEARCH("Business Payment",C142)),"Money In",IF(ISNUMBER(SEARCH("Funds Received",C142)),"Money In",IF(ISNUMBER(SEARCH("Receive International",C142)),"Money In",IF(ISNUMBER(SEARCH("Send Money Reversal",C142)),"Money In",IF(ISNUMBER(SEARCH("Pay Utility Reversal",C142)),"Money In",IF(ISNUMBER(SEARCH("Customer Transfer",C142)),"Money In",IF(ISNUMBER(SEARCH("Ziidi",C142)),"Investment",IF(ISNUMBER(SEARCH("Nabo",C142)),"Investment",IF(ISNUMBER(SEARCH("Paybill Online",C142)),"Pay Bill",IF(ISNUMBER(SEARCH("Pay Bill",C142)),"Pay Bill",IF(ISNUMBER(SEARCH("Spotify",C142)),"Pay Bill",IF(ISNUMBER(SEARCH("M-Shwari",C142)),"Mshwari",IF(ISNUMBER(SEARCH("Mshwari",C142)),"Mshwari",IF(ISNUMBER(SEARCH("Withdrawal charge",C142)),"Fees",IF(ISNUMBER(SEARCH("Customer Withdrawal",C142)),"Fees",IF(ISNUMBER(SEARCH("charge",C142)),"Fees","Other")))))))))))))))))))))))))</f>
        <v>Money In</v>
      </c>
      <c r="R142" s="1" t="str">
        <f aca="false">TEXT(B142,"MMM YYYY")</f>
        <v>Feb 2026</v>
      </c>
    </row>
    <row r="143" customFormat="false" ht="13.8" hidden="false" customHeight="false" outlineLevel="0" collapsed="false">
      <c r="A143" s="4" t="s">
        <v>321</v>
      </c>
      <c r="B143" s="4" t="s">
        <v>322</v>
      </c>
      <c r="C143" s="4" t="s">
        <v>239</v>
      </c>
      <c r="D143" s="4" t="s">
        <v>18</v>
      </c>
      <c r="E143" s="4"/>
      <c r="F143" s="4" t="n">
        <v>78</v>
      </c>
      <c r="G143" s="4" t="n">
        <v>18127</v>
      </c>
      <c r="L143" s="1" t="str">
        <f aca="false">IF(ISNUMBER(SEARCH("Bundle",C143)),"Bundles",IF(ISNUMBER(SEARCH("Airtime",C143)),"Bundles",IF(ISNUMBER(SEARCH("Merchant",C143)),"Merchant Payment",IF(ISNUMBER(SEARCH("Offnet C2B",C143)),"Merchant Payment",IF(ISNUMBER(SEARCH("Offnet B2C",C143)),"Merchant Payment",IF(ISNUMBER(SEARCH("Customer Payment to Small",C143)),"Merchant Payment",IF(ISNUMBER(SEARCH("Payment to Small Business",C143)),"Merchant Payment",IF(ISNUMBER(SEARCH("Sent to",C143)),"Sent to Person",IF(ISNUMBER(SEARCH("Customer Transfer to",C143)),"Sent to Person",IF(ISNUMBER(SEARCH("Business Payment",C143)),"Money In",IF(ISNUMBER(SEARCH("Funds Received",C143)),"Money In",IF(ISNUMBER(SEARCH("Receive International",C143)),"Money In",IF(ISNUMBER(SEARCH("Send Money Reversal",C143)),"Money In",IF(ISNUMBER(SEARCH("Pay Utility Reversal",C143)),"Money In",IF(ISNUMBER(SEARCH("Customer Transfer",C143)),"Money In",IF(ISNUMBER(SEARCH("Ziidi",C143)),"Investment",IF(ISNUMBER(SEARCH("Nabo",C143)),"Investment",IF(ISNUMBER(SEARCH("Paybill Online",C143)),"Pay Bill",IF(ISNUMBER(SEARCH("Pay Bill",C143)),"Pay Bill",IF(ISNUMBER(SEARCH("Spotify",C143)),"Pay Bill",IF(ISNUMBER(SEARCH("M-Shwari",C143)),"Mshwari",IF(ISNUMBER(SEARCH("Mshwari",C143)),"Mshwari",IF(ISNUMBER(SEARCH("Withdrawal charge",C143)),"Fees",IF(ISNUMBER(SEARCH("Customer Withdrawal",C143)),"Fees",IF(ISNUMBER(SEARCH("charge",C143)),"Fees","Other")))))))))))))))))))))))))</f>
        <v>Money In</v>
      </c>
      <c r="R143" s="1" t="str">
        <f aca="false">TEXT(B143,"MMM YYYY")</f>
        <v>Feb 2026</v>
      </c>
    </row>
    <row r="144" customFormat="false" ht="13.8" hidden="false" customHeight="false" outlineLevel="0" collapsed="false">
      <c r="A144" s="4" t="s">
        <v>321</v>
      </c>
      <c r="B144" s="4" t="s">
        <v>322</v>
      </c>
      <c r="C144" s="4" t="s">
        <v>323</v>
      </c>
      <c r="D144" s="4" t="s">
        <v>18</v>
      </c>
      <c r="E144" s="4"/>
      <c r="F144" s="4" t="n">
        <v>7000</v>
      </c>
      <c r="G144" s="4" t="n">
        <v>18205</v>
      </c>
      <c r="L144" s="1" t="str">
        <f aca="false">IF(ISNUMBER(SEARCH("Bundle",C144)),"Bundles",IF(ISNUMBER(SEARCH("Airtime",C144)),"Bundles",IF(ISNUMBER(SEARCH("Merchant",C144)),"Merchant Payment",IF(ISNUMBER(SEARCH("Offnet C2B",C144)),"Merchant Payment",IF(ISNUMBER(SEARCH("Offnet B2C",C144)),"Merchant Payment",IF(ISNUMBER(SEARCH("Customer Payment to Small",C144)),"Merchant Payment",IF(ISNUMBER(SEARCH("Payment to Small Business",C144)),"Merchant Payment",IF(ISNUMBER(SEARCH("Sent to",C144)),"Sent to Person",IF(ISNUMBER(SEARCH("Customer Transfer to",C144)),"Sent to Person",IF(ISNUMBER(SEARCH("Business Payment",C144)),"Money In",IF(ISNUMBER(SEARCH("Funds Received",C144)),"Money In",IF(ISNUMBER(SEARCH("Receive International",C144)),"Money In",IF(ISNUMBER(SEARCH("Send Money Reversal",C144)),"Money In",IF(ISNUMBER(SEARCH("Pay Utility Reversal",C144)),"Money In",IF(ISNUMBER(SEARCH("Customer Transfer",C144)),"Money In",IF(ISNUMBER(SEARCH("Ziidi",C144)),"Investment",IF(ISNUMBER(SEARCH("Nabo",C144)),"Investment",IF(ISNUMBER(SEARCH("Paybill Online",C144)),"Pay Bill",IF(ISNUMBER(SEARCH("Pay Bill",C144)),"Pay Bill",IF(ISNUMBER(SEARCH("Spotify",C144)),"Pay Bill",IF(ISNUMBER(SEARCH("M-Shwari",C144)),"Mshwari",IF(ISNUMBER(SEARCH("Mshwari",C144)),"Mshwari",IF(ISNUMBER(SEARCH("Withdrawal charge",C144)),"Fees",IF(ISNUMBER(SEARCH("Customer Withdrawal",C144)),"Fees",IF(ISNUMBER(SEARCH("charge",C144)),"Fees","Other")))))))))))))))))))))))))</f>
        <v>Sent to Person</v>
      </c>
      <c r="R144" s="1" t="str">
        <f aca="false">TEXT(B144,"MMM YYYY")</f>
        <v>Feb 2026</v>
      </c>
    </row>
    <row r="145" customFormat="false" ht="13.8" hidden="false" customHeight="false" outlineLevel="0" collapsed="false">
      <c r="A145" s="4" t="s">
        <v>324</v>
      </c>
      <c r="B145" s="4" t="s">
        <v>325</v>
      </c>
      <c r="C145" s="4" t="s">
        <v>326</v>
      </c>
      <c r="D145" s="4" t="s">
        <v>18</v>
      </c>
      <c r="E145" s="4"/>
      <c r="F145" s="4" t="n">
        <v>15000</v>
      </c>
      <c r="G145" s="4" t="n">
        <v>3127</v>
      </c>
      <c r="L145" s="1" t="str">
        <f aca="false">IF(ISNUMBER(SEARCH("Bundle",C145)),"Bundles",IF(ISNUMBER(SEARCH("Airtime",C145)),"Bundles",IF(ISNUMBER(SEARCH("Merchant",C145)),"Merchant Payment",IF(ISNUMBER(SEARCH("Offnet C2B",C145)),"Merchant Payment",IF(ISNUMBER(SEARCH("Offnet B2C",C145)),"Merchant Payment",IF(ISNUMBER(SEARCH("Customer Payment to Small",C145)),"Merchant Payment",IF(ISNUMBER(SEARCH("Payment to Small Business",C145)),"Merchant Payment",IF(ISNUMBER(SEARCH("Sent to",C145)),"Sent to Person",IF(ISNUMBER(SEARCH("Customer Transfer to",C145)),"Sent to Person",IF(ISNUMBER(SEARCH("Business Payment",C145)),"Money In",IF(ISNUMBER(SEARCH("Funds Received",C145)),"Money In",IF(ISNUMBER(SEARCH("Receive International",C145)),"Money In",IF(ISNUMBER(SEARCH("Send Money Reversal",C145)),"Money In",IF(ISNUMBER(SEARCH("Pay Utility Reversal",C145)),"Money In",IF(ISNUMBER(SEARCH("Customer Transfer",C145)),"Money In",IF(ISNUMBER(SEARCH("Ziidi",C145)),"Investment",IF(ISNUMBER(SEARCH("Nabo",C145)),"Investment",IF(ISNUMBER(SEARCH("Paybill Online",C145)),"Pay Bill",IF(ISNUMBER(SEARCH("Pay Bill",C145)),"Pay Bill",IF(ISNUMBER(SEARCH("Spotify",C145)),"Pay Bill",IF(ISNUMBER(SEARCH("M-Shwari",C145)),"Mshwari",IF(ISNUMBER(SEARCH("Mshwari",C145)),"Mshwari",IF(ISNUMBER(SEARCH("Withdrawal charge",C145)),"Fees",IF(ISNUMBER(SEARCH("Customer Withdrawal",C145)),"Fees",IF(ISNUMBER(SEARCH("charge",C145)),"Fees","Other")))))))))))))))))))))))))</f>
        <v>Investment</v>
      </c>
      <c r="R145" s="1" t="str">
        <f aca="false">TEXT(B145,"MMM YYYY")</f>
        <v>Feb 2026</v>
      </c>
    </row>
    <row r="146" customFormat="false" ht="13.8" hidden="false" customHeight="false" outlineLevel="0" collapsed="false">
      <c r="A146" s="4" t="s">
        <v>324</v>
      </c>
      <c r="B146" s="4" t="s">
        <v>325</v>
      </c>
      <c r="C146" s="4" t="s">
        <v>182</v>
      </c>
      <c r="D146" s="4" t="s">
        <v>18</v>
      </c>
      <c r="E146" s="4"/>
      <c r="F146" s="4" t="n">
        <v>57</v>
      </c>
      <c r="G146" s="4" t="n">
        <v>3070</v>
      </c>
      <c r="L146" s="1" t="str">
        <f aca="false">IF(ISNUMBER(SEARCH("Bundle",C146)),"Bundles",IF(ISNUMBER(SEARCH("Airtime",C146)),"Bundles",IF(ISNUMBER(SEARCH("Merchant",C146)),"Merchant Payment",IF(ISNUMBER(SEARCH("Offnet C2B",C146)),"Merchant Payment",IF(ISNUMBER(SEARCH("Offnet B2C",C146)),"Merchant Payment",IF(ISNUMBER(SEARCH("Customer Payment to Small",C146)),"Merchant Payment",IF(ISNUMBER(SEARCH("Payment to Small Business",C146)),"Merchant Payment",IF(ISNUMBER(SEARCH("Sent to",C146)),"Sent to Person",IF(ISNUMBER(SEARCH("Customer Transfer to",C146)),"Sent to Person",IF(ISNUMBER(SEARCH("Business Payment",C146)),"Money In",IF(ISNUMBER(SEARCH("Funds Received",C146)),"Money In",IF(ISNUMBER(SEARCH("Receive International",C146)),"Money In",IF(ISNUMBER(SEARCH("Send Money Reversal",C146)),"Money In",IF(ISNUMBER(SEARCH("Pay Utility Reversal",C146)),"Money In",IF(ISNUMBER(SEARCH("Customer Transfer",C146)),"Money In",IF(ISNUMBER(SEARCH("Ziidi",C146)),"Investment",IF(ISNUMBER(SEARCH("Nabo",C146)),"Investment",IF(ISNUMBER(SEARCH("Paybill Online",C146)),"Pay Bill",IF(ISNUMBER(SEARCH("Pay Bill",C146)),"Pay Bill",IF(ISNUMBER(SEARCH("Spotify",C146)),"Pay Bill",IF(ISNUMBER(SEARCH("M-Shwari",C146)),"Mshwari",IF(ISNUMBER(SEARCH("Mshwari",C146)),"Mshwari",IF(ISNUMBER(SEARCH("Withdrawal charge",C146)),"Fees",IF(ISNUMBER(SEARCH("Customer Withdrawal",C146)),"Fees",IF(ISNUMBER(SEARCH("charge",C146)),"Fees","Other")))))))))))))))))))))))))</f>
        <v>Pay Bill</v>
      </c>
      <c r="R146" s="1" t="str">
        <f aca="false">TEXT(B146,"MMM YYYY")</f>
        <v>Feb 2026</v>
      </c>
    </row>
    <row r="147" customFormat="false" ht="13.8" hidden="false" customHeight="false" outlineLevel="0" collapsed="false">
      <c r="A147" s="4" t="s">
        <v>327</v>
      </c>
      <c r="B147" s="4" t="s">
        <v>328</v>
      </c>
      <c r="C147" s="4" t="s">
        <v>29</v>
      </c>
      <c r="D147" s="4" t="s">
        <v>18</v>
      </c>
      <c r="E147" s="4"/>
      <c r="F147" s="4" t="n">
        <v>30</v>
      </c>
      <c r="G147" s="4" t="n">
        <v>3040</v>
      </c>
      <c r="L147" s="1" t="str">
        <f aca="false">IF(ISNUMBER(SEARCH("Bundle",C147)),"Bundles",IF(ISNUMBER(SEARCH("Airtime",C147)),"Bundles",IF(ISNUMBER(SEARCH("Merchant",C147)),"Merchant Payment",IF(ISNUMBER(SEARCH("Offnet C2B",C147)),"Merchant Payment",IF(ISNUMBER(SEARCH("Offnet B2C",C147)),"Merchant Payment",IF(ISNUMBER(SEARCH("Customer Payment to Small",C147)),"Merchant Payment",IF(ISNUMBER(SEARCH("Payment to Small Business",C147)),"Merchant Payment",IF(ISNUMBER(SEARCH("Sent to",C147)),"Sent to Person",IF(ISNUMBER(SEARCH("Customer Transfer to",C147)),"Sent to Person",IF(ISNUMBER(SEARCH("Business Payment",C147)),"Money In",IF(ISNUMBER(SEARCH("Funds Received",C147)),"Money In",IF(ISNUMBER(SEARCH("Receive International",C147)),"Money In",IF(ISNUMBER(SEARCH("Send Money Reversal",C147)),"Money In",IF(ISNUMBER(SEARCH("Pay Utility Reversal",C147)),"Money In",IF(ISNUMBER(SEARCH("Customer Transfer",C147)),"Money In",IF(ISNUMBER(SEARCH("Ziidi",C147)),"Investment",IF(ISNUMBER(SEARCH("Nabo",C147)),"Investment",IF(ISNUMBER(SEARCH("Paybill Online",C147)),"Pay Bill",IF(ISNUMBER(SEARCH("Pay Bill",C147)),"Pay Bill",IF(ISNUMBER(SEARCH("Spotify",C147)),"Pay Bill",IF(ISNUMBER(SEARCH("M-Shwari",C147)),"Mshwari",IF(ISNUMBER(SEARCH("Mshwari",C147)),"Mshwari",IF(ISNUMBER(SEARCH("Withdrawal charge",C147)),"Fees",IF(ISNUMBER(SEARCH("Customer Withdrawal",C147)),"Fees",IF(ISNUMBER(SEARCH("charge",C147)),"Fees","Other")))))))))))))))))))))))))</f>
        <v>Bundles</v>
      </c>
      <c r="R147" s="1" t="str">
        <f aca="false">TEXT(B147,"MMM YYYY")</f>
        <v>Feb 2026</v>
      </c>
    </row>
    <row r="148" customFormat="false" ht="13.8" hidden="false" customHeight="false" outlineLevel="0" collapsed="false">
      <c r="A148" s="4" t="s">
        <v>329</v>
      </c>
      <c r="B148" s="4" t="s">
        <v>330</v>
      </c>
      <c r="C148" s="4" t="s">
        <v>243</v>
      </c>
      <c r="D148" s="4" t="s">
        <v>18</v>
      </c>
      <c r="E148" s="4"/>
      <c r="F148" s="4" t="n">
        <v>30</v>
      </c>
      <c r="G148" s="4" t="n">
        <v>3010</v>
      </c>
      <c r="L148" s="1" t="str">
        <f aca="false">IF(ISNUMBER(SEARCH("Bundle",C148)),"Bundles",IF(ISNUMBER(SEARCH("Airtime",C148)),"Bundles",IF(ISNUMBER(SEARCH("Merchant",C148)),"Merchant Payment",IF(ISNUMBER(SEARCH("Offnet C2B",C148)),"Merchant Payment",IF(ISNUMBER(SEARCH("Offnet B2C",C148)),"Merchant Payment",IF(ISNUMBER(SEARCH("Customer Payment to Small",C148)),"Merchant Payment",IF(ISNUMBER(SEARCH("Payment to Small Business",C148)),"Merchant Payment",IF(ISNUMBER(SEARCH("Sent to",C148)),"Sent to Person",IF(ISNUMBER(SEARCH("Customer Transfer to",C148)),"Sent to Person",IF(ISNUMBER(SEARCH("Business Payment",C148)),"Money In",IF(ISNUMBER(SEARCH("Funds Received",C148)),"Money In",IF(ISNUMBER(SEARCH("Receive International",C148)),"Money In",IF(ISNUMBER(SEARCH("Send Money Reversal",C148)),"Money In",IF(ISNUMBER(SEARCH("Pay Utility Reversal",C148)),"Money In",IF(ISNUMBER(SEARCH("Customer Transfer",C148)),"Money In",IF(ISNUMBER(SEARCH("Ziidi",C148)),"Investment",IF(ISNUMBER(SEARCH("Nabo",C148)),"Investment",IF(ISNUMBER(SEARCH("Paybill Online",C148)),"Pay Bill",IF(ISNUMBER(SEARCH("Pay Bill",C148)),"Pay Bill",IF(ISNUMBER(SEARCH("Spotify",C148)),"Pay Bill",IF(ISNUMBER(SEARCH("M-Shwari",C148)),"Mshwari",IF(ISNUMBER(SEARCH("Mshwari",C148)),"Mshwari",IF(ISNUMBER(SEARCH("Withdrawal charge",C148)),"Fees",IF(ISNUMBER(SEARCH("Customer Withdrawal",C148)),"Fees",IF(ISNUMBER(SEARCH("charge",C148)),"Fees","Other")))))))))))))))))))))))))</f>
        <v>Merchant Payment</v>
      </c>
      <c r="R148" s="1" t="str">
        <f aca="false">TEXT(B148,"MMM YYYY")</f>
        <v>Feb 2026</v>
      </c>
    </row>
    <row r="149" customFormat="false" ht="13.8" hidden="false" customHeight="false" outlineLevel="0" collapsed="false">
      <c r="A149" s="4" t="s">
        <v>331</v>
      </c>
      <c r="B149" s="4" t="s">
        <v>332</v>
      </c>
      <c r="C149" s="4" t="s">
        <v>333</v>
      </c>
      <c r="D149" s="4" t="s">
        <v>18</v>
      </c>
      <c r="E149" s="4"/>
      <c r="F149" s="4"/>
      <c r="G149" s="4" t="n">
        <v>7</v>
      </c>
      <c r="L149" s="1" t="str">
        <f aca="false">IF(ISNUMBER(SEARCH("Bundle",C149)),"Bundles",IF(ISNUMBER(SEARCH("Airtime",C149)),"Bundles",IF(ISNUMBER(SEARCH("Merchant",C149)),"Merchant Payment",IF(ISNUMBER(SEARCH("Offnet C2B",C149)),"Merchant Payment",IF(ISNUMBER(SEARCH("Offnet B2C",C149)),"Merchant Payment",IF(ISNUMBER(SEARCH("Customer Payment to Small",C149)),"Merchant Payment",IF(ISNUMBER(SEARCH("Payment to Small Business",C149)),"Merchant Payment",IF(ISNUMBER(SEARCH("Sent to",C149)),"Sent to Person",IF(ISNUMBER(SEARCH("Customer Transfer to",C149)),"Sent to Person",IF(ISNUMBER(SEARCH("Business Payment",C149)),"Money In",IF(ISNUMBER(SEARCH("Funds Received",C149)),"Money In",IF(ISNUMBER(SEARCH("Receive International",C149)),"Money In",IF(ISNUMBER(SEARCH("Send Money Reversal",C149)),"Money In",IF(ISNUMBER(SEARCH("Pay Utility Reversal",C149)),"Money In",IF(ISNUMBER(SEARCH("Customer Transfer",C149)),"Money In",IF(ISNUMBER(SEARCH("Ziidi",C149)),"Investment",IF(ISNUMBER(SEARCH("Nabo",C149)),"Investment",IF(ISNUMBER(SEARCH("Paybill Online",C149)),"Pay Bill",IF(ISNUMBER(SEARCH("Pay Bill",C149)),"Pay Bill",IF(ISNUMBER(SEARCH("Spotify",C149)),"Pay Bill",IF(ISNUMBER(SEARCH("M-Shwari",C149)),"Mshwari",IF(ISNUMBER(SEARCH("Mshwari",C149)),"Mshwari",IF(ISNUMBER(SEARCH("Withdrawal charge",C149)),"Fees",IF(ISNUMBER(SEARCH("Customer Withdrawal",C149)),"Fees",IF(ISNUMBER(SEARCH("charge",C149)),"Fees","Other")))))))))))))))))))))))))</f>
        <v>Money In</v>
      </c>
      <c r="R149" s="1" t="str">
        <f aca="false">TEXT(B149,"MMM YYYY")</f>
        <v>Feb 2026</v>
      </c>
    </row>
    <row r="150" customFormat="false" ht="13.8" hidden="false" customHeight="false" outlineLevel="0" collapsed="false">
      <c r="A150" s="4" t="s">
        <v>331</v>
      </c>
      <c r="B150" s="4" t="s">
        <v>332</v>
      </c>
      <c r="C150" s="4" t="s">
        <v>334</v>
      </c>
      <c r="D150" s="4" t="s">
        <v>18</v>
      </c>
      <c r="E150" s="4"/>
      <c r="F150" s="4" t="n">
        <v>150</v>
      </c>
      <c r="G150" s="4" t="n">
        <v>2860</v>
      </c>
      <c r="L150" s="1" t="str">
        <f aca="false">IF(ISNUMBER(SEARCH("Bundle",C150)),"Bundles",IF(ISNUMBER(SEARCH("Airtime",C150)),"Bundles",IF(ISNUMBER(SEARCH("Merchant",C150)),"Merchant Payment",IF(ISNUMBER(SEARCH("Offnet C2B",C150)),"Merchant Payment",IF(ISNUMBER(SEARCH("Offnet B2C",C150)),"Merchant Payment",IF(ISNUMBER(SEARCH("Customer Payment to Small",C150)),"Merchant Payment",IF(ISNUMBER(SEARCH("Payment to Small Business",C150)),"Merchant Payment",IF(ISNUMBER(SEARCH("Sent to",C150)),"Sent to Person",IF(ISNUMBER(SEARCH("Customer Transfer to",C150)),"Sent to Person",IF(ISNUMBER(SEARCH("Business Payment",C150)),"Money In",IF(ISNUMBER(SEARCH("Funds Received",C150)),"Money In",IF(ISNUMBER(SEARCH("Receive International",C150)),"Money In",IF(ISNUMBER(SEARCH("Send Money Reversal",C150)),"Money In",IF(ISNUMBER(SEARCH("Pay Utility Reversal",C150)),"Money In",IF(ISNUMBER(SEARCH("Customer Transfer",C150)),"Money In",IF(ISNUMBER(SEARCH("Ziidi",C150)),"Investment",IF(ISNUMBER(SEARCH("Nabo",C150)),"Investment",IF(ISNUMBER(SEARCH("Paybill Online",C150)),"Pay Bill",IF(ISNUMBER(SEARCH("Pay Bill",C150)),"Pay Bill",IF(ISNUMBER(SEARCH("Spotify",C150)),"Pay Bill",IF(ISNUMBER(SEARCH("M-Shwari",C150)),"Mshwari",IF(ISNUMBER(SEARCH("Mshwari",C150)),"Mshwari",IF(ISNUMBER(SEARCH("Withdrawal charge",C150)),"Fees",IF(ISNUMBER(SEARCH("Customer Withdrawal",C150)),"Fees",IF(ISNUMBER(SEARCH("charge",C150)),"Fees","Other")))))))))))))))))))))))))</f>
        <v>Merchant Payment</v>
      </c>
      <c r="R150" s="1" t="str">
        <f aca="false">TEXT(B150,"MMM YYYY")</f>
        <v>Feb 2026</v>
      </c>
    </row>
    <row r="151" customFormat="false" ht="13.8" hidden="false" customHeight="false" outlineLevel="0" collapsed="false">
      <c r="A151" s="4" t="s">
        <v>335</v>
      </c>
      <c r="B151" s="4" t="s">
        <v>336</v>
      </c>
      <c r="C151" s="4" t="s">
        <v>90</v>
      </c>
      <c r="D151" s="4" t="s">
        <v>18</v>
      </c>
      <c r="E151" s="4"/>
      <c r="F151" s="4"/>
      <c r="G151" s="4" t="n">
        <v>30</v>
      </c>
      <c r="L151" s="1" t="str">
        <f aca="false">IF(ISNUMBER(SEARCH("Bundle",C151)),"Bundles",IF(ISNUMBER(SEARCH("Airtime",C151)),"Bundles",IF(ISNUMBER(SEARCH("Merchant",C151)),"Merchant Payment",IF(ISNUMBER(SEARCH("Offnet C2B",C151)),"Merchant Payment",IF(ISNUMBER(SEARCH("Offnet B2C",C151)),"Merchant Payment",IF(ISNUMBER(SEARCH("Customer Payment to Small",C151)),"Merchant Payment",IF(ISNUMBER(SEARCH("Payment to Small Business",C151)),"Merchant Payment",IF(ISNUMBER(SEARCH("Sent to",C151)),"Sent to Person",IF(ISNUMBER(SEARCH("Customer Transfer to",C151)),"Sent to Person",IF(ISNUMBER(SEARCH("Business Payment",C151)),"Money In",IF(ISNUMBER(SEARCH("Funds Received",C151)),"Money In",IF(ISNUMBER(SEARCH("Receive International",C151)),"Money In",IF(ISNUMBER(SEARCH("Send Money Reversal",C151)),"Money In",IF(ISNUMBER(SEARCH("Pay Utility Reversal",C151)),"Money In",IF(ISNUMBER(SEARCH("Customer Transfer",C151)),"Money In",IF(ISNUMBER(SEARCH("Ziidi",C151)),"Investment",IF(ISNUMBER(SEARCH("Nabo",C151)),"Investment",IF(ISNUMBER(SEARCH("Paybill Online",C151)),"Pay Bill",IF(ISNUMBER(SEARCH("Pay Bill",C151)),"Pay Bill",IF(ISNUMBER(SEARCH("Spotify",C151)),"Pay Bill",IF(ISNUMBER(SEARCH("M-Shwari",C151)),"Mshwari",IF(ISNUMBER(SEARCH("Mshwari",C151)),"Mshwari",IF(ISNUMBER(SEARCH("Withdrawal charge",C151)),"Fees",IF(ISNUMBER(SEARCH("Customer Withdrawal",C151)),"Fees",IF(ISNUMBER(SEARCH("charge",C151)),"Fees","Other")))))))))))))))))))))))))</f>
        <v>Bundles</v>
      </c>
      <c r="R151" s="1" t="str">
        <f aca="false">TEXT(B151,"MMM YYYY")</f>
        <v>Feb 2026</v>
      </c>
    </row>
    <row r="152" customFormat="false" ht="13.8" hidden="false" customHeight="false" outlineLevel="0" collapsed="false">
      <c r="A152" s="4" t="s">
        <v>337</v>
      </c>
      <c r="B152" s="4" t="s">
        <v>338</v>
      </c>
      <c r="C152" s="4" t="s">
        <v>90</v>
      </c>
      <c r="D152" s="4" t="s">
        <v>18</v>
      </c>
      <c r="E152" s="4"/>
      <c r="F152" s="4"/>
      <c r="G152" s="4" t="n">
        <v>10</v>
      </c>
      <c r="L152" s="1" t="str">
        <f aca="false">IF(ISNUMBER(SEARCH("Bundle",C152)),"Bundles",IF(ISNUMBER(SEARCH("Airtime",C152)),"Bundles",IF(ISNUMBER(SEARCH("Merchant",C152)),"Merchant Payment",IF(ISNUMBER(SEARCH("Offnet C2B",C152)),"Merchant Payment",IF(ISNUMBER(SEARCH("Offnet B2C",C152)),"Merchant Payment",IF(ISNUMBER(SEARCH("Customer Payment to Small",C152)),"Merchant Payment",IF(ISNUMBER(SEARCH("Payment to Small Business",C152)),"Merchant Payment",IF(ISNUMBER(SEARCH("Sent to",C152)),"Sent to Person",IF(ISNUMBER(SEARCH("Customer Transfer to",C152)),"Sent to Person",IF(ISNUMBER(SEARCH("Business Payment",C152)),"Money In",IF(ISNUMBER(SEARCH("Funds Received",C152)),"Money In",IF(ISNUMBER(SEARCH("Receive International",C152)),"Money In",IF(ISNUMBER(SEARCH("Send Money Reversal",C152)),"Money In",IF(ISNUMBER(SEARCH("Pay Utility Reversal",C152)),"Money In",IF(ISNUMBER(SEARCH("Customer Transfer",C152)),"Money In",IF(ISNUMBER(SEARCH("Ziidi",C152)),"Investment",IF(ISNUMBER(SEARCH("Nabo",C152)),"Investment",IF(ISNUMBER(SEARCH("Paybill Online",C152)),"Pay Bill",IF(ISNUMBER(SEARCH("Pay Bill",C152)),"Pay Bill",IF(ISNUMBER(SEARCH("Spotify",C152)),"Pay Bill",IF(ISNUMBER(SEARCH("M-Shwari",C152)),"Mshwari",IF(ISNUMBER(SEARCH("Mshwari",C152)),"Mshwari",IF(ISNUMBER(SEARCH("Withdrawal charge",C152)),"Fees",IF(ISNUMBER(SEARCH("Customer Withdrawal",C152)),"Fees",IF(ISNUMBER(SEARCH("charge",C152)),"Fees","Other")))))))))))))))))))))))))</f>
        <v>Bundles</v>
      </c>
      <c r="R152" s="1" t="str">
        <f aca="false">TEXT(B152,"MMM YYYY")</f>
        <v>Feb 2026</v>
      </c>
    </row>
    <row r="153" customFormat="false" ht="13.8" hidden="false" customHeight="false" outlineLevel="0" collapsed="false">
      <c r="A153" s="4" t="s">
        <v>339</v>
      </c>
      <c r="B153" s="4" t="s">
        <v>340</v>
      </c>
      <c r="C153" s="4" t="s">
        <v>341</v>
      </c>
      <c r="D153" s="4" t="s">
        <v>18</v>
      </c>
      <c r="E153" s="4"/>
      <c r="F153" s="4"/>
      <c r="G153" s="4" t="n">
        <v>100</v>
      </c>
      <c r="L153" s="1" t="str">
        <f aca="false">IF(ISNUMBER(SEARCH("Bundle",C153)),"Bundles",IF(ISNUMBER(SEARCH("Airtime",C153)),"Bundles",IF(ISNUMBER(SEARCH("Merchant",C153)),"Merchant Payment",IF(ISNUMBER(SEARCH("Offnet C2B",C153)),"Merchant Payment",IF(ISNUMBER(SEARCH("Offnet B2C",C153)),"Merchant Payment",IF(ISNUMBER(SEARCH("Customer Payment to Small",C153)),"Merchant Payment",IF(ISNUMBER(SEARCH("Payment to Small Business",C153)),"Merchant Payment",IF(ISNUMBER(SEARCH("Sent to",C153)),"Sent to Person",IF(ISNUMBER(SEARCH("Customer Transfer to",C153)),"Sent to Person",IF(ISNUMBER(SEARCH("Business Payment",C153)),"Money In",IF(ISNUMBER(SEARCH("Funds Received",C153)),"Money In",IF(ISNUMBER(SEARCH("Receive International",C153)),"Money In",IF(ISNUMBER(SEARCH("Send Money Reversal",C153)),"Money In",IF(ISNUMBER(SEARCH("Pay Utility Reversal",C153)),"Money In",IF(ISNUMBER(SEARCH("Customer Transfer",C153)),"Money In",IF(ISNUMBER(SEARCH("Ziidi",C153)),"Investment",IF(ISNUMBER(SEARCH("Nabo",C153)),"Investment",IF(ISNUMBER(SEARCH("Paybill Online",C153)),"Pay Bill",IF(ISNUMBER(SEARCH("Pay Bill",C153)),"Pay Bill",IF(ISNUMBER(SEARCH("Spotify",C153)),"Pay Bill",IF(ISNUMBER(SEARCH("M-Shwari",C153)),"Mshwari",IF(ISNUMBER(SEARCH("Mshwari",C153)),"Mshwari",IF(ISNUMBER(SEARCH("Withdrawal charge",C153)),"Fees",IF(ISNUMBER(SEARCH("Customer Withdrawal",C153)),"Fees",IF(ISNUMBER(SEARCH("charge",C153)),"Fees","Other")))))))))))))))))))))))))</f>
        <v>Merchant Payment</v>
      </c>
      <c r="R153" s="1" t="str">
        <f aca="false">TEXT(B153,"MMM YYYY")</f>
        <v>Feb 2026</v>
      </c>
    </row>
    <row r="154" customFormat="false" ht="13.8" hidden="false" customHeight="false" outlineLevel="0" collapsed="false">
      <c r="A154" s="4" t="s">
        <v>342</v>
      </c>
      <c r="B154" s="4" t="s">
        <v>343</v>
      </c>
      <c r="C154" s="4" t="s">
        <v>344</v>
      </c>
      <c r="D154" s="4" t="s">
        <v>18</v>
      </c>
      <c r="E154" s="4"/>
      <c r="F154" s="4"/>
      <c r="G154" s="4" t="n">
        <v>450</v>
      </c>
      <c r="L154" s="1" t="str">
        <f aca="false">IF(ISNUMBER(SEARCH("Bundle",C154)),"Bundles",IF(ISNUMBER(SEARCH("Airtime",C154)),"Bundles",IF(ISNUMBER(SEARCH("Merchant",C154)),"Merchant Payment",IF(ISNUMBER(SEARCH("Offnet C2B",C154)),"Merchant Payment",IF(ISNUMBER(SEARCH("Offnet B2C",C154)),"Merchant Payment",IF(ISNUMBER(SEARCH("Customer Payment to Small",C154)),"Merchant Payment",IF(ISNUMBER(SEARCH("Payment to Small Business",C154)),"Merchant Payment",IF(ISNUMBER(SEARCH("Sent to",C154)),"Sent to Person",IF(ISNUMBER(SEARCH("Customer Transfer to",C154)),"Sent to Person",IF(ISNUMBER(SEARCH("Business Payment",C154)),"Money In",IF(ISNUMBER(SEARCH("Funds Received",C154)),"Money In",IF(ISNUMBER(SEARCH("Receive International",C154)),"Money In",IF(ISNUMBER(SEARCH("Send Money Reversal",C154)),"Money In",IF(ISNUMBER(SEARCH("Pay Utility Reversal",C154)),"Money In",IF(ISNUMBER(SEARCH("Customer Transfer",C154)),"Money In",IF(ISNUMBER(SEARCH("Ziidi",C154)),"Investment",IF(ISNUMBER(SEARCH("Nabo",C154)),"Investment",IF(ISNUMBER(SEARCH("Paybill Online",C154)),"Pay Bill",IF(ISNUMBER(SEARCH("Pay Bill",C154)),"Pay Bill",IF(ISNUMBER(SEARCH("Spotify",C154)),"Pay Bill",IF(ISNUMBER(SEARCH("M-Shwari",C154)),"Mshwari",IF(ISNUMBER(SEARCH("Mshwari",C154)),"Mshwari",IF(ISNUMBER(SEARCH("Withdrawal charge",C154)),"Fees",IF(ISNUMBER(SEARCH("Customer Withdrawal",C154)),"Fees",IF(ISNUMBER(SEARCH("charge",C154)),"Fees","Other")))))))))))))))))))))))))</f>
        <v>Merchant Payment</v>
      </c>
      <c r="R154" s="1" t="str">
        <f aca="false">TEXT(B154,"MMM YYYY")</f>
        <v>Feb 2026</v>
      </c>
    </row>
    <row r="155" customFormat="false" ht="13.8" hidden="false" customHeight="false" outlineLevel="0" collapsed="false">
      <c r="A155" s="4" t="s">
        <v>345</v>
      </c>
      <c r="B155" s="4" t="s">
        <v>346</v>
      </c>
      <c r="C155" s="4" t="s">
        <v>90</v>
      </c>
      <c r="D155" s="4" t="s">
        <v>18</v>
      </c>
      <c r="E155" s="4"/>
      <c r="F155" s="4"/>
      <c r="G155" s="4" t="n">
        <v>10</v>
      </c>
      <c r="L155" s="1" t="str">
        <f aca="false">IF(ISNUMBER(SEARCH("Bundle",C155)),"Bundles",IF(ISNUMBER(SEARCH("Airtime",C155)),"Bundles",IF(ISNUMBER(SEARCH("Merchant",C155)),"Merchant Payment",IF(ISNUMBER(SEARCH("Offnet C2B",C155)),"Merchant Payment",IF(ISNUMBER(SEARCH("Offnet B2C",C155)),"Merchant Payment",IF(ISNUMBER(SEARCH("Customer Payment to Small",C155)),"Merchant Payment",IF(ISNUMBER(SEARCH("Payment to Small Business",C155)),"Merchant Payment",IF(ISNUMBER(SEARCH("Sent to",C155)),"Sent to Person",IF(ISNUMBER(SEARCH("Customer Transfer to",C155)),"Sent to Person",IF(ISNUMBER(SEARCH("Business Payment",C155)),"Money In",IF(ISNUMBER(SEARCH("Funds Received",C155)),"Money In",IF(ISNUMBER(SEARCH("Receive International",C155)),"Money In",IF(ISNUMBER(SEARCH("Send Money Reversal",C155)),"Money In",IF(ISNUMBER(SEARCH("Pay Utility Reversal",C155)),"Money In",IF(ISNUMBER(SEARCH("Customer Transfer",C155)),"Money In",IF(ISNUMBER(SEARCH("Ziidi",C155)),"Investment",IF(ISNUMBER(SEARCH("Nabo",C155)),"Investment",IF(ISNUMBER(SEARCH("Paybill Online",C155)),"Pay Bill",IF(ISNUMBER(SEARCH("Pay Bill",C155)),"Pay Bill",IF(ISNUMBER(SEARCH("Spotify",C155)),"Pay Bill",IF(ISNUMBER(SEARCH("M-Shwari",C155)),"Mshwari",IF(ISNUMBER(SEARCH("Mshwari",C155)),"Mshwari",IF(ISNUMBER(SEARCH("Withdrawal charge",C155)),"Fees",IF(ISNUMBER(SEARCH("Customer Withdrawal",C155)),"Fees",IF(ISNUMBER(SEARCH("charge",C155)),"Fees","Other")))))))))))))))))))))))))</f>
        <v>Bundles</v>
      </c>
      <c r="R155" s="1" t="str">
        <f aca="false">TEXT(B155,"MMM YYYY")</f>
        <v>Feb 2026</v>
      </c>
    </row>
    <row r="156" customFormat="false" ht="13.8" hidden="false" customHeight="false" outlineLevel="0" collapsed="false">
      <c r="A156" s="4" t="s">
        <v>347</v>
      </c>
      <c r="B156" s="4" t="s">
        <v>348</v>
      </c>
      <c r="C156" s="4" t="s">
        <v>90</v>
      </c>
      <c r="D156" s="4" t="s">
        <v>18</v>
      </c>
      <c r="E156" s="4"/>
      <c r="F156" s="4"/>
      <c r="G156" s="4" t="n">
        <v>10</v>
      </c>
      <c r="L156" s="1" t="str">
        <f aca="false">IF(ISNUMBER(SEARCH("Bundle",C156)),"Bundles",IF(ISNUMBER(SEARCH("Airtime",C156)),"Bundles",IF(ISNUMBER(SEARCH("Merchant",C156)),"Merchant Payment",IF(ISNUMBER(SEARCH("Offnet C2B",C156)),"Merchant Payment",IF(ISNUMBER(SEARCH("Offnet B2C",C156)),"Merchant Payment",IF(ISNUMBER(SEARCH("Customer Payment to Small",C156)),"Merchant Payment",IF(ISNUMBER(SEARCH("Payment to Small Business",C156)),"Merchant Payment",IF(ISNUMBER(SEARCH("Sent to",C156)),"Sent to Person",IF(ISNUMBER(SEARCH("Customer Transfer to",C156)),"Sent to Person",IF(ISNUMBER(SEARCH("Business Payment",C156)),"Money In",IF(ISNUMBER(SEARCH("Funds Received",C156)),"Money In",IF(ISNUMBER(SEARCH("Receive International",C156)),"Money In",IF(ISNUMBER(SEARCH("Send Money Reversal",C156)),"Money In",IF(ISNUMBER(SEARCH("Pay Utility Reversal",C156)),"Money In",IF(ISNUMBER(SEARCH("Customer Transfer",C156)),"Money In",IF(ISNUMBER(SEARCH("Ziidi",C156)),"Investment",IF(ISNUMBER(SEARCH("Nabo",C156)),"Investment",IF(ISNUMBER(SEARCH("Paybill Online",C156)),"Pay Bill",IF(ISNUMBER(SEARCH("Pay Bill",C156)),"Pay Bill",IF(ISNUMBER(SEARCH("Spotify",C156)),"Pay Bill",IF(ISNUMBER(SEARCH("M-Shwari",C156)),"Mshwari",IF(ISNUMBER(SEARCH("Mshwari",C156)),"Mshwari",IF(ISNUMBER(SEARCH("Withdrawal charge",C156)),"Fees",IF(ISNUMBER(SEARCH("Customer Withdrawal",C156)),"Fees",IF(ISNUMBER(SEARCH("charge",C156)),"Fees","Other")))))))))))))))))))))))))</f>
        <v>Bundles</v>
      </c>
      <c r="R156" s="1" t="str">
        <f aca="false">TEXT(B156,"MMM YYYY")</f>
        <v>Feb 2026</v>
      </c>
    </row>
    <row r="157" customFormat="false" ht="13.8" hidden="false" customHeight="false" outlineLevel="0" collapsed="false">
      <c r="A157" s="4" t="s">
        <v>349</v>
      </c>
      <c r="B157" s="4" t="s">
        <v>350</v>
      </c>
      <c r="C157" s="4" t="s">
        <v>90</v>
      </c>
      <c r="D157" s="4" t="s">
        <v>18</v>
      </c>
      <c r="E157" s="4"/>
      <c r="F157" s="4"/>
      <c r="G157" s="4" t="n">
        <v>10</v>
      </c>
      <c r="L157" s="1" t="str">
        <f aca="false">IF(ISNUMBER(SEARCH("Bundle",C157)),"Bundles",IF(ISNUMBER(SEARCH("Airtime",C157)),"Bundles",IF(ISNUMBER(SEARCH("Merchant",C157)),"Merchant Payment",IF(ISNUMBER(SEARCH("Offnet C2B",C157)),"Merchant Payment",IF(ISNUMBER(SEARCH("Offnet B2C",C157)),"Merchant Payment",IF(ISNUMBER(SEARCH("Customer Payment to Small",C157)),"Merchant Payment",IF(ISNUMBER(SEARCH("Payment to Small Business",C157)),"Merchant Payment",IF(ISNUMBER(SEARCH("Sent to",C157)),"Sent to Person",IF(ISNUMBER(SEARCH("Customer Transfer to",C157)),"Sent to Person",IF(ISNUMBER(SEARCH("Business Payment",C157)),"Money In",IF(ISNUMBER(SEARCH("Funds Received",C157)),"Money In",IF(ISNUMBER(SEARCH("Receive International",C157)),"Money In",IF(ISNUMBER(SEARCH("Send Money Reversal",C157)),"Money In",IF(ISNUMBER(SEARCH("Pay Utility Reversal",C157)),"Money In",IF(ISNUMBER(SEARCH("Customer Transfer",C157)),"Money In",IF(ISNUMBER(SEARCH("Ziidi",C157)),"Investment",IF(ISNUMBER(SEARCH("Nabo",C157)),"Investment",IF(ISNUMBER(SEARCH("Paybill Online",C157)),"Pay Bill",IF(ISNUMBER(SEARCH("Pay Bill",C157)),"Pay Bill",IF(ISNUMBER(SEARCH("Spotify",C157)),"Pay Bill",IF(ISNUMBER(SEARCH("M-Shwari",C157)),"Mshwari",IF(ISNUMBER(SEARCH("Mshwari",C157)),"Mshwari",IF(ISNUMBER(SEARCH("Withdrawal charge",C157)),"Fees",IF(ISNUMBER(SEARCH("Customer Withdrawal",C157)),"Fees",IF(ISNUMBER(SEARCH("charge",C157)),"Fees","Other")))))))))))))))))))))))))</f>
        <v>Bundles</v>
      </c>
      <c r="R157" s="1" t="str">
        <f aca="false">TEXT(B157,"MMM YYYY")</f>
        <v>Feb 2026</v>
      </c>
    </row>
    <row r="158" customFormat="false" ht="13.8" hidden="false" customHeight="false" outlineLevel="0" collapsed="false">
      <c r="A158" s="4" t="s">
        <v>351</v>
      </c>
      <c r="B158" s="4" t="s">
        <v>352</v>
      </c>
      <c r="C158" s="4" t="s">
        <v>353</v>
      </c>
      <c r="D158" s="4" t="s">
        <v>18</v>
      </c>
      <c r="E158" s="4"/>
      <c r="F158" s="4"/>
      <c r="G158" s="4" t="n">
        <v>60</v>
      </c>
      <c r="L158" s="1" t="str">
        <f aca="false">IF(ISNUMBER(SEARCH("Bundle",C158)),"Bundles",IF(ISNUMBER(SEARCH("Airtime",C158)),"Bundles",IF(ISNUMBER(SEARCH("Merchant",C158)),"Merchant Payment",IF(ISNUMBER(SEARCH("Offnet C2B",C158)),"Merchant Payment",IF(ISNUMBER(SEARCH("Offnet B2C",C158)),"Merchant Payment",IF(ISNUMBER(SEARCH("Customer Payment to Small",C158)),"Merchant Payment",IF(ISNUMBER(SEARCH("Payment to Small Business",C158)),"Merchant Payment",IF(ISNUMBER(SEARCH("Sent to",C158)),"Sent to Person",IF(ISNUMBER(SEARCH("Customer Transfer to",C158)),"Sent to Person",IF(ISNUMBER(SEARCH("Business Payment",C158)),"Money In",IF(ISNUMBER(SEARCH("Funds Received",C158)),"Money In",IF(ISNUMBER(SEARCH("Receive International",C158)),"Money In",IF(ISNUMBER(SEARCH("Send Money Reversal",C158)),"Money In",IF(ISNUMBER(SEARCH("Pay Utility Reversal",C158)),"Money In",IF(ISNUMBER(SEARCH("Customer Transfer",C158)),"Money In",IF(ISNUMBER(SEARCH("Ziidi",C158)),"Investment",IF(ISNUMBER(SEARCH("Nabo",C158)),"Investment",IF(ISNUMBER(SEARCH("Paybill Online",C158)),"Pay Bill",IF(ISNUMBER(SEARCH("Pay Bill",C158)),"Pay Bill",IF(ISNUMBER(SEARCH("Spotify",C158)),"Pay Bill",IF(ISNUMBER(SEARCH("M-Shwari",C158)),"Mshwari",IF(ISNUMBER(SEARCH("Mshwari",C158)),"Mshwari",IF(ISNUMBER(SEARCH("Withdrawal charge",C158)),"Fees",IF(ISNUMBER(SEARCH("Customer Withdrawal",C158)),"Fees",IF(ISNUMBER(SEARCH("charge",C158)),"Fees","Other")))))))))))))))))))))))))</f>
        <v>Merchant Payment</v>
      </c>
      <c r="R158" s="1" t="str">
        <f aca="false">TEXT(B158,"MMM YYYY")</f>
        <v>Feb 2026</v>
      </c>
    </row>
    <row r="159" customFormat="false" ht="13.8" hidden="false" customHeight="false" outlineLevel="0" collapsed="false">
      <c r="A159" s="4" t="s">
        <v>354</v>
      </c>
      <c r="B159" s="4" t="s">
        <v>355</v>
      </c>
      <c r="C159" s="4" t="s">
        <v>356</v>
      </c>
      <c r="D159" s="4" t="s">
        <v>18</v>
      </c>
      <c r="E159" s="4"/>
      <c r="F159" s="4"/>
      <c r="G159" s="4" t="n">
        <v>10</v>
      </c>
      <c r="L159" s="1" t="str">
        <f aca="false">IF(ISNUMBER(SEARCH("Bundle",C159)),"Bundles",IF(ISNUMBER(SEARCH("Airtime",C159)),"Bundles",IF(ISNUMBER(SEARCH("Merchant",C159)),"Merchant Payment",IF(ISNUMBER(SEARCH("Offnet C2B",C159)),"Merchant Payment",IF(ISNUMBER(SEARCH("Offnet B2C",C159)),"Merchant Payment",IF(ISNUMBER(SEARCH("Customer Payment to Small",C159)),"Merchant Payment",IF(ISNUMBER(SEARCH("Payment to Small Business",C159)),"Merchant Payment",IF(ISNUMBER(SEARCH("Sent to",C159)),"Sent to Person",IF(ISNUMBER(SEARCH("Customer Transfer to",C159)),"Sent to Person",IF(ISNUMBER(SEARCH("Business Payment",C159)),"Money In",IF(ISNUMBER(SEARCH("Funds Received",C159)),"Money In",IF(ISNUMBER(SEARCH("Receive International",C159)),"Money In",IF(ISNUMBER(SEARCH("Send Money Reversal",C159)),"Money In",IF(ISNUMBER(SEARCH("Pay Utility Reversal",C159)),"Money In",IF(ISNUMBER(SEARCH("Customer Transfer",C159)),"Money In",IF(ISNUMBER(SEARCH("Ziidi",C159)),"Investment",IF(ISNUMBER(SEARCH("Nabo",C159)),"Investment",IF(ISNUMBER(SEARCH("Paybill Online",C159)),"Pay Bill",IF(ISNUMBER(SEARCH("Pay Bill",C159)),"Pay Bill",IF(ISNUMBER(SEARCH("Spotify",C159)),"Pay Bill",IF(ISNUMBER(SEARCH("M-Shwari",C159)),"Mshwari",IF(ISNUMBER(SEARCH("Mshwari",C159)),"Mshwari",IF(ISNUMBER(SEARCH("Withdrawal charge",C159)),"Fees",IF(ISNUMBER(SEARCH("Customer Withdrawal",C159)),"Fees",IF(ISNUMBER(SEARCH("charge",C159)),"Fees","Other")))))))))))))))))))))))))</f>
        <v>Merchant Payment</v>
      </c>
      <c r="R159" s="1" t="str">
        <f aca="false">TEXT(B159,"MMM YYYY")</f>
        <v>Feb 2026</v>
      </c>
    </row>
    <row r="160" customFormat="false" ht="13.8" hidden="false" customHeight="false" outlineLevel="0" collapsed="false">
      <c r="A160" s="4" t="s">
        <v>357</v>
      </c>
      <c r="B160" s="4" t="s">
        <v>358</v>
      </c>
      <c r="C160" s="4" t="s">
        <v>359</v>
      </c>
      <c r="D160" s="4" t="s">
        <v>18</v>
      </c>
      <c r="E160" s="4"/>
      <c r="F160" s="4"/>
      <c r="G160" s="4" t="n">
        <v>70</v>
      </c>
      <c r="L160" s="1" t="str">
        <f aca="false">IF(ISNUMBER(SEARCH("Bundle",C160)),"Bundles",IF(ISNUMBER(SEARCH("Airtime",C160)),"Bundles",IF(ISNUMBER(SEARCH("Merchant",C160)),"Merchant Payment",IF(ISNUMBER(SEARCH("Offnet C2B",C160)),"Merchant Payment",IF(ISNUMBER(SEARCH("Offnet B2C",C160)),"Merchant Payment",IF(ISNUMBER(SEARCH("Customer Payment to Small",C160)),"Merchant Payment",IF(ISNUMBER(SEARCH("Payment to Small Business",C160)),"Merchant Payment",IF(ISNUMBER(SEARCH("Sent to",C160)),"Sent to Person",IF(ISNUMBER(SEARCH("Customer Transfer to",C160)),"Sent to Person",IF(ISNUMBER(SEARCH("Business Payment",C160)),"Money In",IF(ISNUMBER(SEARCH("Funds Received",C160)),"Money In",IF(ISNUMBER(SEARCH("Receive International",C160)),"Money In",IF(ISNUMBER(SEARCH("Send Money Reversal",C160)),"Money In",IF(ISNUMBER(SEARCH("Pay Utility Reversal",C160)),"Money In",IF(ISNUMBER(SEARCH("Customer Transfer",C160)),"Money In",IF(ISNUMBER(SEARCH("Ziidi",C160)),"Investment",IF(ISNUMBER(SEARCH("Nabo",C160)),"Investment",IF(ISNUMBER(SEARCH("Paybill Online",C160)),"Pay Bill",IF(ISNUMBER(SEARCH("Pay Bill",C160)),"Pay Bill",IF(ISNUMBER(SEARCH("Spotify",C160)),"Pay Bill",IF(ISNUMBER(SEARCH("M-Shwari",C160)),"Mshwari",IF(ISNUMBER(SEARCH("Mshwari",C160)),"Mshwari",IF(ISNUMBER(SEARCH("Withdrawal charge",C160)),"Fees",IF(ISNUMBER(SEARCH("Customer Withdrawal",C160)),"Fees",IF(ISNUMBER(SEARCH("charge",C160)),"Fees","Other")))))))))))))))))))))))))</f>
        <v>Merchant Payment</v>
      </c>
      <c r="R160" s="1" t="str">
        <f aca="false">TEXT(B160,"MMM YYYY")</f>
        <v>Feb 2026</v>
      </c>
    </row>
    <row r="161" customFormat="false" ht="13.8" hidden="false" customHeight="false" outlineLevel="0" collapsed="false">
      <c r="A161" s="4" t="s">
        <v>360</v>
      </c>
      <c r="B161" s="4" t="s">
        <v>361</v>
      </c>
      <c r="C161" s="4" t="s">
        <v>90</v>
      </c>
      <c r="D161" s="4" t="s">
        <v>18</v>
      </c>
      <c r="E161" s="4"/>
      <c r="F161" s="4"/>
      <c r="G161" s="4" t="n">
        <v>30</v>
      </c>
      <c r="L161" s="1" t="str">
        <f aca="false">IF(ISNUMBER(SEARCH("Bundle",C161)),"Bundles",IF(ISNUMBER(SEARCH("Airtime",C161)),"Bundles",IF(ISNUMBER(SEARCH("Merchant",C161)),"Merchant Payment",IF(ISNUMBER(SEARCH("Offnet C2B",C161)),"Merchant Payment",IF(ISNUMBER(SEARCH("Offnet B2C",C161)),"Merchant Payment",IF(ISNUMBER(SEARCH("Customer Payment to Small",C161)),"Merchant Payment",IF(ISNUMBER(SEARCH("Payment to Small Business",C161)),"Merchant Payment",IF(ISNUMBER(SEARCH("Sent to",C161)),"Sent to Person",IF(ISNUMBER(SEARCH("Customer Transfer to",C161)),"Sent to Person",IF(ISNUMBER(SEARCH("Business Payment",C161)),"Money In",IF(ISNUMBER(SEARCH("Funds Received",C161)),"Money In",IF(ISNUMBER(SEARCH("Receive International",C161)),"Money In",IF(ISNUMBER(SEARCH("Send Money Reversal",C161)),"Money In",IF(ISNUMBER(SEARCH("Pay Utility Reversal",C161)),"Money In",IF(ISNUMBER(SEARCH("Customer Transfer",C161)),"Money In",IF(ISNUMBER(SEARCH("Ziidi",C161)),"Investment",IF(ISNUMBER(SEARCH("Nabo",C161)),"Investment",IF(ISNUMBER(SEARCH("Paybill Online",C161)),"Pay Bill",IF(ISNUMBER(SEARCH("Pay Bill",C161)),"Pay Bill",IF(ISNUMBER(SEARCH("Spotify",C161)),"Pay Bill",IF(ISNUMBER(SEARCH("M-Shwari",C161)),"Mshwari",IF(ISNUMBER(SEARCH("Mshwari",C161)),"Mshwari",IF(ISNUMBER(SEARCH("Withdrawal charge",C161)),"Fees",IF(ISNUMBER(SEARCH("Customer Withdrawal",C161)),"Fees",IF(ISNUMBER(SEARCH("charge",C161)),"Fees","Other")))))))))))))))))))))))))</f>
        <v>Bundles</v>
      </c>
      <c r="R161" s="1" t="str">
        <f aca="false">TEXT(B161,"MMM YYYY")</f>
        <v>Feb 2026</v>
      </c>
    </row>
    <row r="162" customFormat="false" ht="13.8" hidden="false" customHeight="false" outlineLevel="0" collapsed="false">
      <c r="A162" s="4" t="s">
        <v>362</v>
      </c>
      <c r="B162" s="4" t="s">
        <v>363</v>
      </c>
      <c r="C162" s="4" t="s">
        <v>333</v>
      </c>
      <c r="D162" s="4" t="s">
        <v>18</v>
      </c>
      <c r="E162" s="4"/>
      <c r="F162" s="4"/>
      <c r="G162" s="4" t="n">
        <v>13</v>
      </c>
      <c r="L162" s="1" t="str">
        <f aca="false">IF(ISNUMBER(SEARCH("Bundle",C162)),"Bundles",IF(ISNUMBER(SEARCH("Airtime",C162)),"Bundles",IF(ISNUMBER(SEARCH("Merchant",C162)),"Merchant Payment",IF(ISNUMBER(SEARCH("Offnet C2B",C162)),"Merchant Payment",IF(ISNUMBER(SEARCH("Offnet B2C",C162)),"Merchant Payment",IF(ISNUMBER(SEARCH("Customer Payment to Small",C162)),"Merchant Payment",IF(ISNUMBER(SEARCH("Payment to Small Business",C162)),"Merchant Payment",IF(ISNUMBER(SEARCH("Sent to",C162)),"Sent to Person",IF(ISNUMBER(SEARCH("Customer Transfer to",C162)),"Sent to Person",IF(ISNUMBER(SEARCH("Business Payment",C162)),"Money In",IF(ISNUMBER(SEARCH("Funds Received",C162)),"Money In",IF(ISNUMBER(SEARCH("Receive International",C162)),"Money In",IF(ISNUMBER(SEARCH("Send Money Reversal",C162)),"Money In",IF(ISNUMBER(SEARCH("Pay Utility Reversal",C162)),"Money In",IF(ISNUMBER(SEARCH("Customer Transfer",C162)),"Money In",IF(ISNUMBER(SEARCH("Ziidi",C162)),"Investment",IF(ISNUMBER(SEARCH("Nabo",C162)),"Investment",IF(ISNUMBER(SEARCH("Paybill Online",C162)),"Pay Bill",IF(ISNUMBER(SEARCH("Pay Bill",C162)),"Pay Bill",IF(ISNUMBER(SEARCH("Spotify",C162)),"Pay Bill",IF(ISNUMBER(SEARCH("M-Shwari",C162)),"Mshwari",IF(ISNUMBER(SEARCH("Mshwari",C162)),"Mshwari",IF(ISNUMBER(SEARCH("Withdrawal charge",C162)),"Fees",IF(ISNUMBER(SEARCH("Customer Withdrawal",C162)),"Fees",IF(ISNUMBER(SEARCH("charge",C162)),"Fees","Other")))))))))))))))))))))))))</f>
        <v>Money In</v>
      </c>
      <c r="R162" s="1" t="str">
        <f aca="false">TEXT(B162,"MMM YYYY")</f>
        <v>Feb 2026</v>
      </c>
    </row>
    <row r="163" customFormat="false" ht="13.8" hidden="false" customHeight="false" outlineLevel="0" collapsed="false">
      <c r="A163" s="4" t="s">
        <v>362</v>
      </c>
      <c r="B163" s="4" t="s">
        <v>363</v>
      </c>
      <c r="C163" s="4" t="s">
        <v>359</v>
      </c>
      <c r="D163" s="4" t="s">
        <v>18</v>
      </c>
      <c r="E163" s="4"/>
      <c r="F163" s="4"/>
      <c r="G163" s="4" t="n">
        <v>970</v>
      </c>
      <c r="L163" s="1" t="str">
        <f aca="false">IF(ISNUMBER(SEARCH("Bundle",C163)),"Bundles",IF(ISNUMBER(SEARCH("Airtime",C163)),"Bundles",IF(ISNUMBER(SEARCH("Merchant",C163)),"Merchant Payment",IF(ISNUMBER(SEARCH("Offnet C2B",C163)),"Merchant Payment",IF(ISNUMBER(SEARCH("Offnet B2C",C163)),"Merchant Payment",IF(ISNUMBER(SEARCH("Customer Payment to Small",C163)),"Merchant Payment",IF(ISNUMBER(SEARCH("Payment to Small Business",C163)),"Merchant Payment",IF(ISNUMBER(SEARCH("Sent to",C163)),"Sent to Person",IF(ISNUMBER(SEARCH("Customer Transfer to",C163)),"Sent to Person",IF(ISNUMBER(SEARCH("Business Payment",C163)),"Money In",IF(ISNUMBER(SEARCH("Funds Received",C163)),"Money In",IF(ISNUMBER(SEARCH("Receive International",C163)),"Money In",IF(ISNUMBER(SEARCH("Send Money Reversal",C163)),"Money In",IF(ISNUMBER(SEARCH("Pay Utility Reversal",C163)),"Money In",IF(ISNUMBER(SEARCH("Customer Transfer",C163)),"Money In",IF(ISNUMBER(SEARCH("Ziidi",C163)),"Investment",IF(ISNUMBER(SEARCH("Nabo",C163)),"Investment",IF(ISNUMBER(SEARCH("Paybill Online",C163)),"Pay Bill",IF(ISNUMBER(SEARCH("Pay Bill",C163)),"Pay Bill",IF(ISNUMBER(SEARCH("Spotify",C163)),"Pay Bill",IF(ISNUMBER(SEARCH("M-Shwari",C163)),"Mshwari",IF(ISNUMBER(SEARCH("Mshwari",C163)),"Mshwari",IF(ISNUMBER(SEARCH("Withdrawal charge",C163)),"Fees",IF(ISNUMBER(SEARCH("Customer Withdrawal",C163)),"Fees",IF(ISNUMBER(SEARCH("charge",C163)),"Fees","Other")))))))))))))))))))))))))</f>
        <v>Merchant Payment</v>
      </c>
      <c r="R163" s="1" t="str">
        <f aca="false">TEXT(B163,"MMM YYYY")</f>
        <v>Feb 2026</v>
      </c>
    </row>
    <row r="164" customFormat="false" ht="13.8" hidden="false" customHeight="false" outlineLevel="0" collapsed="false">
      <c r="A164" s="4" t="s">
        <v>364</v>
      </c>
      <c r="B164" s="4" t="s">
        <v>365</v>
      </c>
      <c r="C164" s="4" t="s">
        <v>366</v>
      </c>
      <c r="D164" s="4" t="s">
        <v>18</v>
      </c>
      <c r="E164" s="4"/>
      <c r="F164" s="4"/>
      <c r="G164" s="4" t="n">
        <v>225</v>
      </c>
      <c r="L164" s="1" t="str">
        <f aca="false">IF(ISNUMBER(SEARCH("Bundle",C164)),"Bundles",IF(ISNUMBER(SEARCH("Airtime",C164)),"Bundles",IF(ISNUMBER(SEARCH("Merchant",C164)),"Merchant Payment",IF(ISNUMBER(SEARCH("Offnet C2B",C164)),"Merchant Payment",IF(ISNUMBER(SEARCH("Offnet B2C",C164)),"Merchant Payment",IF(ISNUMBER(SEARCH("Customer Payment to Small",C164)),"Merchant Payment",IF(ISNUMBER(SEARCH("Payment to Small Business",C164)),"Merchant Payment",IF(ISNUMBER(SEARCH("Sent to",C164)),"Sent to Person",IF(ISNUMBER(SEARCH("Customer Transfer to",C164)),"Sent to Person",IF(ISNUMBER(SEARCH("Business Payment",C164)),"Money In",IF(ISNUMBER(SEARCH("Funds Received",C164)),"Money In",IF(ISNUMBER(SEARCH("Receive International",C164)),"Money In",IF(ISNUMBER(SEARCH("Send Money Reversal",C164)),"Money In",IF(ISNUMBER(SEARCH("Pay Utility Reversal",C164)),"Money In",IF(ISNUMBER(SEARCH("Customer Transfer",C164)),"Money In",IF(ISNUMBER(SEARCH("Ziidi",C164)),"Investment",IF(ISNUMBER(SEARCH("Nabo",C164)),"Investment",IF(ISNUMBER(SEARCH("Paybill Online",C164)),"Pay Bill",IF(ISNUMBER(SEARCH("Pay Bill",C164)),"Pay Bill",IF(ISNUMBER(SEARCH("Spotify",C164)),"Pay Bill",IF(ISNUMBER(SEARCH("M-Shwari",C164)),"Mshwari",IF(ISNUMBER(SEARCH("Mshwari",C164)),"Mshwari",IF(ISNUMBER(SEARCH("Withdrawal charge",C164)),"Fees",IF(ISNUMBER(SEARCH("Customer Withdrawal",C164)),"Fees",IF(ISNUMBER(SEARCH("charge",C164)),"Fees","Other")))))))))))))))))))))))))</f>
        <v>Merchant Payment</v>
      </c>
      <c r="R164" s="1" t="str">
        <f aca="false">TEXT(B164,"MMM YYYY")</f>
        <v>Feb 2026</v>
      </c>
    </row>
    <row r="165" customFormat="false" ht="13.8" hidden="false" customHeight="false" outlineLevel="0" collapsed="false">
      <c r="A165" s="4" t="s">
        <v>367</v>
      </c>
      <c r="B165" s="4" t="s">
        <v>368</v>
      </c>
      <c r="C165" s="4" t="s">
        <v>90</v>
      </c>
      <c r="D165" s="4" t="s">
        <v>18</v>
      </c>
      <c r="E165" s="4"/>
      <c r="F165" s="4"/>
      <c r="G165" s="4" t="n">
        <v>30</v>
      </c>
      <c r="L165" s="1" t="str">
        <f aca="false">IF(ISNUMBER(SEARCH("Bundle",C165)),"Bundles",IF(ISNUMBER(SEARCH("Airtime",C165)),"Bundles",IF(ISNUMBER(SEARCH("Merchant",C165)),"Merchant Payment",IF(ISNUMBER(SEARCH("Offnet C2B",C165)),"Merchant Payment",IF(ISNUMBER(SEARCH("Offnet B2C",C165)),"Merchant Payment",IF(ISNUMBER(SEARCH("Customer Payment to Small",C165)),"Merchant Payment",IF(ISNUMBER(SEARCH("Payment to Small Business",C165)),"Merchant Payment",IF(ISNUMBER(SEARCH("Sent to",C165)),"Sent to Person",IF(ISNUMBER(SEARCH("Customer Transfer to",C165)),"Sent to Person",IF(ISNUMBER(SEARCH("Business Payment",C165)),"Money In",IF(ISNUMBER(SEARCH("Funds Received",C165)),"Money In",IF(ISNUMBER(SEARCH("Receive International",C165)),"Money In",IF(ISNUMBER(SEARCH("Send Money Reversal",C165)),"Money In",IF(ISNUMBER(SEARCH("Pay Utility Reversal",C165)),"Money In",IF(ISNUMBER(SEARCH("Customer Transfer",C165)),"Money In",IF(ISNUMBER(SEARCH("Ziidi",C165)),"Investment",IF(ISNUMBER(SEARCH("Nabo",C165)),"Investment",IF(ISNUMBER(SEARCH("Paybill Online",C165)),"Pay Bill",IF(ISNUMBER(SEARCH("Pay Bill",C165)),"Pay Bill",IF(ISNUMBER(SEARCH("Spotify",C165)),"Pay Bill",IF(ISNUMBER(SEARCH("M-Shwari",C165)),"Mshwari",IF(ISNUMBER(SEARCH("Mshwari",C165)),"Mshwari",IF(ISNUMBER(SEARCH("Withdrawal charge",C165)),"Fees",IF(ISNUMBER(SEARCH("Customer Withdrawal",C165)),"Fees",IF(ISNUMBER(SEARCH("charge",C165)),"Fees","Other")))))))))))))))))))))))))</f>
        <v>Bundles</v>
      </c>
      <c r="R165" s="1" t="str">
        <f aca="false">TEXT(B165,"MMM YYYY")</f>
        <v>Feb 2026</v>
      </c>
    </row>
    <row r="166" customFormat="false" ht="13.8" hidden="false" customHeight="false" outlineLevel="0" collapsed="false">
      <c r="A166" s="4" t="s">
        <v>369</v>
      </c>
      <c r="B166" s="4" t="s">
        <v>370</v>
      </c>
      <c r="C166" s="4" t="s">
        <v>371</v>
      </c>
      <c r="D166" s="4" t="s">
        <v>18</v>
      </c>
      <c r="E166" s="4"/>
      <c r="F166" s="4"/>
      <c r="G166" s="4" t="n">
        <v>130</v>
      </c>
      <c r="L166" s="1" t="str">
        <f aca="false">IF(ISNUMBER(SEARCH("Bundle",C166)),"Bundles",IF(ISNUMBER(SEARCH("Airtime",C166)),"Bundles",IF(ISNUMBER(SEARCH("Merchant",C166)),"Merchant Payment",IF(ISNUMBER(SEARCH("Offnet C2B",C166)),"Merchant Payment",IF(ISNUMBER(SEARCH("Offnet B2C",C166)),"Merchant Payment",IF(ISNUMBER(SEARCH("Customer Payment to Small",C166)),"Merchant Payment",IF(ISNUMBER(SEARCH("Payment to Small Business",C166)),"Merchant Payment",IF(ISNUMBER(SEARCH("Sent to",C166)),"Sent to Person",IF(ISNUMBER(SEARCH("Customer Transfer to",C166)),"Sent to Person",IF(ISNUMBER(SEARCH("Business Payment",C166)),"Money In",IF(ISNUMBER(SEARCH("Funds Received",C166)),"Money In",IF(ISNUMBER(SEARCH("Receive International",C166)),"Money In",IF(ISNUMBER(SEARCH("Send Money Reversal",C166)),"Money In",IF(ISNUMBER(SEARCH("Pay Utility Reversal",C166)),"Money In",IF(ISNUMBER(SEARCH("Customer Transfer",C166)),"Money In",IF(ISNUMBER(SEARCH("Ziidi",C166)),"Investment",IF(ISNUMBER(SEARCH("Nabo",C166)),"Investment",IF(ISNUMBER(SEARCH("Paybill Online",C166)),"Pay Bill",IF(ISNUMBER(SEARCH("Pay Bill",C166)),"Pay Bill",IF(ISNUMBER(SEARCH("Spotify",C166)),"Pay Bill",IF(ISNUMBER(SEARCH("M-Shwari",C166)),"Mshwari",IF(ISNUMBER(SEARCH("Mshwari",C166)),"Mshwari",IF(ISNUMBER(SEARCH("Withdrawal charge",C166)),"Fees",IF(ISNUMBER(SEARCH("Customer Withdrawal",C166)),"Fees",IF(ISNUMBER(SEARCH("charge",C166)),"Fees","Other")))))))))))))))))))))))))</f>
        <v>Merchant Payment</v>
      </c>
      <c r="R166" s="1" t="str">
        <f aca="false">TEXT(B166,"MMM YYYY")</f>
        <v>Feb 2026</v>
      </c>
    </row>
    <row r="167" customFormat="false" ht="13.8" hidden="false" customHeight="false" outlineLevel="0" collapsed="false">
      <c r="A167" s="4" t="s">
        <v>372</v>
      </c>
      <c r="B167" s="4" t="s">
        <v>373</v>
      </c>
      <c r="C167" s="4" t="s">
        <v>374</v>
      </c>
      <c r="D167" s="4" t="s">
        <v>18</v>
      </c>
      <c r="E167" s="4"/>
      <c r="F167" s="4"/>
      <c r="G167" s="4" t="n">
        <v>20</v>
      </c>
      <c r="L167" s="1" t="str">
        <f aca="false">IF(ISNUMBER(SEARCH("Bundle",C167)),"Bundles",IF(ISNUMBER(SEARCH("Airtime",C167)),"Bundles",IF(ISNUMBER(SEARCH("Merchant",C167)),"Merchant Payment",IF(ISNUMBER(SEARCH("Offnet C2B",C167)),"Merchant Payment",IF(ISNUMBER(SEARCH("Offnet B2C",C167)),"Merchant Payment",IF(ISNUMBER(SEARCH("Customer Payment to Small",C167)),"Merchant Payment",IF(ISNUMBER(SEARCH("Payment to Small Business",C167)),"Merchant Payment",IF(ISNUMBER(SEARCH("Sent to",C167)),"Sent to Person",IF(ISNUMBER(SEARCH("Customer Transfer to",C167)),"Sent to Person",IF(ISNUMBER(SEARCH("Business Payment",C167)),"Money In",IF(ISNUMBER(SEARCH("Funds Received",C167)),"Money In",IF(ISNUMBER(SEARCH("Receive International",C167)),"Money In",IF(ISNUMBER(SEARCH("Send Money Reversal",C167)),"Money In",IF(ISNUMBER(SEARCH("Pay Utility Reversal",C167)),"Money In",IF(ISNUMBER(SEARCH("Customer Transfer",C167)),"Money In",IF(ISNUMBER(SEARCH("Ziidi",C167)),"Investment",IF(ISNUMBER(SEARCH("Nabo",C167)),"Investment",IF(ISNUMBER(SEARCH("Paybill Online",C167)),"Pay Bill",IF(ISNUMBER(SEARCH("Pay Bill",C167)),"Pay Bill",IF(ISNUMBER(SEARCH("Spotify",C167)),"Pay Bill",IF(ISNUMBER(SEARCH("M-Shwari",C167)),"Mshwari",IF(ISNUMBER(SEARCH("Mshwari",C167)),"Mshwari",IF(ISNUMBER(SEARCH("Withdrawal charge",C167)),"Fees",IF(ISNUMBER(SEARCH("Customer Withdrawal",C167)),"Fees",IF(ISNUMBER(SEARCH("charge",C167)),"Fees","Other")))))))))))))))))))))))))</f>
        <v>Merchant Payment</v>
      </c>
      <c r="R167" s="1" t="str">
        <f aca="false">TEXT(B167,"MMM YYYY")</f>
        <v>Feb 2026</v>
      </c>
    </row>
    <row r="168" customFormat="false" ht="13.8" hidden="false" customHeight="false" outlineLevel="0" collapsed="false">
      <c r="A168" s="4" t="s">
        <v>375</v>
      </c>
      <c r="B168" s="4" t="s">
        <v>376</v>
      </c>
      <c r="C168" s="4" t="s">
        <v>359</v>
      </c>
      <c r="D168" s="4" t="s">
        <v>18</v>
      </c>
      <c r="E168" s="4"/>
      <c r="F168" s="4"/>
      <c r="G168" s="4" t="n">
        <v>70</v>
      </c>
      <c r="L168" s="1" t="str">
        <f aca="false">IF(ISNUMBER(SEARCH("Bundle",C168)),"Bundles",IF(ISNUMBER(SEARCH("Airtime",C168)),"Bundles",IF(ISNUMBER(SEARCH("Merchant",C168)),"Merchant Payment",IF(ISNUMBER(SEARCH("Offnet C2B",C168)),"Merchant Payment",IF(ISNUMBER(SEARCH("Offnet B2C",C168)),"Merchant Payment",IF(ISNUMBER(SEARCH("Customer Payment to Small",C168)),"Merchant Payment",IF(ISNUMBER(SEARCH("Payment to Small Business",C168)),"Merchant Payment",IF(ISNUMBER(SEARCH("Sent to",C168)),"Sent to Person",IF(ISNUMBER(SEARCH("Customer Transfer to",C168)),"Sent to Person",IF(ISNUMBER(SEARCH("Business Payment",C168)),"Money In",IF(ISNUMBER(SEARCH("Funds Received",C168)),"Money In",IF(ISNUMBER(SEARCH("Receive International",C168)),"Money In",IF(ISNUMBER(SEARCH("Send Money Reversal",C168)),"Money In",IF(ISNUMBER(SEARCH("Pay Utility Reversal",C168)),"Money In",IF(ISNUMBER(SEARCH("Customer Transfer",C168)),"Money In",IF(ISNUMBER(SEARCH("Ziidi",C168)),"Investment",IF(ISNUMBER(SEARCH("Nabo",C168)),"Investment",IF(ISNUMBER(SEARCH("Paybill Online",C168)),"Pay Bill",IF(ISNUMBER(SEARCH("Pay Bill",C168)),"Pay Bill",IF(ISNUMBER(SEARCH("Spotify",C168)),"Pay Bill",IF(ISNUMBER(SEARCH("M-Shwari",C168)),"Mshwari",IF(ISNUMBER(SEARCH("Mshwari",C168)),"Mshwari",IF(ISNUMBER(SEARCH("Withdrawal charge",C168)),"Fees",IF(ISNUMBER(SEARCH("Customer Withdrawal",C168)),"Fees",IF(ISNUMBER(SEARCH("charge",C168)),"Fees","Other")))))))))))))))))))))))))</f>
        <v>Merchant Payment</v>
      </c>
      <c r="R168" s="1" t="str">
        <f aca="false">TEXT(B168,"MMM YYYY")</f>
        <v>Feb 2026</v>
      </c>
    </row>
    <row r="169" customFormat="false" ht="13.8" hidden="false" customHeight="false" outlineLevel="0" collapsed="false">
      <c r="A169" s="4" t="s">
        <v>377</v>
      </c>
      <c r="B169" s="4" t="s">
        <v>378</v>
      </c>
      <c r="C169" s="4" t="s">
        <v>359</v>
      </c>
      <c r="D169" s="4" t="s">
        <v>18</v>
      </c>
      <c r="E169" s="4"/>
      <c r="F169" s="4"/>
      <c r="G169" s="4" t="n">
        <v>70</v>
      </c>
      <c r="L169" s="1" t="str">
        <f aca="false">IF(ISNUMBER(SEARCH("Bundle",C169)),"Bundles",IF(ISNUMBER(SEARCH("Airtime",C169)),"Bundles",IF(ISNUMBER(SEARCH("Merchant",C169)),"Merchant Payment",IF(ISNUMBER(SEARCH("Offnet C2B",C169)),"Merchant Payment",IF(ISNUMBER(SEARCH("Offnet B2C",C169)),"Merchant Payment",IF(ISNUMBER(SEARCH("Customer Payment to Small",C169)),"Merchant Payment",IF(ISNUMBER(SEARCH("Payment to Small Business",C169)),"Merchant Payment",IF(ISNUMBER(SEARCH("Sent to",C169)),"Sent to Person",IF(ISNUMBER(SEARCH("Customer Transfer to",C169)),"Sent to Person",IF(ISNUMBER(SEARCH("Business Payment",C169)),"Money In",IF(ISNUMBER(SEARCH("Funds Received",C169)),"Money In",IF(ISNUMBER(SEARCH("Receive International",C169)),"Money In",IF(ISNUMBER(SEARCH("Send Money Reversal",C169)),"Money In",IF(ISNUMBER(SEARCH("Pay Utility Reversal",C169)),"Money In",IF(ISNUMBER(SEARCH("Customer Transfer",C169)),"Money In",IF(ISNUMBER(SEARCH("Ziidi",C169)),"Investment",IF(ISNUMBER(SEARCH("Nabo",C169)),"Investment",IF(ISNUMBER(SEARCH("Paybill Online",C169)),"Pay Bill",IF(ISNUMBER(SEARCH("Pay Bill",C169)),"Pay Bill",IF(ISNUMBER(SEARCH("Spotify",C169)),"Pay Bill",IF(ISNUMBER(SEARCH("M-Shwari",C169)),"Mshwari",IF(ISNUMBER(SEARCH("Mshwari",C169)),"Mshwari",IF(ISNUMBER(SEARCH("Withdrawal charge",C169)),"Fees",IF(ISNUMBER(SEARCH("Customer Withdrawal",C169)),"Fees",IF(ISNUMBER(SEARCH("charge",C169)),"Fees","Other")))))))))))))))))))))))))</f>
        <v>Merchant Payment</v>
      </c>
      <c r="R169" s="1" t="str">
        <f aca="false">TEXT(B169,"MMM YYYY")</f>
        <v>Feb 2026</v>
      </c>
    </row>
    <row r="170" customFormat="false" ht="13.8" hidden="false" customHeight="false" outlineLevel="0" collapsed="false">
      <c r="A170" s="4" t="s">
        <v>379</v>
      </c>
      <c r="B170" s="4" t="s">
        <v>380</v>
      </c>
      <c r="C170" s="4" t="s">
        <v>366</v>
      </c>
      <c r="D170" s="4" t="s">
        <v>18</v>
      </c>
      <c r="E170" s="4"/>
      <c r="F170" s="4"/>
      <c r="G170" s="4" t="n">
        <v>130</v>
      </c>
      <c r="L170" s="1" t="str">
        <f aca="false">IF(ISNUMBER(SEARCH("Bundle",C170)),"Bundles",IF(ISNUMBER(SEARCH("Airtime",C170)),"Bundles",IF(ISNUMBER(SEARCH("Merchant",C170)),"Merchant Payment",IF(ISNUMBER(SEARCH("Offnet C2B",C170)),"Merchant Payment",IF(ISNUMBER(SEARCH("Offnet B2C",C170)),"Merchant Payment",IF(ISNUMBER(SEARCH("Customer Payment to Small",C170)),"Merchant Payment",IF(ISNUMBER(SEARCH("Payment to Small Business",C170)),"Merchant Payment",IF(ISNUMBER(SEARCH("Sent to",C170)),"Sent to Person",IF(ISNUMBER(SEARCH("Customer Transfer to",C170)),"Sent to Person",IF(ISNUMBER(SEARCH("Business Payment",C170)),"Money In",IF(ISNUMBER(SEARCH("Funds Received",C170)),"Money In",IF(ISNUMBER(SEARCH("Receive International",C170)),"Money In",IF(ISNUMBER(SEARCH("Send Money Reversal",C170)),"Money In",IF(ISNUMBER(SEARCH("Pay Utility Reversal",C170)),"Money In",IF(ISNUMBER(SEARCH("Customer Transfer",C170)),"Money In",IF(ISNUMBER(SEARCH("Ziidi",C170)),"Investment",IF(ISNUMBER(SEARCH("Nabo",C170)),"Investment",IF(ISNUMBER(SEARCH("Paybill Online",C170)),"Pay Bill",IF(ISNUMBER(SEARCH("Pay Bill",C170)),"Pay Bill",IF(ISNUMBER(SEARCH("Spotify",C170)),"Pay Bill",IF(ISNUMBER(SEARCH("M-Shwari",C170)),"Mshwari",IF(ISNUMBER(SEARCH("Mshwari",C170)),"Mshwari",IF(ISNUMBER(SEARCH("Withdrawal charge",C170)),"Fees",IF(ISNUMBER(SEARCH("Customer Withdrawal",C170)),"Fees",IF(ISNUMBER(SEARCH("charge",C170)),"Fees","Other")))))))))))))))))))))))))</f>
        <v>Merchant Payment</v>
      </c>
      <c r="R170" s="1" t="str">
        <f aca="false">TEXT(B170,"MMM YYYY")</f>
        <v>Feb 2026</v>
      </c>
    </row>
    <row r="171" customFormat="false" ht="13.8" hidden="false" customHeight="false" outlineLevel="0" collapsed="false">
      <c r="A171" s="4" t="s">
        <v>381</v>
      </c>
      <c r="B171" s="4" t="s">
        <v>382</v>
      </c>
      <c r="C171" s="4" t="s">
        <v>192</v>
      </c>
      <c r="D171" s="4" t="s">
        <v>18</v>
      </c>
      <c r="E171" s="4" t="n">
        <v>1000</v>
      </c>
      <c r="F171" s="4"/>
      <c r="G171" s="4" t="n">
        <v>0</v>
      </c>
      <c r="L171" s="1" t="str">
        <f aca="false">IF(ISNUMBER(SEARCH("Bundle",C171)),"Bundles",IF(ISNUMBER(SEARCH("Airtime",C171)),"Bundles",IF(ISNUMBER(SEARCH("Merchant",C171)),"Merchant Payment",IF(ISNUMBER(SEARCH("Offnet C2B",C171)),"Merchant Payment",IF(ISNUMBER(SEARCH("Offnet B2C",C171)),"Merchant Payment",IF(ISNUMBER(SEARCH("Customer Payment to Small",C171)),"Merchant Payment",IF(ISNUMBER(SEARCH("Payment to Small Business",C171)),"Merchant Payment",IF(ISNUMBER(SEARCH("Sent to",C171)),"Sent to Person",IF(ISNUMBER(SEARCH("Customer Transfer to",C171)),"Sent to Person",IF(ISNUMBER(SEARCH("Business Payment",C171)),"Money In",IF(ISNUMBER(SEARCH("Funds Received",C171)),"Money In",IF(ISNUMBER(SEARCH("Receive International",C171)),"Money In",IF(ISNUMBER(SEARCH("Send Money Reversal",C171)),"Money In",IF(ISNUMBER(SEARCH("Pay Utility Reversal",C171)),"Money In",IF(ISNUMBER(SEARCH("Customer Transfer",C171)),"Money In",IF(ISNUMBER(SEARCH("Ziidi",C171)),"Investment",IF(ISNUMBER(SEARCH("Nabo",C171)),"Investment",IF(ISNUMBER(SEARCH("Paybill Online",C171)),"Pay Bill",IF(ISNUMBER(SEARCH("Pay Bill",C171)),"Pay Bill",IF(ISNUMBER(SEARCH("Spotify",C171)),"Pay Bill",IF(ISNUMBER(SEARCH("M-Shwari",C171)),"Mshwari",IF(ISNUMBER(SEARCH("Mshwari",C171)),"Mshwari",IF(ISNUMBER(SEARCH("Withdrawal charge",C171)),"Fees",IF(ISNUMBER(SEARCH("Customer Withdrawal",C171)),"Fees",IF(ISNUMBER(SEARCH("charge",C171)),"Fees","Other")))))))))))))))))))))))))</f>
        <v>Mshwari</v>
      </c>
      <c r="R171" s="1" t="str">
        <f aca="false">TEXT(B171,"MMM YYYY")</f>
        <v>Feb 2026</v>
      </c>
    </row>
    <row r="172" customFormat="false" ht="13.8" hidden="false" customHeight="false" outlineLevel="0" collapsed="false">
      <c r="A172" s="4" t="s">
        <v>383</v>
      </c>
      <c r="B172" s="4" t="s">
        <v>384</v>
      </c>
      <c r="C172" s="4" t="s">
        <v>333</v>
      </c>
      <c r="D172" s="4" t="s">
        <v>18</v>
      </c>
      <c r="E172" s="4"/>
      <c r="F172" s="4"/>
      <c r="G172" s="4" t="n">
        <v>13</v>
      </c>
      <c r="L172" s="1" t="str">
        <f aca="false">IF(ISNUMBER(SEARCH("Bundle",C172)),"Bundles",IF(ISNUMBER(SEARCH("Airtime",C172)),"Bundles",IF(ISNUMBER(SEARCH("Merchant",C172)),"Merchant Payment",IF(ISNUMBER(SEARCH("Offnet C2B",C172)),"Merchant Payment",IF(ISNUMBER(SEARCH("Offnet B2C",C172)),"Merchant Payment",IF(ISNUMBER(SEARCH("Customer Payment to Small",C172)),"Merchant Payment",IF(ISNUMBER(SEARCH("Payment to Small Business",C172)),"Merchant Payment",IF(ISNUMBER(SEARCH("Sent to",C172)),"Sent to Person",IF(ISNUMBER(SEARCH("Customer Transfer to",C172)),"Sent to Person",IF(ISNUMBER(SEARCH("Business Payment",C172)),"Money In",IF(ISNUMBER(SEARCH("Funds Received",C172)),"Money In",IF(ISNUMBER(SEARCH("Receive International",C172)),"Money In",IF(ISNUMBER(SEARCH("Send Money Reversal",C172)),"Money In",IF(ISNUMBER(SEARCH("Pay Utility Reversal",C172)),"Money In",IF(ISNUMBER(SEARCH("Customer Transfer",C172)),"Money In",IF(ISNUMBER(SEARCH("Ziidi",C172)),"Investment",IF(ISNUMBER(SEARCH("Nabo",C172)),"Investment",IF(ISNUMBER(SEARCH("Paybill Online",C172)),"Pay Bill",IF(ISNUMBER(SEARCH("Pay Bill",C172)),"Pay Bill",IF(ISNUMBER(SEARCH("Spotify",C172)),"Pay Bill",IF(ISNUMBER(SEARCH("M-Shwari",C172)),"Mshwari",IF(ISNUMBER(SEARCH("Mshwari",C172)),"Mshwari",IF(ISNUMBER(SEARCH("Withdrawal charge",C172)),"Fees",IF(ISNUMBER(SEARCH("Customer Withdrawal",C172)),"Fees",IF(ISNUMBER(SEARCH("charge",C172)),"Fees","Other")))))))))))))))))))))))))</f>
        <v>Money In</v>
      </c>
      <c r="R172" s="1" t="str">
        <f aca="false">TEXT(B172,"MMM YYYY")</f>
        <v>Feb 2026</v>
      </c>
    </row>
    <row r="173" customFormat="false" ht="13.8" hidden="false" customHeight="false" outlineLevel="0" collapsed="false">
      <c r="A173" s="4" t="s">
        <v>383</v>
      </c>
      <c r="B173" s="4" t="s">
        <v>384</v>
      </c>
      <c r="C173" s="4" t="s">
        <v>359</v>
      </c>
      <c r="D173" s="4" t="s">
        <v>18</v>
      </c>
      <c r="E173" s="4"/>
      <c r="F173" s="4"/>
      <c r="G173" s="4" t="n">
        <v>600</v>
      </c>
      <c r="L173" s="1" t="str">
        <f aca="false">IF(ISNUMBER(SEARCH("Bundle",C173)),"Bundles",IF(ISNUMBER(SEARCH("Airtime",C173)),"Bundles",IF(ISNUMBER(SEARCH("Merchant",C173)),"Merchant Payment",IF(ISNUMBER(SEARCH("Offnet C2B",C173)),"Merchant Payment",IF(ISNUMBER(SEARCH("Offnet B2C",C173)),"Merchant Payment",IF(ISNUMBER(SEARCH("Customer Payment to Small",C173)),"Merchant Payment",IF(ISNUMBER(SEARCH("Payment to Small Business",C173)),"Merchant Payment",IF(ISNUMBER(SEARCH("Sent to",C173)),"Sent to Person",IF(ISNUMBER(SEARCH("Customer Transfer to",C173)),"Sent to Person",IF(ISNUMBER(SEARCH("Business Payment",C173)),"Money In",IF(ISNUMBER(SEARCH("Funds Received",C173)),"Money In",IF(ISNUMBER(SEARCH("Receive International",C173)),"Money In",IF(ISNUMBER(SEARCH("Send Money Reversal",C173)),"Money In",IF(ISNUMBER(SEARCH("Pay Utility Reversal",C173)),"Money In",IF(ISNUMBER(SEARCH("Customer Transfer",C173)),"Money In",IF(ISNUMBER(SEARCH("Ziidi",C173)),"Investment",IF(ISNUMBER(SEARCH("Nabo",C173)),"Investment",IF(ISNUMBER(SEARCH("Paybill Online",C173)),"Pay Bill",IF(ISNUMBER(SEARCH("Pay Bill",C173)),"Pay Bill",IF(ISNUMBER(SEARCH("Spotify",C173)),"Pay Bill",IF(ISNUMBER(SEARCH("M-Shwari",C173)),"Mshwari",IF(ISNUMBER(SEARCH("Mshwari",C173)),"Mshwari",IF(ISNUMBER(SEARCH("Withdrawal charge",C173)),"Fees",IF(ISNUMBER(SEARCH("Customer Withdrawal",C173)),"Fees",IF(ISNUMBER(SEARCH("charge",C173)),"Fees","Other")))))))))))))))))))))))))</f>
        <v>Merchant Payment</v>
      </c>
      <c r="R173" s="1" t="str">
        <f aca="false">TEXT(B173,"MMM YYYY")</f>
        <v>Feb 2026</v>
      </c>
    </row>
    <row r="174" customFormat="false" ht="13.8" hidden="false" customHeight="false" outlineLevel="0" collapsed="false">
      <c r="A174" s="4" t="s">
        <v>385</v>
      </c>
      <c r="B174" s="4" t="s">
        <v>386</v>
      </c>
      <c r="C174" s="4" t="s">
        <v>387</v>
      </c>
      <c r="D174" s="4" t="s">
        <v>18</v>
      </c>
      <c r="E174" s="4"/>
      <c r="F174" s="4"/>
      <c r="G174" s="4" t="n">
        <v>20</v>
      </c>
      <c r="L174" s="1" t="str">
        <f aca="false">IF(ISNUMBER(SEARCH("Bundle",C174)),"Bundles",IF(ISNUMBER(SEARCH("Airtime",C174)),"Bundles",IF(ISNUMBER(SEARCH("Merchant",C174)),"Merchant Payment",IF(ISNUMBER(SEARCH("Offnet C2B",C174)),"Merchant Payment",IF(ISNUMBER(SEARCH("Offnet B2C",C174)),"Merchant Payment",IF(ISNUMBER(SEARCH("Customer Payment to Small",C174)),"Merchant Payment",IF(ISNUMBER(SEARCH("Payment to Small Business",C174)),"Merchant Payment",IF(ISNUMBER(SEARCH("Sent to",C174)),"Sent to Person",IF(ISNUMBER(SEARCH("Customer Transfer to",C174)),"Sent to Person",IF(ISNUMBER(SEARCH("Business Payment",C174)),"Money In",IF(ISNUMBER(SEARCH("Funds Received",C174)),"Money In",IF(ISNUMBER(SEARCH("Receive International",C174)),"Money In",IF(ISNUMBER(SEARCH("Send Money Reversal",C174)),"Money In",IF(ISNUMBER(SEARCH("Pay Utility Reversal",C174)),"Money In",IF(ISNUMBER(SEARCH("Customer Transfer",C174)),"Money In",IF(ISNUMBER(SEARCH("Ziidi",C174)),"Investment",IF(ISNUMBER(SEARCH("Nabo",C174)),"Investment",IF(ISNUMBER(SEARCH("Paybill Online",C174)),"Pay Bill",IF(ISNUMBER(SEARCH("Pay Bill",C174)),"Pay Bill",IF(ISNUMBER(SEARCH("Spotify",C174)),"Pay Bill",IF(ISNUMBER(SEARCH("M-Shwari",C174)),"Mshwari",IF(ISNUMBER(SEARCH("Mshwari",C174)),"Mshwari",IF(ISNUMBER(SEARCH("Withdrawal charge",C174)),"Fees",IF(ISNUMBER(SEARCH("Customer Withdrawal",C174)),"Fees",IF(ISNUMBER(SEARCH("charge",C174)),"Fees","Other")))))))))))))))))))))))))</f>
        <v>Sent to Person</v>
      </c>
      <c r="R174" s="1" t="str">
        <f aca="false">TEXT(B174,"MMM YYYY")</f>
        <v>Feb 2026</v>
      </c>
    </row>
    <row r="175" customFormat="false" ht="13.8" hidden="false" customHeight="false" outlineLevel="0" collapsed="false">
      <c r="A175" s="4" t="s">
        <v>388</v>
      </c>
      <c r="B175" s="4" t="s">
        <v>389</v>
      </c>
      <c r="C175" s="4" t="s">
        <v>390</v>
      </c>
      <c r="D175" s="4" t="s">
        <v>18</v>
      </c>
      <c r="E175" s="4" t="n">
        <v>80</v>
      </c>
      <c r="F175" s="4"/>
      <c r="G175" s="4" t="n">
        <v>0</v>
      </c>
      <c r="L175" s="1" t="str">
        <f aca="false">IF(ISNUMBER(SEARCH("Bundle",C175)),"Bundles",IF(ISNUMBER(SEARCH("Airtime",C175)),"Bundles",IF(ISNUMBER(SEARCH("Merchant",C175)),"Merchant Payment",IF(ISNUMBER(SEARCH("Offnet C2B",C175)),"Merchant Payment",IF(ISNUMBER(SEARCH("Offnet B2C",C175)),"Merchant Payment",IF(ISNUMBER(SEARCH("Customer Payment to Small",C175)),"Merchant Payment",IF(ISNUMBER(SEARCH("Payment to Small Business",C175)),"Merchant Payment",IF(ISNUMBER(SEARCH("Sent to",C175)),"Sent to Person",IF(ISNUMBER(SEARCH("Customer Transfer to",C175)),"Sent to Person",IF(ISNUMBER(SEARCH("Business Payment",C175)),"Money In",IF(ISNUMBER(SEARCH("Funds Received",C175)),"Money In",IF(ISNUMBER(SEARCH("Receive International",C175)),"Money In",IF(ISNUMBER(SEARCH("Send Money Reversal",C175)),"Money In",IF(ISNUMBER(SEARCH("Pay Utility Reversal",C175)),"Money In",IF(ISNUMBER(SEARCH("Customer Transfer",C175)),"Money In",IF(ISNUMBER(SEARCH("Ziidi",C175)),"Investment",IF(ISNUMBER(SEARCH("Nabo",C175)),"Investment",IF(ISNUMBER(SEARCH("Paybill Online",C175)),"Pay Bill",IF(ISNUMBER(SEARCH("Pay Bill",C175)),"Pay Bill",IF(ISNUMBER(SEARCH("Spotify",C175)),"Pay Bill",IF(ISNUMBER(SEARCH("M-Shwari",C175)),"Mshwari",IF(ISNUMBER(SEARCH("Mshwari",C175)),"Mshwari",IF(ISNUMBER(SEARCH("Withdrawal charge",C175)),"Fees",IF(ISNUMBER(SEARCH("Customer Withdrawal",C175)),"Fees",IF(ISNUMBER(SEARCH("charge",C175)),"Fees","Other")))))))))))))))))))))))))</f>
        <v>Money In</v>
      </c>
      <c r="R175" s="1" t="str">
        <f aca="false">TEXT(B175,"MMM YYYY")</f>
        <v>Feb 2026</v>
      </c>
    </row>
    <row r="176" customFormat="false" ht="13.8" hidden="false" customHeight="false" outlineLevel="0" collapsed="false">
      <c r="A176" s="4" t="s">
        <v>391</v>
      </c>
      <c r="B176" s="4" t="s">
        <v>392</v>
      </c>
      <c r="C176" s="4" t="s">
        <v>387</v>
      </c>
      <c r="D176" s="4" t="s">
        <v>18</v>
      </c>
      <c r="E176" s="4"/>
      <c r="F176" s="4"/>
      <c r="G176" s="4" t="n">
        <v>10</v>
      </c>
      <c r="L176" s="1" t="str">
        <f aca="false">IF(ISNUMBER(SEARCH("Bundle",C176)),"Bundles",IF(ISNUMBER(SEARCH("Airtime",C176)),"Bundles",IF(ISNUMBER(SEARCH("Merchant",C176)),"Merchant Payment",IF(ISNUMBER(SEARCH("Offnet C2B",C176)),"Merchant Payment",IF(ISNUMBER(SEARCH("Offnet B2C",C176)),"Merchant Payment",IF(ISNUMBER(SEARCH("Customer Payment to Small",C176)),"Merchant Payment",IF(ISNUMBER(SEARCH("Payment to Small Business",C176)),"Merchant Payment",IF(ISNUMBER(SEARCH("Sent to",C176)),"Sent to Person",IF(ISNUMBER(SEARCH("Customer Transfer to",C176)),"Sent to Person",IF(ISNUMBER(SEARCH("Business Payment",C176)),"Money In",IF(ISNUMBER(SEARCH("Funds Received",C176)),"Money In",IF(ISNUMBER(SEARCH("Receive International",C176)),"Money In",IF(ISNUMBER(SEARCH("Send Money Reversal",C176)),"Money In",IF(ISNUMBER(SEARCH("Pay Utility Reversal",C176)),"Money In",IF(ISNUMBER(SEARCH("Customer Transfer",C176)),"Money In",IF(ISNUMBER(SEARCH("Ziidi",C176)),"Investment",IF(ISNUMBER(SEARCH("Nabo",C176)),"Investment",IF(ISNUMBER(SEARCH("Paybill Online",C176)),"Pay Bill",IF(ISNUMBER(SEARCH("Pay Bill",C176)),"Pay Bill",IF(ISNUMBER(SEARCH("Spotify",C176)),"Pay Bill",IF(ISNUMBER(SEARCH("M-Shwari",C176)),"Mshwari",IF(ISNUMBER(SEARCH("Mshwari",C176)),"Mshwari",IF(ISNUMBER(SEARCH("Withdrawal charge",C176)),"Fees",IF(ISNUMBER(SEARCH("Customer Withdrawal",C176)),"Fees",IF(ISNUMBER(SEARCH("charge",C176)),"Fees","Other")))))))))))))))))))))))))</f>
        <v>Sent to Person</v>
      </c>
      <c r="R176" s="1" t="str">
        <f aca="false">TEXT(B176,"MMM YYYY")</f>
        <v>Feb 2026</v>
      </c>
    </row>
    <row r="177" customFormat="false" ht="13.8" hidden="false" customHeight="false" outlineLevel="0" collapsed="false">
      <c r="A177" s="4" t="s">
        <v>393</v>
      </c>
      <c r="B177" s="4" t="s">
        <v>394</v>
      </c>
      <c r="C177" s="4" t="s">
        <v>90</v>
      </c>
      <c r="D177" s="4" t="s">
        <v>18</v>
      </c>
      <c r="E177" s="4"/>
      <c r="F177" s="4"/>
      <c r="G177" s="4" t="n">
        <v>250</v>
      </c>
      <c r="L177" s="1" t="str">
        <f aca="false">IF(ISNUMBER(SEARCH("Bundle",C177)),"Bundles",IF(ISNUMBER(SEARCH("Airtime",C177)),"Bundles",IF(ISNUMBER(SEARCH("Merchant",C177)),"Merchant Payment",IF(ISNUMBER(SEARCH("Offnet C2B",C177)),"Merchant Payment",IF(ISNUMBER(SEARCH("Offnet B2C",C177)),"Merchant Payment",IF(ISNUMBER(SEARCH("Customer Payment to Small",C177)),"Merchant Payment",IF(ISNUMBER(SEARCH("Payment to Small Business",C177)),"Merchant Payment",IF(ISNUMBER(SEARCH("Sent to",C177)),"Sent to Person",IF(ISNUMBER(SEARCH("Customer Transfer to",C177)),"Sent to Person",IF(ISNUMBER(SEARCH("Business Payment",C177)),"Money In",IF(ISNUMBER(SEARCH("Funds Received",C177)),"Money In",IF(ISNUMBER(SEARCH("Receive International",C177)),"Money In",IF(ISNUMBER(SEARCH("Send Money Reversal",C177)),"Money In",IF(ISNUMBER(SEARCH("Pay Utility Reversal",C177)),"Money In",IF(ISNUMBER(SEARCH("Customer Transfer",C177)),"Money In",IF(ISNUMBER(SEARCH("Ziidi",C177)),"Investment",IF(ISNUMBER(SEARCH("Nabo",C177)),"Investment",IF(ISNUMBER(SEARCH("Paybill Online",C177)),"Pay Bill",IF(ISNUMBER(SEARCH("Pay Bill",C177)),"Pay Bill",IF(ISNUMBER(SEARCH("Spotify",C177)),"Pay Bill",IF(ISNUMBER(SEARCH("M-Shwari",C177)),"Mshwari",IF(ISNUMBER(SEARCH("Mshwari",C177)),"Mshwari",IF(ISNUMBER(SEARCH("Withdrawal charge",C177)),"Fees",IF(ISNUMBER(SEARCH("Customer Withdrawal",C177)),"Fees",IF(ISNUMBER(SEARCH("charge",C177)),"Fees","Other")))))))))))))))))))))))))</f>
        <v>Bundles</v>
      </c>
      <c r="R177" s="1" t="str">
        <f aca="false">TEXT(B177,"MMM YYYY")</f>
        <v>Feb 2026</v>
      </c>
    </row>
    <row r="178" customFormat="false" ht="13.8" hidden="false" customHeight="false" outlineLevel="0" collapsed="false">
      <c r="A178" s="4" t="s">
        <v>395</v>
      </c>
      <c r="B178" s="4" t="s">
        <v>396</v>
      </c>
      <c r="C178" s="4" t="s">
        <v>90</v>
      </c>
      <c r="D178" s="4" t="s">
        <v>18</v>
      </c>
      <c r="E178" s="4"/>
      <c r="F178" s="4"/>
      <c r="G178" s="4" t="n">
        <v>10</v>
      </c>
      <c r="L178" s="1" t="str">
        <f aca="false">IF(ISNUMBER(SEARCH("Bundle",C178)),"Bundles",IF(ISNUMBER(SEARCH("Airtime",C178)),"Bundles",IF(ISNUMBER(SEARCH("Merchant",C178)),"Merchant Payment",IF(ISNUMBER(SEARCH("Offnet C2B",C178)),"Merchant Payment",IF(ISNUMBER(SEARCH("Offnet B2C",C178)),"Merchant Payment",IF(ISNUMBER(SEARCH("Customer Payment to Small",C178)),"Merchant Payment",IF(ISNUMBER(SEARCH("Payment to Small Business",C178)),"Merchant Payment",IF(ISNUMBER(SEARCH("Sent to",C178)),"Sent to Person",IF(ISNUMBER(SEARCH("Customer Transfer to",C178)),"Sent to Person",IF(ISNUMBER(SEARCH("Business Payment",C178)),"Money In",IF(ISNUMBER(SEARCH("Funds Received",C178)),"Money In",IF(ISNUMBER(SEARCH("Receive International",C178)),"Money In",IF(ISNUMBER(SEARCH("Send Money Reversal",C178)),"Money In",IF(ISNUMBER(SEARCH("Pay Utility Reversal",C178)),"Money In",IF(ISNUMBER(SEARCH("Customer Transfer",C178)),"Money In",IF(ISNUMBER(SEARCH("Ziidi",C178)),"Investment",IF(ISNUMBER(SEARCH("Nabo",C178)),"Investment",IF(ISNUMBER(SEARCH("Paybill Online",C178)),"Pay Bill",IF(ISNUMBER(SEARCH("Pay Bill",C178)),"Pay Bill",IF(ISNUMBER(SEARCH("Spotify",C178)),"Pay Bill",IF(ISNUMBER(SEARCH("M-Shwari",C178)),"Mshwari",IF(ISNUMBER(SEARCH("Mshwari",C178)),"Mshwari",IF(ISNUMBER(SEARCH("Withdrawal charge",C178)),"Fees",IF(ISNUMBER(SEARCH("Customer Withdrawal",C178)),"Fees",IF(ISNUMBER(SEARCH("charge",C178)),"Fees","Other")))))))))))))))))))))))))</f>
        <v>Bundles</v>
      </c>
      <c r="R178" s="1" t="str">
        <f aca="false">TEXT(B178,"MMM YYYY")</f>
        <v>Feb 2026</v>
      </c>
    </row>
    <row r="179" customFormat="false" ht="13.8" hidden="false" customHeight="false" outlineLevel="0" collapsed="false">
      <c r="A179" s="4" t="s">
        <v>397</v>
      </c>
      <c r="B179" s="4" t="s">
        <v>398</v>
      </c>
      <c r="C179" s="4" t="s">
        <v>90</v>
      </c>
      <c r="D179" s="4" t="s">
        <v>18</v>
      </c>
      <c r="E179" s="4"/>
      <c r="F179" s="4"/>
      <c r="G179" s="4" t="n">
        <v>30</v>
      </c>
      <c r="L179" s="1" t="str">
        <f aca="false">IF(ISNUMBER(SEARCH("Bundle",C179)),"Bundles",IF(ISNUMBER(SEARCH("Airtime",C179)),"Bundles",IF(ISNUMBER(SEARCH("Merchant",C179)),"Merchant Payment",IF(ISNUMBER(SEARCH("Offnet C2B",C179)),"Merchant Payment",IF(ISNUMBER(SEARCH("Offnet B2C",C179)),"Merchant Payment",IF(ISNUMBER(SEARCH("Customer Payment to Small",C179)),"Merchant Payment",IF(ISNUMBER(SEARCH("Payment to Small Business",C179)),"Merchant Payment",IF(ISNUMBER(SEARCH("Sent to",C179)),"Sent to Person",IF(ISNUMBER(SEARCH("Customer Transfer to",C179)),"Sent to Person",IF(ISNUMBER(SEARCH("Business Payment",C179)),"Money In",IF(ISNUMBER(SEARCH("Funds Received",C179)),"Money In",IF(ISNUMBER(SEARCH("Receive International",C179)),"Money In",IF(ISNUMBER(SEARCH("Send Money Reversal",C179)),"Money In",IF(ISNUMBER(SEARCH("Pay Utility Reversal",C179)),"Money In",IF(ISNUMBER(SEARCH("Customer Transfer",C179)),"Money In",IF(ISNUMBER(SEARCH("Ziidi",C179)),"Investment",IF(ISNUMBER(SEARCH("Nabo",C179)),"Investment",IF(ISNUMBER(SEARCH("Paybill Online",C179)),"Pay Bill",IF(ISNUMBER(SEARCH("Pay Bill",C179)),"Pay Bill",IF(ISNUMBER(SEARCH("Spotify",C179)),"Pay Bill",IF(ISNUMBER(SEARCH("M-Shwari",C179)),"Mshwari",IF(ISNUMBER(SEARCH("Mshwari",C179)),"Mshwari",IF(ISNUMBER(SEARCH("Withdrawal charge",C179)),"Fees",IF(ISNUMBER(SEARCH("Customer Withdrawal",C179)),"Fees",IF(ISNUMBER(SEARCH("charge",C179)),"Fees","Other")))))))))))))))))))))))))</f>
        <v>Bundles</v>
      </c>
      <c r="R179" s="1" t="str">
        <f aca="false">TEXT(B179,"MMM YYYY")</f>
        <v>Feb 2026</v>
      </c>
    </row>
    <row r="180" customFormat="false" ht="13.8" hidden="false" customHeight="false" outlineLevel="0" collapsed="false">
      <c r="A180" s="4" t="s">
        <v>399</v>
      </c>
      <c r="B180" s="4" t="s">
        <v>400</v>
      </c>
      <c r="C180" s="4" t="s">
        <v>401</v>
      </c>
      <c r="D180" s="4" t="s">
        <v>18</v>
      </c>
      <c r="E180" s="4"/>
      <c r="F180" s="4"/>
      <c r="G180" s="4" t="n">
        <v>60</v>
      </c>
      <c r="L180" s="1" t="str">
        <f aca="false">IF(ISNUMBER(SEARCH("Bundle",C180)),"Bundles",IF(ISNUMBER(SEARCH("Airtime",C180)),"Bundles",IF(ISNUMBER(SEARCH("Merchant",C180)),"Merchant Payment",IF(ISNUMBER(SEARCH("Offnet C2B",C180)),"Merchant Payment",IF(ISNUMBER(SEARCH("Offnet B2C",C180)),"Merchant Payment",IF(ISNUMBER(SEARCH("Customer Payment to Small",C180)),"Merchant Payment",IF(ISNUMBER(SEARCH("Payment to Small Business",C180)),"Merchant Payment",IF(ISNUMBER(SEARCH("Sent to",C180)),"Sent to Person",IF(ISNUMBER(SEARCH("Customer Transfer to",C180)),"Sent to Person",IF(ISNUMBER(SEARCH("Business Payment",C180)),"Money In",IF(ISNUMBER(SEARCH("Funds Received",C180)),"Money In",IF(ISNUMBER(SEARCH("Receive International",C180)),"Money In",IF(ISNUMBER(SEARCH("Send Money Reversal",C180)),"Money In",IF(ISNUMBER(SEARCH("Pay Utility Reversal",C180)),"Money In",IF(ISNUMBER(SEARCH("Customer Transfer",C180)),"Money In",IF(ISNUMBER(SEARCH("Ziidi",C180)),"Investment",IF(ISNUMBER(SEARCH("Nabo",C180)),"Investment",IF(ISNUMBER(SEARCH("Paybill Online",C180)),"Pay Bill",IF(ISNUMBER(SEARCH("Pay Bill",C180)),"Pay Bill",IF(ISNUMBER(SEARCH("Spotify",C180)),"Pay Bill",IF(ISNUMBER(SEARCH("M-Shwari",C180)),"Mshwari",IF(ISNUMBER(SEARCH("Mshwari",C180)),"Mshwari",IF(ISNUMBER(SEARCH("Withdrawal charge",C180)),"Fees",IF(ISNUMBER(SEARCH("Customer Withdrawal",C180)),"Fees",IF(ISNUMBER(SEARCH("charge",C180)),"Fees","Other")))))))))))))))))))))))))</f>
        <v>Merchant Payment</v>
      </c>
      <c r="R180" s="1" t="str">
        <f aca="false">TEXT(B180,"MMM YYYY")</f>
        <v>Feb 2026</v>
      </c>
    </row>
    <row r="181" customFormat="false" ht="13.8" hidden="false" customHeight="false" outlineLevel="0" collapsed="false">
      <c r="A181" s="4" t="s">
        <v>402</v>
      </c>
      <c r="B181" s="4" t="s">
        <v>403</v>
      </c>
      <c r="C181" s="4" t="s">
        <v>192</v>
      </c>
      <c r="D181" s="4" t="s">
        <v>18</v>
      </c>
      <c r="E181" s="4" t="n">
        <v>1000</v>
      </c>
      <c r="F181" s="4"/>
      <c r="G181" s="4" t="n">
        <v>1492</v>
      </c>
      <c r="L181" s="1" t="str">
        <f aca="false">IF(ISNUMBER(SEARCH("Bundle",C181)),"Bundles",IF(ISNUMBER(SEARCH("Airtime",C181)),"Bundles",IF(ISNUMBER(SEARCH("Merchant",C181)),"Merchant Payment",IF(ISNUMBER(SEARCH("Offnet C2B",C181)),"Merchant Payment",IF(ISNUMBER(SEARCH("Offnet B2C",C181)),"Merchant Payment",IF(ISNUMBER(SEARCH("Customer Payment to Small",C181)),"Merchant Payment",IF(ISNUMBER(SEARCH("Payment to Small Business",C181)),"Merchant Payment",IF(ISNUMBER(SEARCH("Sent to",C181)),"Sent to Person",IF(ISNUMBER(SEARCH("Customer Transfer to",C181)),"Sent to Person",IF(ISNUMBER(SEARCH("Business Payment",C181)),"Money In",IF(ISNUMBER(SEARCH("Funds Received",C181)),"Money In",IF(ISNUMBER(SEARCH("Receive International",C181)),"Money In",IF(ISNUMBER(SEARCH("Send Money Reversal",C181)),"Money In",IF(ISNUMBER(SEARCH("Pay Utility Reversal",C181)),"Money In",IF(ISNUMBER(SEARCH("Customer Transfer",C181)),"Money In",IF(ISNUMBER(SEARCH("Ziidi",C181)),"Investment",IF(ISNUMBER(SEARCH("Nabo",C181)),"Investment",IF(ISNUMBER(SEARCH("Paybill Online",C181)),"Pay Bill",IF(ISNUMBER(SEARCH("Pay Bill",C181)),"Pay Bill",IF(ISNUMBER(SEARCH("Spotify",C181)),"Pay Bill",IF(ISNUMBER(SEARCH("M-Shwari",C181)),"Mshwari",IF(ISNUMBER(SEARCH("Mshwari",C181)),"Mshwari",IF(ISNUMBER(SEARCH("Withdrawal charge",C181)),"Fees",IF(ISNUMBER(SEARCH("Customer Withdrawal",C181)),"Fees",IF(ISNUMBER(SEARCH("charge",C181)),"Fees","Other")))))))))))))))))))))))))</f>
        <v>Mshwari</v>
      </c>
      <c r="R181" s="1" t="str">
        <f aca="false">TEXT(B181,"MMM YYYY")</f>
        <v>Feb 2026</v>
      </c>
    </row>
    <row r="182" customFormat="false" ht="13.8" hidden="false" customHeight="false" outlineLevel="0" collapsed="false">
      <c r="A182" s="4" t="s">
        <v>404</v>
      </c>
      <c r="B182" s="4" t="s">
        <v>405</v>
      </c>
      <c r="C182" s="4" t="s">
        <v>29</v>
      </c>
      <c r="D182" s="4" t="s">
        <v>18</v>
      </c>
      <c r="E182" s="4"/>
      <c r="F182" s="4" t="n">
        <v>10</v>
      </c>
      <c r="G182" s="4" t="n">
        <v>1482</v>
      </c>
      <c r="L182" s="1" t="str">
        <f aca="false">IF(ISNUMBER(SEARCH("Bundle",C182)),"Bundles",IF(ISNUMBER(SEARCH("Airtime",C182)),"Bundles",IF(ISNUMBER(SEARCH("Merchant",C182)),"Merchant Payment",IF(ISNUMBER(SEARCH("Offnet C2B",C182)),"Merchant Payment",IF(ISNUMBER(SEARCH("Offnet B2C",C182)),"Merchant Payment",IF(ISNUMBER(SEARCH("Customer Payment to Small",C182)),"Merchant Payment",IF(ISNUMBER(SEARCH("Payment to Small Business",C182)),"Merchant Payment",IF(ISNUMBER(SEARCH("Sent to",C182)),"Sent to Person",IF(ISNUMBER(SEARCH("Customer Transfer to",C182)),"Sent to Person",IF(ISNUMBER(SEARCH("Business Payment",C182)),"Money In",IF(ISNUMBER(SEARCH("Funds Received",C182)),"Money In",IF(ISNUMBER(SEARCH("Receive International",C182)),"Money In",IF(ISNUMBER(SEARCH("Send Money Reversal",C182)),"Money In",IF(ISNUMBER(SEARCH("Pay Utility Reversal",C182)),"Money In",IF(ISNUMBER(SEARCH("Customer Transfer",C182)),"Money In",IF(ISNUMBER(SEARCH("Ziidi",C182)),"Investment",IF(ISNUMBER(SEARCH("Nabo",C182)),"Investment",IF(ISNUMBER(SEARCH("Paybill Online",C182)),"Pay Bill",IF(ISNUMBER(SEARCH("Pay Bill",C182)),"Pay Bill",IF(ISNUMBER(SEARCH("Spotify",C182)),"Pay Bill",IF(ISNUMBER(SEARCH("M-Shwari",C182)),"Mshwari",IF(ISNUMBER(SEARCH("Mshwari",C182)),"Mshwari",IF(ISNUMBER(SEARCH("Withdrawal charge",C182)),"Fees",IF(ISNUMBER(SEARCH("Customer Withdrawal",C182)),"Fees",IF(ISNUMBER(SEARCH("charge",C182)),"Fees","Other")))))))))))))))))))))))))</f>
        <v>Bundles</v>
      </c>
      <c r="R182" s="1" t="str">
        <f aca="false">TEXT(B182,"MMM YYYY")</f>
        <v>Feb 2026</v>
      </c>
    </row>
    <row r="183" customFormat="false" ht="13.8" hidden="false" customHeight="false" outlineLevel="0" collapsed="false">
      <c r="A183" s="4" t="s">
        <v>406</v>
      </c>
      <c r="B183" s="4" t="s">
        <v>407</v>
      </c>
      <c r="C183" s="4" t="s">
        <v>29</v>
      </c>
      <c r="D183" s="4" t="s">
        <v>18</v>
      </c>
      <c r="E183" s="4"/>
      <c r="F183" s="4" t="n">
        <v>10</v>
      </c>
      <c r="G183" s="4" t="n">
        <v>1472</v>
      </c>
      <c r="L183" s="1" t="str">
        <f aca="false">IF(ISNUMBER(SEARCH("Bundle",C183)),"Bundles",IF(ISNUMBER(SEARCH("Airtime",C183)),"Bundles",IF(ISNUMBER(SEARCH("Merchant",C183)),"Merchant Payment",IF(ISNUMBER(SEARCH("Offnet C2B",C183)),"Merchant Payment",IF(ISNUMBER(SEARCH("Offnet B2C",C183)),"Merchant Payment",IF(ISNUMBER(SEARCH("Customer Payment to Small",C183)),"Merchant Payment",IF(ISNUMBER(SEARCH("Payment to Small Business",C183)),"Merchant Payment",IF(ISNUMBER(SEARCH("Sent to",C183)),"Sent to Person",IF(ISNUMBER(SEARCH("Customer Transfer to",C183)),"Sent to Person",IF(ISNUMBER(SEARCH("Business Payment",C183)),"Money In",IF(ISNUMBER(SEARCH("Funds Received",C183)),"Money In",IF(ISNUMBER(SEARCH("Receive International",C183)),"Money In",IF(ISNUMBER(SEARCH("Send Money Reversal",C183)),"Money In",IF(ISNUMBER(SEARCH("Pay Utility Reversal",C183)),"Money In",IF(ISNUMBER(SEARCH("Customer Transfer",C183)),"Money In",IF(ISNUMBER(SEARCH("Ziidi",C183)),"Investment",IF(ISNUMBER(SEARCH("Nabo",C183)),"Investment",IF(ISNUMBER(SEARCH("Paybill Online",C183)),"Pay Bill",IF(ISNUMBER(SEARCH("Pay Bill",C183)),"Pay Bill",IF(ISNUMBER(SEARCH("Spotify",C183)),"Pay Bill",IF(ISNUMBER(SEARCH("M-Shwari",C183)),"Mshwari",IF(ISNUMBER(SEARCH("Mshwari",C183)),"Mshwari",IF(ISNUMBER(SEARCH("Withdrawal charge",C183)),"Fees",IF(ISNUMBER(SEARCH("Customer Withdrawal",C183)),"Fees",IF(ISNUMBER(SEARCH("charge",C183)),"Fees","Other")))))))))))))))))))))))))</f>
        <v>Bundles</v>
      </c>
      <c r="R183" s="1" t="str">
        <f aca="false">TEXT(B183,"MMM YYYY")</f>
        <v>Feb 2026</v>
      </c>
    </row>
    <row r="184" customFormat="false" ht="13.8" hidden="false" customHeight="false" outlineLevel="0" collapsed="false">
      <c r="A184" s="4" t="s">
        <v>408</v>
      </c>
      <c r="B184" s="4" t="s">
        <v>409</v>
      </c>
      <c r="C184" s="4" t="s">
        <v>192</v>
      </c>
      <c r="D184" s="4" t="s">
        <v>18</v>
      </c>
      <c r="E184" s="4" t="n">
        <v>3000</v>
      </c>
      <c r="F184" s="4"/>
      <c r="G184" s="4" t="n">
        <v>4472</v>
      </c>
      <c r="L184" s="1" t="str">
        <f aca="false">IF(ISNUMBER(SEARCH("Bundle",C184)),"Bundles",IF(ISNUMBER(SEARCH("Airtime",C184)),"Bundles",IF(ISNUMBER(SEARCH("Merchant",C184)),"Merchant Payment",IF(ISNUMBER(SEARCH("Offnet C2B",C184)),"Merchant Payment",IF(ISNUMBER(SEARCH("Offnet B2C",C184)),"Merchant Payment",IF(ISNUMBER(SEARCH("Customer Payment to Small",C184)),"Merchant Payment",IF(ISNUMBER(SEARCH("Payment to Small Business",C184)),"Merchant Payment",IF(ISNUMBER(SEARCH("Sent to",C184)),"Sent to Person",IF(ISNUMBER(SEARCH("Customer Transfer to",C184)),"Sent to Person",IF(ISNUMBER(SEARCH("Business Payment",C184)),"Money In",IF(ISNUMBER(SEARCH("Funds Received",C184)),"Money In",IF(ISNUMBER(SEARCH("Receive International",C184)),"Money In",IF(ISNUMBER(SEARCH("Send Money Reversal",C184)),"Money In",IF(ISNUMBER(SEARCH("Pay Utility Reversal",C184)),"Money In",IF(ISNUMBER(SEARCH("Customer Transfer",C184)),"Money In",IF(ISNUMBER(SEARCH("Ziidi",C184)),"Investment",IF(ISNUMBER(SEARCH("Nabo",C184)),"Investment",IF(ISNUMBER(SEARCH("Paybill Online",C184)),"Pay Bill",IF(ISNUMBER(SEARCH("Pay Bill",C184)),"Pay Bill",IF(ISNUMBER(SEARCH("Spotify",C184)),"Pay Bill",IF(ISNUMBER(SEARCH("M-Shwari",C184)),"Mshwari",IF(ISNUMBER(SEARCH("Mshwari",C184)),"Mshwari",IF(ISNUMBER(SEARCH("Withdrawal charge",C184)),"Fees",IF(ISNUMBER(SEARCH("Customer Withdrawal",C184)),"Fees",IF(ISNUMBER(SEARCH("charge",C184)),"Fees","Other")))))))))))))))))))))))))</f>
        <v>Mshwari</v>
      </c>
      <c r="R184" s="1" t="str">
        <f aca="false">TEXT(B184,"MMM YYYY")</f>
        <v>Feb 2026</v>
      </c>
    </row>
    <row r="185" customFormat="false" ht="13.8" hidden="false" customHeight="false" outlineLevel="0" collapsed="false">
      <c r="A185" s="4" t="s">
        <v>410</v>
      </c>
      <c r="B185" s="4" t="s">
        <v>411</v>
      </c>
      <c r="C185" s="4" t="s">
        <v>412</v>
      </c>
      <c r="D185" s="4" t="s">
        <v>18</v>
      </c>
      <c r="E185" s="4"/>
      <c r="F185" s="4" t="n">
        <v>4074</v>
      </c>
      <c r="G185" s="4" t="n">
        <v>398</v>
      </c>
      <c r="L185" s="1" t="str">
        <f aca="false">IF(ISNUMBER(SEARCH("Bundle",C185)),"Bundles",IF(ISNUMBER(SEARCH("Airtime",C185)),"Bundles",IF(ISNUMBER(SEARCH("Merchant",C185)),"Merchant Payment",IF(ISNUMBER(SEARCH("Offnet C2B",C185)),"Merchant Payment",IF(ISNUMBER(SEARCH("Offnet B2C",C185)),"Merchant Payment",IF(ISNUMBER(SEARCH("Customer Payment to Small",C185)),"Merchant Payment",IF(ISNUMBER(SEARCH("Payment to Small Business",C185)),"Merchant Payment",IF(ISNUMBER(SEARCH("Sent to",C185)),"Sent to Person",IF(ISNUMBER(SEARCH("Customer Transfer to",C185)),"Sent to Person",IF(ISNUMBER(SEARCH("Business Payment",C185)),"Money In",IF(ISNUMBER(SEARCH("Funds Received",C185)),"Money In",IF(ISNUMBER(SEARCH("Receive International",C185)),"Money In",IF(ISNUMBER(SEARCH("Send Money Reversal",C185)),"Money In",IF(ISNUMBER(SEARCH("Pay Utility Reversal",C185)),"Money In",IF(ISNUMBER(SEARCH("Customer Transfer",C185)),"Money In",IF(ISNUMBER(SEARCH("Ziidi",C185)),"Investment",IF(ISNUMBER(SEARCH("Nabo",C185)),"Investment",IF(ISNUMBER(SEARCH("Paybill Online",C185)),"Pay Bill",IF(ISNUMBER(SEARCH("Pay Bill",C185)),"Pay Bill",IF(ISNUMBER(SEARCH("Spotify",C185)),"Pay Bill",IF(ISNUMBER(SEARCH("M-Shwari",C185)),"Mshwari",IF(ISNUMBER(SEARCH("Mshwari",C185)),"Mshwari",IF(ISNUMBER(SEARCH("Withdrawal charge",C185)),"Fees",IF(ISNUMBER(SEARCH("Customer Withdrawal",C185)),"Fees",IF(ISNUMBER(SEARCH("charge",C185)),"Fees","Other")))))))))))))))))))))))))</f>
        <v>Merchant Payment</v>
      </c>
      <c r="R185" s="1" t="str">
        <f aca="false">TEXT(B185,"MMM YYYY")</f>
        <v>Feb 2026</v>
      </c>
    </row>
    <row r="186" customFormat="false" ht="13.8" hidden="false" customHeight="false" outlineLevel="0" collapsed="false">
      <c r="A186" s="4" t="s">
        <v>413</v>
      </c>
      <c r="B186" s="4" t="s">
        <v>414</v>
      </c>
      <c r="C186" s="4" t="s">
        <v>415</v>
      </c>
      <c r="D186" s="4" t="s">
        <v>18</v>
      </c>
      <c r="E186" s="4"/>
      <c r="F186" s="4" t="n">
        <v>80</v>
      </c>
      <c r="G186" s="4" t="n">
        <v>318</v>
      </c>
      <c r="L186" s="1" t="str">
        <f aca="false">IF(ISNUMBER(SEARCH("Bundle",C186)),"Bundles",IF(ISNUMBER(SEARCH("Airtime",C186)),"Bundles",IF(ISNUMBER(SEARCH("Merchant",C186)),"Merchant Payment",IF(ISNUMBER(SEARCH("Offnet C2B",C186)),"Merchant Payment",IF(ISNUMBER(SEARCH("Offnet B2C",C186)),"Merchant Payment",IF(ISNUMBER(SEARCH("Customer Payment to Small",C186)),"Merchant Payment",IF(ISNUMBER(SEARCH("Payment to Small Business",C186)),"Merchant Payment",IF(ISNUMBER(SEARCH("Sent to",C186)),"Sent to Person",IF(ISNUMBER(SEARCH("Customer Transfer to",C186)),"Sent to Person",IF(ISNUMBER(SEARCH("Business Payment",C186)),"Money In",IF(ISNUMBER(SEARCH("Funds Received",C186)),"Money In",IF(ISNUMBER(SEARCH("Receive International",C186)),"Money In",IF(ISNUMBER(SEARCH("Send Money Reversal",C186)),"Money In",IF(ISNUMBER(SEARCH("Pay Utility Reversal",C186)),"Money In",IF(ISNUMBER(SEARCH("Customer Transfer",C186)),"Money In",IF(ISNUMBER(SEARCH("Ziidi",C186)),"Investment",IF(ISNUMBER(SEARCH("Nabo",C186)),"Investment",IF(ISNUMBER(SEARCH("Paybill Online",C186)),"Pay Bill",IF(ISNUMBER(SEARCH("Pay Bill",C186)),"Pay Bill",IF(ISNUMBER(SEARCH("Spotify",C186)),"Pay Bill",IF(ISNUMBER(SEARCH("M-Shwari",C186)),"Mshwari",IF(ISNUMBER(SEARCH("Mshwari",C186)),"Mshwari",IF(ISNUMBER(SEARCH("Withdrawal charge",C186)),"Fees",IF(ISNUMBER(SEARCH("Customer Withdrawal",C186)),"Fees",IF(ISNUMBER(SEARCH("charge",C186)),"Fees","Other")))))))))))))))))))))))))</f>
        <v>Merchant Payment</v>
      </c>
      <c r="R186" s="1" t="str">
        <f aca="false">TEXT(B186,"MMM YYYY")</f>
        <v>Feb 2026</v>
      </c>
    </row>
    <row r="187" customFormat="false" ht="13.8" hidden="false" customHeight="false" outlineLevel="0" collapsed="false">
      <c r="A187" s="4" t="s">
        <v>416</v>
      </c>
      <c r="B187" s="4" t="s">
        <v>417</v>
      </c>
      <c r="C187" s="4" t="s">
        <v>45</v>
      </c>
      <c r="D187" s="4" t="s">
        <v>18</v>
      </c>
      <c r="E187" s="4"/>
      <c r="F187" s="4" t="n">
        <v>50</v>
      </c>
      <c r="G187" s="4" t="n">
        <v>268</v>
      </c>
      <c r="L187" s="1" t="str">
        <f aca="false">IF(ISNUMBER(SEARCH("Bundle",C187)),"Bundles",IF(ISNUMBER(SEARCH("Airtime",C187)),"Bundles",IF(ISNUMBER(SEARCH("Merchant",C187)),"Merchant Payment",IF(ISNUMBER(SEARCH("Offnet C2B",C187)),"Merchant Payment",IF(ISNUMBER(SEARCH("Offnet B2C",C187)),"Merchant Payment",IF(ISNUMBER(SEARCH("Customer Payment to Small",C187)),"Merchant Payment",IF(ISNUMBER(SEARCH("Payment to Small Business",C187)),"Merchant Payment",IF(ISNUMBER(SEARCH("Sent to",C187)),"Sent to Person",IF(ISNUMBER(SEARCH("Customer Transfer to",C187)),"Sent to Person",IF(ISNUMBER(SEARCH("Business Payment",C187)),"Money In",IF(ISNUMBER(SEARCH("Funds Received",C187)),"Money In",IF(ISNUMBER(SEARCH("Receive International",C187)),"Money In",IF(ISNUMBER(SEARCH("Send Money Reversal",C187)),"Money In",IF(ISNUMBER(SEARCH("Pay Utility Reversal",C187)),"Money In",IF(ISNUMBER(SEARCH("Customer Transfer",C187)),"Money In",IF(ISNUMBER(SEARCH("Ziidi",C187)),"Investment",IF(ISNUMBER(SEARCH("Nabo",C187)),"Investment",IF(ISNUMBER(SEARCH("Paybill Online",C187)),"Pay Bill",IF(ISNUMBER(SEARCH("Pay Bill",C187)),"Pay Bill",IF(ISNUMBER(SEARCH("Spotify",C187)),"Pay Bill",IF(ISNUMBER(SEARCH("M-Shwari",C187)),"Mshwari",IF(ISNUMBER(SEARCH("Mshwari",C187)),"Mshwari",IF(ISNUMBER(SEARCH("Withdrawal charge",C187)),"Fees",IF(ISNUMBER(SEARCH("Customer Withdrawal",C187)),"Fees",IF(ISNUMBER(SEARCH("charge",C187)),"Fees","Other")))))))))))))))))))))))))</f>
        <v>Merchant Payment</v>
      </c>
      <c r="R187" s="1" t="str">
        <f aca="false">TEXT(B187,"MMM YYYY")</f>
        <v>Feb 2026</v>
      </c>
    </row>
    <row r="188" customFormat="false" ht="13.8" hidden="false" customHeight="false" outlineLevel="0" collapsed="false">
      <c r="A188" s="4" t="s">
        <v>418</v>
      </c>
      <c r="B188" s="4" t="s">
        <v>419</v>
      </c>
      <c r="C188" s="4" t="s">
        <v>29</v>
      </c>
      <c r="D188" s="4" t="s">
        <v>18</v>
      </c>
      <c r="E188" s="4"/>
      <c r="F188" s="4" t="n">
        <v>10</v>
      </c>
      <c r="G188" s="4" t="n">
        <v>258</v>
      </c>
      <c r="L188" s="1" t="str">
        <f aca="false">IF(ISNUMBER(SEARCH("Bundle",C188)),"Bundles",IF(ISNUMBER(SEARCH("Airtime",C188)),"Bundles",IF(ISNUMBER(SEARCH("Merchant",C188)),"Merchant Payment",IF(ISNUMBER(SEARCH("Offnet C2B",C188)),"Merchant Payment",IF(ISNUMBER(SEARCH("Offnet B2C",C188)),"Merchant Payment",IF(ISNUMBER(SEARCH("Customer Payment to Small",C188)),"Merchant Payment",IF(ISNUMBER(SEARCH("Payment to Small Business",C188)),"Merchant Payment",IF(ISNUMBER(SEARCH("Sent to",C188)),"Sent to Person",IF(ISNUMBER(SEARCH("Customer Transfer to",C188)),"Sent to Person",IF(ISNUMBER(SEARCH("Business Payment",C188)),"Money In",IF(ISNUMBER(SEARCH("Funds Received",C188)),"Money In",IF(ISNUMBER(SEARCH("Receive International",C188)),"Money In",IF(ISNUMBER(SEARCH("Send Money Reversal",C188)),"Money In",IF(ISNUMBER(SEARCH("Pay Utility Reversal",C188)),"Money In",IF(ISNUMBER(SEARCH("Customer Transfer",C188)),"Money In",IF(ISNUMBER(SEARCH("Ziidi",C188)),"Investment",IF(ISNUMBER(SEARCH("Nabo",C188)),"Investment",IF(ISNUMBER(SEARCH("Paybill Online",C188)),"Pay Bill",IF(ISNUMBER(SEARCH("Pay Bill",C188)),"Pay Bill",IF(ISNUMBER(SEARCH("Spotify",C188)),"Pay Bill",IF(ISNUMBER(SEARCH("M-Shwari",C188)),"Mshwari",IF(ISNUMBER(SEARCH("Mshwari",C188)),"Mshwari",IF(ISNUMBER(SEARCH("Withdrawal charge",C188)),"Fees",IF(ISNUMBER(SEARCH("Customer Withdrawal",C188)),"Fees",IF(ISNUMBER(SEARCH("charge",C188)),"Fees","Other")))))))))))))))))))))))))</f>
        <v>Bundles</v>
      </c>
      <c r="R188" s="1" t="str">
        <f aca="false">TEXT(B188,"MMM YYYY")</f>
        <v>Feb 2026</v>
      </c>
    </row>
    <row r="189" customFormat="false" ht="13.8" hidden="false" customHeight="false" outlineLevel="0" collapsed="false">
      <c r="A189" s="4" t="s">
        <v>420</v>
      </c>
      <c r="B189" s="4" t="s">
        <v>421</v>
      </c>
      <c r="C189" s="4" t="s">
        <v>29</v>
      </c>
      <c r="D189" s="4" t="s">
        <v>18</v>
      </c>
      <c r="E189" s="4"/>
      <c r="F189" s="4" t="n">
        <v>10</v>
      </c>
      <c r="G189" s="4" t="n">
        <v>248</v>
      </c>
      <c r="L189" s="1" t="str">
        <f aca="false">IF(ISNUMBER(SEARCH("Bundle",C189)),"Bundles",IF(ISNUMBER(SEARCH("Airtime",C189)),"Bundles",IF(ISNUMBER(SEARCH("Merchant",C189)),"Merchant Payment",IF(ISNUMBER(SEARCH("Offnet C2B",C189)),"Merchant Payment",IF(ISNUMBER(SEARCH("Offnet B2C",C189)),"Merchant Payment",IF(ISNUMBER(SEARCH("Customer Payment to Small",C189)),"Merchant Payment",IF(ISNUMBER(SEARCH("Payment to Small Business",C189)),"Merchant Payment",IF(ISNUMBER(SEARCH("Sent to",C189)),"Sent to Person",IF(ISNUMBER(SEARCH("Customer Transfer to",C189)),"Sent to Person",IF(ISNUMBER(SEARCH("Business Payment",C189)),"Money In",IF(ISNUMBER(SEARCH("Funds Received",C189)),"Money In",IF(ISNUMBER(SEARCH("Receive International",C189)),"Money In",IF(ISNUMBER(SEARCH("Send Money Reversal",C189)),"Money In",IF(ISNUMBER(SEARCH("Pay Utility Reversal",C189)),"Money In",IF(ISNUMBER(SEARCH("Customer Transfer",C189)),"Money In",IF(ISNUMBER(SEARCH("Ziidi",C189)),"Investment",IF(ISNUMBER(SEARCH("Nabo",C189)),"Investment",IF(ISNUMBER(SEARCH("Paybill Online",C189)),"Pay Bill",IF(ISNUMBER(SEARCH("Pay Bill",C189)),"Pay Bill",IF(ISNUMBER(SEARCH("Spotify",C189)),"Pay Bill",IF(ISNUMBER(SEARCH("M-Shwari",C189)),"Mshwari",IF(ISNUMBER(SEARCH("Mshwari",C189)),"Mshwari",IF(ISNUMBER(SEARCH("Withdrawal charge",C189)),"Fees",IF(ISNUMBER(SEARCH("Customer Withdrawal",C189)),"Fees",IF(ISNUMBER(SEARCH("charge",C189)),"Fees","Other")))))))))))))))))))))))))</f>
        <v>Bundles</v>
      </c>
      <c r="R189" s="1" t="str">
        <f aca="false">TEXT(B189,"MMM YYYY")</f>
        <v>Feb 2026</v>
      </c>
    </row>
    <row r="190" customFormat="false" ht="13.8" hidden="false" customHeight="false" outlineLevel="0" collapsed="false">
      <c r="A190" s="4" t="s">
        <v>422</v>
      </c>
      <c r="B190" s="4" t="s">
        <v>423</v>
      </c>
      <c r="C190" s="4" t="s">
        <v>29</v>
      </c>
      <c r="D190" s="4" t="s">
        <v>18</v>
      </c>
      <c r="E190" s="4"/>
      <c r="F190" s="4" t="n">
        <v>10</v>
      </c>
      <c r="G190" s="4" t="n">
        <v>238</v>
      </c>
      <c r="L190" s="1" t="str">
        <f aca="false">IF(ISNUMBER(SEARCH("Bundle",C190)),"Bundles",IF(ISNUMBER(SEARCH("Airtime",C190)),"Bundles",IF(ISNUMBER(SEARCH("Merchant",C190)),"Merchant Payment",IF(ISNUMBER(SEARCH("Offnet C2B",C190)),"Merchant Payment",IF(ISNUMBER(SEARCH("Offnet B2C",C190)),"Merchant Payment",IF(ISNUMBER(SEARCH("Customer Payment to Small",C190)),"Merchant Payment",IF(ISNUMBER(SEARCH("Payment to Small Business",C190)),"Merchant Payment",IF(ISNUMBER(SEARCH("Sent to",C190)),"Sent to Person",IF(ISNUMBER(SEARCH("Customer Transfer to",C190)),"Sent to Person",IF(ISNUMBER(SEARCH("Business Payment",C190)),"Money In",IF(ISNUMBER(SEARCH("Funds Received",C190)),"Money In",IF(ISNUMBER(SEARCH("Receive International",C190)),"Money In",IF(ISNUMBER(SEARCH("Send Money Reversal",C190)),"Money In",IF(ISNUMBER(SEARCH("Pay Utility Reversal",C190)),"Money In",IF(ISNUMBER(SEARCH("Customer Transfer",C190)),"Money In",IF(ISNUMBER(SEARCH("Ziidi",C190)),"Investment",IF(ISNUMBER(SEARCH("Nabo",C190)),"Investment",IF(ISNUMBER(SEARCH("Paybill Online",C190)),"Pay Bill",IF(ISNUMBER(SEARCH("Pay Bill",C190)),"Pay Bill",IF(ISNUMBER(SEARCH("Spotify",C190)),"Pay Bill",IF(ISNUMBER(SEARCH("M-Shwari",C190)),"Mshwari",IF(ISNUMBER(SEARCH("Mshwari",C190)),"Mshwari",IF(ISNUMBER(SEARCH("Withdrawal charge",C190)),"Fees",IF(ISNUMBER(SEARCH("Customer Withdrawal",C190)),"Fees",IF(ISNUMBER(SEARCH("charge",C190)),"Fees","Other")))))))))))))))))))))))))</f>
        <v>Bundles</v>
      </c>
      <c r="R190" s="1" t="str">
        <f aca="false">TEXT(B190,"MMM YYYY")</f>
        <v>Feb 2026</v>
      </c>
    </row>
    <row r="191" customFormat="false" ht="13.8" hidden="false" customHeight="false" outlineLevel="0" collapsed="false">
      <c r="A191" s="4" t="s">
        <v>424</v>
      </c>
      <c r="B191" s="4" t="s">
        <v>425</v>
      </c>
      <c r="C191" s="4" t="s">
        <v>29</v>
      </c>
      <c r="D191" s="4" t="s">
        <v>18</v>
      </c>
      <c r="E191" s="4"/>
      <c r="F191" s="4" t="n">
        <v>30</v>
      </c>
      <c r="G191" s="4" t="n">
        <v>208</v>
      </c>
      <c r="L191" s="1" t="str">
        <f aca="false">IF(ISNUMBER(SEARCH("Bundle",C191)),"Bundles",IF(ISNUMBER(SEARCH("Airtime",C191)),"Bundles",IF(ISNUMBER(SEARCH("Merchant",C191)),"Merchant Payment",IF(ISNUMBER(SEARCH("Offnet C2B",C191)),"Merchant Payment",IF(ISNUMBER(SEARCH("Offnet B2C",C191)),"Merchant Payment",IF(ISNUMBER(SEARCH("Customer Payment to Small",C191)),"Merchant Payment",IF(ISNUMBER(SEARCH("Payment to Small Business",C191)),"Merchant Payment",IF(ISNUMBER(SEARCH("Sent to",C191)),"Sent to Person",IF(ISNUMBER(SEARCH("Customer Transfer to",C191)),"Sent to Person",IF(ISNUMBER(SEARCH("Business Payment",C191)),"Money In",IF(ISNUMBER(SEARCH("Funds Received",C191)),"Money In",IF(ISNUMBER(SEARCH("Receive International",C191)),"Money In",IF(ISNUMBER(SEARCH("Send Money Reversal",C191)),"Money In",IF(ISNUMBER(SEARCH("Pay Utility Reversal",C191)),"Money In",IF(ISNUMBER(SEARCH("Customer Transfer",C191)),"Money In",IF(ISNUMBER(SEARCH("Ziidi",C191)),"Investment",IF(ISNUMBER(SEARCH("Nabo",C191)),"Investment",IF(ISNUMBER(SEARCH("Paybill Online",C191)),"Pay Bill",IF(ISNUMBER(SEARCH("Pay Bill",C191)),"Pay Bill",IF(ISNUMBER(SEARCH("Spotify",C191)),"Pay Bill",IF(ISNUMBER(SEARCH("M-Shwari",C191)),"Mshwari",IF(ISNUMBER(SEARCH("Mshwari",C191)),"Mshwari",IF(ISNUMBER(SEARCH("Withdrawal charge",C191)),"Fees",IF(ISNUMBER(SEARCH("Customer Withdrawal",C191)),"Fees",IF(ISNUMBER(SEARCH("charge",C191)),"Fees","Other")))))))))))))))))))))))))</f>
        <v>Bundles</v>
      </c>
      <c r="R191" s="1" t="str">
        <f aca="false">TEXT(B191,"MMM YYYY")</f>
        <v>Feb 2026</v>
      </c>
    </row>
    <row r="192" customFormat="false" ht="13.8" hidden="false" customHeight="false" outlineLevel="0" collapsed="false">
      <c r="A192" s="4" t="s">
        <v>426</v>
      </c>
      <c r="B192" s="4" t="s">
        <v>427</v>
      </c>
      <c r="C192" s="4" t="s">
        <v>29</v>
      </c>
      <c r="D192" s="4" t="s">
        <v>18</v>
      </c>
      <c r="E192" s="4"/>
      <c r="F192" s="4" t="n">
        <v>10</v>
      </c>
      <c r="G192" s="4" t="n">
        <v>198</v>
      </c>
      <c r="L192" s="1" t="str">
        <f aca="false">IF(ISNUMBER(SEARCH("Bundle",C192)),"Bundles",IF(ISNUMBER(SEARCH("Airtime",C192)),"Bundles",IF(ISNUMBER(SEARCH("Merchant",C192)),"Merchant Payment",IF(ISNUMBER(SEARCH("Offnet C2B",C192)),"Merchant Payment",IF(ISNUMBER(SEARCH("Offnet B2C",C192)),"Merchant Payment",IF(ISNUMBER(SEARCH("Customer Payment to Small",C192)),"Merchant Payment",IF(ISNUMBER(SEARCH("Payment to Small Business",C192)),"Merchant Payment",IF(ISNUMBER(SEARCH("Sent to",C192)),"Sent to Person",IF(ISNUMBER(SEARCH("Customer Transfer to",C192)),"Sent to Person",IF(ISNUMBER(SEARCH("Business Payment",C192)),"Money In",IF(ISNUMBER(SEARCH("Funds Received",C192)),"Money In",IF(ISNUMBER(SEARCH("Receive International",C192)),"Money In",IF(ISNUMBER(SEARCH("Send Money Reversal",C192)),"Money In",IF(ISNUMBER(SEARCH("Pay Utility Reversal",C192)),"Money In",IF(ISNUMBER(SEARCH("Customer Transfer",C192)),"Money In",IF(ISNUMBER(SEARCH("Ziidi",C192)),"Investment",IF(ISNUMBER(SEARCH("Nabo",C192)),"Investment",IF(ISNUMBER(SEARCH("Paybill Online",C192)),"Pay Bill",IF(ISNUMBER(SEARCH("Pay Bill",C192)),"Pay Bill",IF(ISNUMBER(SEARCH("Spotify",C192)),"Pay Bill",IF(ISNUMBER(SEARCH("M-Shwari",C192)),"Mshwari",IF(ISNUMBER(SEARCH("Mshwari",C192)),"Mshwari",IF(ISNUMBER(SEARCH("Withdrawal charge",C192)),"Fees",IF(ISNUMBER(SEARCH("Customer Withdrawal",C192)),"Fees",IF(ISNUMBER(SEARCH("charge",C192)),"Fees","Other")))))))))))))))))))))))))</f>
        <v>Bundles</v>
      </c>
      <c r="R192" s="1" t="str">
        <f aca="false">TEXT(B192,"MMM YYYY")</f>
        <v>Feb 2026</v>
      </c>
    </row>
    <row r="193" customFormat="false" ht="13.8" hidden="false" customHeight="false" outlineLevel="0" collapsed="false">
      <c r="A193" s="4" t="s">
        <v>428</v>
      </c>
      <c r="B193" s="4" t="s">
        <v>429</v>
      </c>
      <c r="C193" s="4" t="s">
        <v>430</v>
      </c>
      <c r="D193" s="4" t="s">
        <v>18</v>
      </c>
      <c r="E193" s="4" t="n">
        <v>1500</v>
      </c>
      <c r="F193" s="4"/>
      <c r="G193" s="4" t="n">
        <v>1698</v>
      </c>
      <c r="L193" s="1" t="str">
        <f aca="false">IF(ISNUMBER(SEARCH("Bundle",C193)),"Bundles",IF(ISNUMBER(SEARCH("Airtime",C193)),"Bundles",IF(ISNUMBER(SEARCH("Merchant",C193)),"Merchant Payment",IF(ISNUMBER(SEARCH("Offnet C2B",C193)),"Merchant Payment",IF(ISNUMBER(SEARCH("Offnet B2C",C193)),"Merchant Payment",IF(ISNUMBER(SEARCH("Customer Payment to Small",C193)),"Merchant Payment",IF(ISNUMBER(SEARCH("Payment to Small Business",C193)),"Merchant Payment",IF(ISNUMBER(SEARCH("Sent to",C193)),"Sent to Person",IF(ISNUMBER(SEARCH("Customer Transfer to",C193)),"Sent to Person",IF(ISNUMBER(SEARCH("Business Payment",C193)),"Money In",IF(ISNUMBER(SEARCH("Funds Received",C193)),"Money In",IF(ISNUMBER(SEARCH("Receive International",C193)),"Money In",IF(ISNUMBER(SEARCH("Send Money Reversal",C193)),"Money In",IF(ISNUMBER(SEARCH("Pay Utility Reversal",C193)),"Money In",IF(ISNUMBER(SEARCH("Customer Transfer",C193)),"Money In",IF(ISNUMBER(SEARCH("Ziidi",C193)),"Investment",IF(ISNUMBER(SEARCH("Nabo",C193)),"Investment",IF(ISNUMBER(SEARCH("Paybill Online",C193)),"Pay Bill",IF(ISNUMBER(SEARCH("Pay Bill",C193)),"Pay Bill",IF(ISNUMBER(SEARCH("Spotify",C193)),"Pay Bill",IF(ISNUMBER(SEARCH("M-Shwari",C193)),"Mshwari",IF(ISNUMBER(SEARCH("Mshwari",C193)),"Mshwari",IF(ISNUMBER(SEARCH("Withdrawal charge",C193)),"Fees",IF(ISNUMBER(SEARCH("Customer Withdrawal",C193)),"Fees",IF(ISNUMBER(SEARCH("charge",C193)),"Fees","Other")))))))))))))))))))))))))</f>
        <v>Money In</v>
      </c>
      <c r="R193" s="1" t="str">
        <f aca="false">TEXT(B193,"MMM YYYY")</f>
        <v>Feb 2026</v>
      </c>
    </row>
    <row r="194" customFormat="false" ht="13.8" hidden="false" customHeight="false" outlineLevel="0" collapsed="false">
      <c r="A194" s="4" t="s">
        <v>431</v>
      </c>
      <c r="B194" s="4" t="s">
        <v>432</v>
      </c>
      <c r="C194" s="4" t="s">
        <v>29</v>
      </c>
      <c r="D194" s="4" t="s">
        <v>18</v>
      </c>
      <c r="E194" s="4"/>
      <c r="F194" s="4" t="n">
        <v>10</v>
      </c>
      <c r="G194" s="4" t="n">
        <v>1688</v>
      </c>
      <c r="L194" s="1" t="str">
        <f aca="false">IF(ISNUMBER(SEARCH("Bundle",C194)),"Bundles",IF(ISNUMBER(SEARCH("Airtime",C194)),"Bundles",IF(ISNUMBER(SEARCH("Merchant",C194)),"Merchant Payment",IF(ISNUMBER(SEARCH("Offnet C2B",C194)),"Merchant Payment",IF(ISNUMBER(SEARCH("Offnet B2C",C194)),"Merchant Payment",IF(ISNUMBER(SEARCH("Customer Payment to Small",C194)),"Merchant Payment",IF(ISNUMBER(SEARCH("Payment to Small Business",C194)),"Merchant Payment",IF(ISNUMBER(SEARCH("Sent to",C194)),"Sent to Person",IF(ISNUMBER(SEARCH("Customer Transfer to",C194)),"Sent to Person",IF(ISNUMBER(SEARCH("Business Payment",C194)),"Money In",IF(ISNUMBER(SEARCH("Funds Received",C194)),"Money In",IF(ISNUMBER(SEARCH("Receive International",C194)),"Money In",IF(ISNUMBER(SEARCH("Send Money Reversal",C194)),"Money In",IF(ISNUMBER(SEARCH("Pay Utility Reversal",C194)),"Money In",IF(ISNUMBER(SEARCH("Customer Transfer",C194)),"Money In",IF(ISNUMBER(SEARCH("Ziidi",C194)),"Investment",IF(ISNUMBER(SEARCH("Nabo",C194)),"Investment",IF(ISNUMBER(SEARCH("Paybill Online",C194)),"Pay Bill",IF(ISNUMBER(SEARCH("Pay Bill",C194)),"Pay Bill",IF(ISNUMBER(SEARCH("Spotify",C194)),"Pay Bill",IF(ISNUMBER(SEARCH("M-Shwari",C194)),"Mshwari",IF(ISNUMBER(SEARCH("Mshwari",C194)),"Mshwari",IF(ISNUMBER(SEARCH("Withdrawal charge",C194)),"Fees",IF(ISNUMBER(SEARCH("Customer Withdrawal",C194)),"Fees",IF(ISNUMBER(SEARCH("charge",C194)),"Fees","Other")))))))))))))))))))))))))</f>
        <v>Bundles</v>
      </c>
      <c r="R194" s="1" t="str">
        <f aca="false">TEXT(B194,"MMM YYYY")</f>
        <v>Feb 2026</v>
      </c>
    </row>
    <row r="195" customFormat="false" ht="13.8" hidden="false" customHeight="false" outlineLevel="0" collapsed="false">
      <c r="A195" s="4" t="s">
        <v>433</v>
      </c>
      <c r="B195" s="4" t="s">
        <v>434</v>
      </c>
      <c r="C195" s="4" t="s">
        <v>435</v>
      </c>
      <c r="D195" s="4" t="s">
        <v>18</v>
      </c>
      <c r="E195" s="4"/>
      <c r="F195" s="4" t="n">
        <v>80</v>
      </c>
      <c r="G195" s="4" t="n">
        <v>1608</v>
      </c>
      <c r="L195" s="1" t="str">
        <f aca="false">IF(ISNUMBER(SEARCH("Bundle",C195)),"Bundles",IF(ISNUMBER(SEARCH("Airtime",C195)),"Bundles",IF(ISNUMBER(SEARCH("Merchant",C195)),"Merchant Payment",IF(ISNUMBER(SEARCH("Offnet C2B",C195)),"Merchant Payment",IF(ISNUMBER(SEARCH("Offnet B2C",C195)),"Merchant Payment",IF(ISNUMBER(SEARCH("Customer Payment to Small",C195)),"Merchant Payment",IF(ISNUMBER(SEARCH("Payment to Small Business",C195)),"Merchant Payment",IF(ISNUMBER(SEARCH("Sent to",C195)),"Sent to Person",IF(ISNUMBER(SEARCH("Customer Transfer to",C195)),"Sent to Person",IF(ISNUMBER(SEARCH("Business Payment",C195)),"Money In",IF(ISNUMBER(SEARCH("Funds Received",C195)),"Money In",IF(ISNUMBER(SEARCH("Receive International",C195)),"Money In",IF(ISNUMBER(SEARCH("Send Money Reversal",C195)),"Money In",IF(ISNUMBER(SEARCH("Pay Utility Reversal",C195)),"Money In",IF(ISNUMBER(SEARCH("Customer Transfer",C195)),"Money In",IF(ISNUMBER(SEARCH("Ziidi",C195)),"Investment",IF(ISNUMBER(SEARCH("Nabo",C195)),"Investment",IF(ISNUMBER(SEARCH("Paybill Online",C195)),"Pay Bill",IF(ISNUMBER(SEARCH("Pay Bill",C195)),"Pay Bill",IF(ISNUMBER(SEARCH("Spotify",C195)),"Pay Bill",IF(ISNUMBER(SEARCH("M-Shwari",C195)),"Mshwari",IF(ISNUMBER(SEARCH("Mshwari",C195)),"Mshwari",IF(ISNUMBER(SEARCH("Withdrawal charge",C195)),"Fees",IF(ISNUMBER(SEARCH("Customer Withdrawal",C195)),"Fees",IF(ISNUMBER(SEARCH("charge",C195)),"Fees","Other")))))))))))))))))))))))))</f>
        <v>Merchant Payment</v>
      </c>
      <c r="R195" s="1" t="str">
        <f aca="false">TEXT(B195,"MMM YYYY")</f>
        <v>Feb 2026</v>
      </c>
    </row>
    <row r="196" customFormat="false" ht="13.8" hidden="false" customHeight="false" outlineLevel="0" collapsed="false">
      <c r="A196" s="4" t="s">
        <v>436</v>
      </c>
      <c r="B196" s="4" t="s">
        <v>437</v>
      </c>
      <c r="C196" s="4" t="s">
        <v>316</v>
      </c>
      <c r="D196" s="4" t="s">
        <v>18</v>
      </c>
      <c r="E196" s="4"/>
      <c r="F196" s="4" t="n">
        <v>395</v>
      </c>
      <c r="G196" s="4" t="n">
        <v>1213</v>
      </c>
      <c r="L196" s="1" t="str">
        <f aca="false">IF(ISNUMBER(SEARCH("Bundle",C196)),"Bundles",IF(ISNUMBER(SEARCH("Airtime",C196)),"Bundles",IF(ISNUMBER(SEARCH("Merchant",C196)),"Merchant Payment",IF(ISNUMBER(SEARCH("Offnet C2B",C196)),"Merchant Payment",IF(ISNUMBER(SEARCH("Offnet B2C",C196)),"Merchant Payment",IF(ISNUMBER(SEARCH("Customer Payment to Small",C196)),"Merchant Payment",IF(ISNUMBER(SEARCH("Payment to Small Business",C196)),"Merchant Payment",IF(ISNUMBER(SEARCH("Sent to",C196)),"Sent to Person",IF(ISNUMBER(SEARCH("Customer Transfer to",C196)),"Sent to Person",IF(ISNUMBER(SEARCH("Business Payment",C196)),"Money In",IF(ISNUMBER(SEARCH("Funds Received",C196)),"Money In",IF(ISNUMBER(SEARCH("Receive International",C196)),"Money In",IF(ISNUMBER(SEARCH("Send Money Reversal",C196)),"Money In",IF(ISNUMBER(SEARCH("Pay Utility Reversal",C196)),"Money In",IF(ISNUMBER(SEARCH("Customer Transfer",C196)),"Money In",IF(ISNUMBER(SEARCH("Ziidi",C196)),"Investment",IF(ISNUMBER(SEARCH("Nabo",C196)),"Investment",IF(ISNUMBER(SEARCH("Paybill Online",C196)),"Pay Bill",IF(ISNUMBER(SEARCH("Pay Bill",C196)),"Pay Bill",IF(ISNUMBER(SEARCH("Spotify",C196)),"Pay Bill",IF(ISNUMBER(SEARCH("M-Shwari",C196)),"Mshwari",IF(ISNUMBER(SEARCH("Mshwari",C196)),"Mshwari",IF(ISNUMBER(SEARCH("Withdrawal charge",C196)),"Fees",IF(ISNUMBER(SEARCH("Customer Withdrawal",C196)),"Fees",IF(ISNUMBER(SEARCH("charge",C196)),"Fees","Other")))))))))))))))))))))))))</f>
        <v>Merchant Payment</v>
      </c>
      <c r="R196" s="1" t="str">
        <f aca="false">TEXT(B196,"MMM YYYY")</f>
        <v>Feb 2026</v>
      </c>
    </row>
    <row r="197" customFormat="false" ht="13.8" hidden="false" customHeight="false" outlineLevel="0" collapsed="false">
      <c r="A197" s="4" t="s">
        <v>438</v>
      </c>
      <c r="B197" s="4" t="s">
        <v>439</v>
      </c>
      <c r="C197" s="4" t="s">
        <v>239</v>
      </c>
      <c r="D197" s="4" t="s">
        <v>18</v>
      </c>
      <c r="E197" s="4"/>
      <c r="F197" s="4" t="n">
        <v>13</v>
      </c>
      <c r="G197" s="4" t="n">
        <v>650</v>
      </c>
      <c r="L197" s="1" t="str">
        <f aca="false">IF(ISNUMBER(SEARCH("Bundle",C197)),"Bundles",IF(ISNUMBER(SEARCH("Airtime",C197)),"Bundles",IF(ISNUMBER(SEARCH("Merchant",C197)),"Merchant Payment",IF(ISNUMBER(SEARCH("Offnet C2B",C197)),"Merchant Payment",IF(ISNUMBER(SEARCH("Offnet B2C",C197)),"Merchant Payment",IF(ISNUMBER(SEARCH("Customer Payment to Small",C197)),"Merchant Payment",IF(ISNUMBER(SEARCH("Payment to Small Business",C197)),"Merchant Payment",IF(ISNUMBER(SEARCH("Sent to",C197)),"Sent to Person",IF(ISNUMBER(SEARCH("Customer Transfer to",C197)),"Sent to Person",IF(ISNUMBER(SEARCH("Business Payment",C197)),"Money In",IF(ISNUMBER(SEARCH("Funds Received",C197)),"Money In",IF(ISNUMBER(SEARCH("Receive International",C197)),"Money In",IF(ISNUMBER(SEARCH("Send Money Reversal",C197)),"Money In",IF(ISNUMBER(SEARCH("Pay Utility Reversal",C197)),"Money In",IF(ISNUMBER(SEARCH("Customer Transfer",C197)),"Money In",IF(ISNUMBER(SEARCH("Ziidi",C197)),"Investment",IF(ISNUMBER(SEARCH("Nabo",C197)),"Investment",IF(ISNUMBER(SEARCH("Paybill Online",C197)),"Pay Bill",IF(ISNUMBER(SEARCH("Pay Bill",C197)),"Pay Bill",IF(ISNUMBER(SEARCH("Spotify",C197)),"Pay Bill",IF(ISNUMBER(SEARCH("M-Shwari",C197)),"Mshwari",IF(ISNUMBER(SEARCH("Mshwari",C197)),"Mshwari",IF(ISNUMBER(SEARCH("Withdrawal charge",C197)),"Fees",IF(ISNUMBER(SEARCH("Customer Withdrawal",C197)),"Fees",IF(ISNUMBER(SEARCH("charge",C197)),"Fees","Other")))))))))))))))))))))))))</f>
        <v>Money In</v>
      </c>
      <c r="R197" s="1" t="str">
        <f aca="false">TEXT(B197,"MMM YYYY")</f>
        <v>Feb 2026</v>
      </c>
    </row>
    <row r="198" customFormat="false" ht="13.8" hidden="false" customHeight="false" outlineLevel="0" collapsed="false">
      <c r="A198" s="4" t="s">
        <v>438</v>
      </c>
      <c r="B198" s="4" t="s">
        <v>439</v>
      </c>
      <c r="C198" s="4" t="s">
        <v>440</v>
      </c>
      <c r="D198" s="4" t="s">
        <v>18</v>
      </c>
      <c r="E198" s="4"/>
      <c r="F198" s="4" t="n">
        <v>550</v>
      </c>
      <c r="G198" s="4" t="n">
        <v>663</v>
      </c>
      <c r="L198" s="1" t="str">
        <f aca="false">IF(ISNUMBER(SEARCH("Bundle",C198)),"Bundles",IF(ISNUMBER(SEARCH("Airtime",C198)),"Bundles",IF(ISNUMBER(SEARCH("Merchant",C198)),"Merchant Payment",IF(ISNUMBER(SEARCH("Offnet C2B",C198)),"Merchant Payment",IF(ISNUMBER(SEARCH("Offnet B2C",C198)),"Merchant Payment",IF(ISNUMBER(SEARCH("Customer Payment to Small",C198)),"Merchant Payment",IF(ISNUMBER(SEARCH("Payment to Small Business",C198)),"Merchant Payment",IF(ISNUMBER(SEARCH("Sent to",C198)),"Sent to Person",IF(ISNUMBER(SEARCH("Customer Transfer to",C198)),"Sent to Person",IF(ISNUMBER(SEARCH("Business Payment",C198)),"Money In",IF(ISNUMBER(SEARCH("Funds Received",C198)),"Money In",IF(ISNUMBER(SEARCH("Receive International",C198)),"Money In",IF(ISNUMBER(SEARCH("Send Money Reversal",C198)),"Money In",IF(ISNUMBER(SEARCH("Pay Utility Reversal",C198)),"Money In",IF(ISNUMBER(SEARCH("Customer Transfer",C198)),"Money In",IF(ISNUMBER(SEARCH("Ziidi",C198)),"Investment",IF(ISNUMBER(SEARCH("Nabo",C198)),"Investment",IF(ISNUMBER(SEARCH("Paybill Online",C198)),"Pay Bill",IF(ISNUMBER(SEARCH("Pay Bill",C198)),"Pay Bill",IF(ISNUMBER(SEARCH("Spotify",C198)),"Pay Bill",IF(ISNUMBER(SEARCH("M-Shwari",C198)),"Mshwari",IF(ISNUMBER(SEARCH("Mshwari",C198)),"Mshwari",IF(ISNUMBER(SEARCH("Withdrawal charge",C198)),"Fees",IF(ISNUMBER(SEARCH("Customer Withdrawal",C198)),"Fees",IF(ISNUMBER(SEARCH("charge",C198)),"Fees","Other")))))))))))))))))))))))))</f>
        <v>Merchant Payment</v>
      </c>
      <c r="R198" s="1" t="str">
        <f aca="false">TEXT(B198,"MMM YYYY")</f>
        <v>Feb 2026</v>
      </c>
    </row>
    <row r="199" customFormat="false" ht="13.8" hidden="false" customHeight="false" outlineLevel="0" collapsed="false">
      <c r="A199" s="4" t="s">
        <v>441</v>
      </c>
      <c r="B199" s="4" t="s">
        <v>442</v>
      </c>
      <c r="C199" s="4" t="s">
        <v>29</v>
      </c>
      <c r="D199" s="4" t="s">
        <v>18</v>
      </c>
      <c r="E199" s="4"/>
      <c r="F199" s="4" t="n">
        <v>10</v>
      </c>
      <c r="G199" s="4" t="n">
        <v>640</v>
      </c>
      <c r="L199" s="1" t="str">
        <f aca="false">IF(ISNUMBER(SEARCH("Bundle",C199)),"Bundles",IF(ISNUMBER(SEARCH("Airtime",C199)),"Bundles",IF(ISNUMBER(SEARCH("Merchant",C199)),"Merchant Payment",IF(ISNUMBER(SEARCH("Offnet C2B",C199)),"Merchant Payment",IF(ISNUMBER(SEARCH("Offnet B2C",C199)),"Merchant Payment",IF(ISNUMBER(SEARCH("Customer Payment to Small",C199)),"Merchant Payment",IF(ISNUMBER(SEARCH("Payment to Small Business",C199)),"Merchant Payment",IF(ISNUMBER(SEARCH("Sent to",C199)),"Sent to Person",IF(ISNUMBER(SEARCH("Customer Transfer to",C199)),"Sent to Person",IF(ISNUMBER(SEARCH("Business Payment",C199)),"Money In",IF(ISNUMBER(SEARCH("Funds Received",C199)),"Money In",IF(ISNUMBER(SEARCH("Receive International",C199)),"Money In",IF(ISNUMBER(SEARCH("Send Money Reversal",C199)),"Money In",IF(ISNUMBER(SEARCH("Pay Utility Reversal",C199)),"Money In",IF(ISNUMBER(SEARCH("Customer Transfer",C199)),"Money In",IF(ISNUMBER(SEARCH("Ziidi",C199)),"Investment",IF(ISNUMBER(SEARCH("Nabo",C199)),"Investment",IF(ISNUMBER(SEARCH("Paybill Online",C199)),"Pay Bill",IF(ISNUMBER(SEARCH("Pay Bill",C199)),"Pay Bill",IF(ISNUMBER(SEARCH("Spotify",C199)),"Pay Bill",IF(ISNUMBER(SEARCH("M-Shwari",C199)),"Mshwari",IF(ISNUMBER(SEARCH("Mshwari",C199)),"Mshwari",IF(ISNUMBER(SEARCH("Withdrawal charge",C199)),"Fees",IF(ISNUMBER(SEARCH("Customer Withdrawal",C199)),"Fees",IF(ISNUMBER(SEARCH("charge",C199)),"Fees","Other")))))))))))))))))))))))))</f>
        <v>Bundles</v>
      </c>
      <c r="R199" s="1" t="str">
        <f aca="false">TEXT(B199,"MMM YYYY")</f>
        <v>Feb 2026</v>
      </c>
    </row>
    <row r="200" customFormat="false" ht="13.8" hidden="false" customHeight="false" outlineLevel="0" collapsed="false">
      <c r="A200" s="4" t="s">
        <v>443</v>
      </c>
      <c r="B200" s="4" t="s">
        <v>444</v>
      </c>
      <c r="C200" s="4" t="s">
        <v>445</v>
      </c>
      <c r="D200" s="4" t="s">
        <v>18</v>
      </c>
      <c r="E200" s="4" t="n">
        <v>2000</v>
      </c>
      <c r="F200" s="4"/>
      <c r="G200" s="4" t="n">
        <v>2640</v>
      </c>
      <c r="L200" s="1" t="str">
        <f aca="false">IF(ISNUMBER(SEARCH("Bundle",C200)),"Bundles",IF(ISNUMBER(SEARCH("Airtime",C200)),"Bundles",IF(ISNUMBER(SEARCH("Merchant",C200)),"Merchant Payment",IF(ISNUMBER(SEARCH("Offnet C2B",C200)),"Merchant Payment",IF(ISNUMBER(SEARCH("Offnet B2C",C200)),"Merchant Payment",IF(ISNUMBER(SEARCH("Customer Payment to Small",C200)),"Merchant Payment",IF(ISNUMBER(SEARCH("Payment to Small Business",C200)),"Merchant Payment",IF(ISNUMBER(SEARCH("Sent to",C200)),"Sent to Person",IF(ISNUMBER(SEARCH("Customer Transfer to",C200)),"Sent to Person",IF(ISNUMBER(SEARCH("Business Payment",C200)),"Money In",IF(ISNUMBER(SEARCH("Funds Received",C200)),"Money In",IF(ISNUMBER(SEARCH("Receive International",C200)),"Money In",IF(ISNUMBER(SEARCH("Send Money Reversal",C200)),"Money In",IF(ISNUMBER(SEARCH("Pay Utility Reversal",C200)),"Money In",IF(ISNUMBER(SEARCH("Customer Transfer",C200)),"Money In",IF(ISNUMBER(SEARCH("Ziidi",C200)),"Investment",IF(ISNUMBER(SEARCH("Nabo",C200)),"Investment",IF(ISNUMBER(SEARCH("Paybill Online",C200)),"Pay Bill",IF(ISNUMBER(SEARCH("Pay Bill",C200)),"Pay Bill",IF(ISNUMBER(SEARCH("Spotify",C200)),"Pay Bill",IF(ISNUMBER(SEARCH("M-Shwari",C200)),"Mshwari",IF(ISNUMBER(SEARCH("Mshwari",C200)),"Mshwari",IF(ISNUMBER(SEARCH("Withdrawal charge",C200)),"Fees",IF(ISNUMBER(SEARCH("Customer Withdrawal",C200)),"Fees",IF(ISNUMBER(SEARCH("charge",C200)),"Fees","Other")))))))))))))))))))))))))</f>
        <v>Money In</v>
      </c>
      <c r="R200" s="1" t="str">
        <f aca="false">TEXT(B200,"MMM YYYY")</f>
        <v>Feb 2026</v>
      </c>
    </row>
    <row r="201" customFormat="false" ht="13.8" hidden="false" customHeight="false" outlineLevel="0" collapsed="false">
      <c r="A201" s="4" t="s">
        <v>446</v>
      </c>
      <c r="B201" s="4" t="s">
        <v>447</v>
      </c>
      <c r="C201" s="4" t="s">
        <v>29</v>
      </c>
      <c r="D201" s="4" t="s">
        <v>18</v>
      </c>
      <c r="E201" s="4"/>
      <c r="F201" s="4" t="n">
        <v>10</v>
      </c>
      <c r="G201" s="4" t="n">
        <v>2630</v>
      </c>
      <c r="L201" s="1" t="str">
        <f aca="false">IF(ISNUMBER(SEARCH("Bundle",C201)),"Bundles",IF(ISNUMBER(SEARCH("Airtime",C201)),"Bundles",IF(ISNUMBER(SEARCH("Merchant",C201)),"Merchant Payment",IF(ISNUMBER(SEARCH("Offnet C2B",C201)),"Merchant Payment",IF(ISNUMBER(SEARCH("Offnet B2C",C201)),"Merchant Payment",IF(ISNUMBER(SEARCH("Customer Payment to Small",C201)),"Merchant Payment",IF(ISNUMBER(SEARCH("Payment to Small Business",C201)),"Merchant Payment",IF(ISNUMBER(SEARCH("Sent to",C201)),"Sent to Person",IF(ISNUMBER(SEARCH("Customer Transfer to",C201)),"Sent to Person",IF(ISNUMBER(SEARCH("Business Payment",C201)),"Money In",IF(ISNUMBER(SEARCH("Funds Received",C201)),"Money In",IF(ISNUMBER(SEARCH("Receive International",C201)),"Money In",IF(ISNUMBER(SEARCH("Send Money Reversal",C201)),"Money In",IF(ISNUMBER(SEARCH("Pay Utility Reversal",C201)),"Money In",IF(ISNUMBER(SEARCH("Customer Transfer",C201)),"Money In",IF(ISNUMBER(SEARCH("Ziidi",C201)),"Investment",IF(ISNUMBER(SEARCH("Nabo",C201)),"Investment",IF(ISNUMBER(SEARCH("Paybill Online",C201)),"Pay Bill",IF(ISNUMBER(SEARCH("Pay Bill",C201)),"Pay Bill",IF(ISNUMBER(SEARCH("Spotify",C201)),"Pay Bill",IF(ISNUMBER(SEARCH("M-Shwari",C201)),"Mshwari",IF(ISNUMBER(SEARCH("Mshwari",C201)),"Mshwari",IF(ISNUMBER(SEARCH("Withdrawal charge",C201)),"Fees",IF(ISNUMBER(SEARCH("Customer Withdrawal",C201)),"Fees",IF(ISNUMBER(SEARCH("charge",C201)),"Fees","Other")))))))))))))))))))))))))</f>
        <v>Bundles</v>
      </c>
      <c r="R201" s="1" t="str">
        <f aca="false">TEXT(B201,"MMM YYYY")</f>
        <v>Feb 2026</v>
      </c>
    </row>
    <row r="202" customFormat="false" ht="13.8" hidden="false" customHeight="false" outlineLevel="0" collapsed="false">
      <c r="A202" s="4" t="s">
        <v>448</v>
      </c>
      <c r="B202" s="4" t="s">
        <v>449</v>
      </c>
      <c r="C202" s="4" t="s">
        <v>450</v>
      </c>
      <c r="D202" s="4" t="s">
        <v>18</v>
      </c>
      <c r="E202" s="4"/>
      <c r="F202" s="4" t="n">
        <v>1550</v>
      </c>
      <c r="G202" s="4" t="n">
        <v>1080</v>
      </c>
      <c r="L202" s="1" t="str">
        <f aca="false">IF(ISNUMBER(SEARCH("Bundle",C202)),"Bundles",IF(ISNUMBER(SEARCH("Airtime",C202)),"Bundles",IF(ISNUMBER(SEARCH("Merchant",C202)),"Merchant Payment",IF(ISNUMBER(SEARCH("Offnet C2B",C202)),"Merchant Payment",IF(ISNUMBER(SEARCH("Offnet B2C",C202)),"Merchant Payment",IF(ISNUMBER(SEARCH("Customer Payment to Small",C202)),"Merchant Payment",IF(ISNUMBER(SEARCH("Payment to Small Business",C202)),"Merchant Payment",IF(ISNUMBER(SEARCH("Sent to",C202)),"Sent to Person",IF(ISNUMBER(SEARCH("Customer Transfer to",C202)),"Sent to Person",IF(ISNUMBER(SEARCH("Business Payment",C202)),"Money In",IF(ISNUMBER(SEARCH("Funds Received",C202)),"Money In",IF(ISNUMBER(SEARCH("Receive International",C202)),"Money In",IF(ISNUMBER(SEARCH("Send Money Reversal",C202)),"Money In",IF(ISNUMBER(SEARCH("Pay Utility Reversal",C202)),"Money In",IF(ISNUMBER(SEARCH("Customer Transfer",C202)),"Money In",IF(ISNUMBER(SEARCH("Ziidi",C202)),"Investment",IF(ISNUMBER(SEARCH("Nabo",C202)),"Investment",IF(ISNUMBER(SEARCH("Paybill Online",C202)),"Pay Bill",IF(ISNUMBER(SEARCH("Pay Bill",C202)),"Pay Bill",IF(ISNUMBER(SEARCH("Spotify",C202)),"Pay Bill",IF(ISNUMBER(SEARCH("M-Shwari",C202)),"Mshwari",IF(ISNUMBER(SEARCH("Mshwari",C202)),"Mshwari",IF(ISNUMBER(SEARCH("Withdrawal charge",C202)),"Fees",IF(ISNUMBER(SEARCH("Customer Withdrawal",C202)),"Fees",IF(ISNUMBER(SEARCH("charge",C202)),"Fees","Other")))))))))))))))))))))))))</f>
        <v>Merchant Payment</v>
      </c>
      <c r="R202" s="1" t="str">
        <f aca="false">TEXT(B202,"MMM YYYY")</f>
        <v>Feb 2026</v>
      </c>
    </row>
    <row r="203" customFormat="false" ht="13.8" hidden="false" customHeight="false" outlineLevel="0" collapsed="false">
      <c r="A203" s="4" t="s">
        <v>451</v>
      </c>
      <c r="B203" s="4" t="s">
        <v>452</v>
      </c>
      <c r="C203" s="4" t="s">
        <v>450</v>
      </c>
      <c r="D203" s="4" t="s">
        <v>18</v>
      </c>
      <c r="E203" s="4"/>
      <c r="F203" s="4" t="n">
        <v>300</v>
      </c>
      <c r="G203" s="4" t="n">
        <v>780</v>
      </c>
      <c r="L203" s="1" t="str">
        <f aca="false">IF(ISNUMBER(SEARCH("Bundle",C203)),"Bundles",IF(ISNUMBER(SEARCH("Airtime",C203)),"Bundles",IF(ISNUMBER(SEARCH("Merchant",C203)),"Merchant Payment",IF(ISNUMBER(SEARCH("Offnet C2B",C203)),"Merchant Payment",IF(ISNUMBER(SEARCH("Offnet B2C",C203)),"Merchant Payment",IF(ISNUMBER(SEARCH("Customer Payment to Small",C203)),"Merchant Payment",IF(ISNUMBER(SEARCH("Payment to Small Business",C203)),"Merchant Payment",IF(ISNUMBER(SEARCH("Sent to",C203)),"Sent to Person",IF(ISNUMBER(SEARCH("Customer Transfer to",C203)),"Sent to Person",IF(ISNUMBER(SEARCH("Business Payment",C203)),"Money In",IF(ISNUMBER(SEARCH("Funds Received",C203)),"Money In",IF(ISNUMBER(SEARCH("Receive International",C203)),"Money In",IF(ISNUMBER(SEARCH("Send Money Reversal",C203)),"Money In",IF(ISNUMBER(SEARCH("Pay Utility Reversal",C203)),"Money In",IF(ISNUMBER(SEARCH("Customer Transfer",C203)),"Money In",IF(ISNUMBER(SEARCH("Ziidi",C203)),"Investment",IF(ISNUMBER(SEARCH("Nabo",C203)),"Investment",IF(ISNUMBER(SEARCH("Paybill Online",C203)),"Pay Bill",IF(ISNUMBER(SEARCH("Pay Bill",C203)),"Pay Bill",IF(ISNUMBER(SEARCH("Spotify",C203)),"Pay Bill",IF(ISNUMBER(SEARCH("M-Shwari",C203)),"Mshwari",IF(ISNUMBER(SEARCH("Mshwari",C203)),"Mshwari",IF(ISNUMBER(SEARCH("Withdrawal charge",C203)),"Fees",IF(ISNUMBER(SEARCH("Customer Withdrawal",C203)),"Fees",IF(ISNUMBER(SEARCH("charge",C203)),"Fees","Other")))))))))))))))))))))))))</f>
        <v>Merchant Payment</v>
      </c>
      <c r="R203" s="1" t="str">
        <f aca="false">TEXT(B203,"MMM YYYY")</f>
        <v>Feb 2026</v>
      </c>
    </row>
    <row r="204" customFormat="false" ht="13.8" hidden="false" customHeight="false" outlineLevel="0" collapsed="false">
      <c r="A204" s="4" t="s">
        <v>453</v>
      </c>
      <c r="B204" s="4" t="s">
        <v>454</v>
      </c>
      <c r="C204" s="4" t="s">
        <v>29</v>
      </c>
      <c r="D204" s="4" t="s">
        <v>18</v>
      </c>
      <c r="E204" s="4"/>
      <c r="F204" s="4" t="n">
        <v>10</v>
      </c>
      <c r="G204" s="4" t="n">
        <v>770</v>
      </c>
      <c r="L204" s="1" t="str">
        <f aca="false">IF(ISNUMBER(SEARCH("Bundle",C204)),"Bundles",IF(ISNUMBER(SEARCH("Airtime",C204)),"Bundles",IF(ISNUMBER(SEARCH("Merchant",C204)),"Merchant Payment",IF(ISNUMBER(SEARCH("Offnet C2B",C204)),"Merchant Payment",IF(ISNUMBER(SEARCH("Offnet B2C",C204)),"Merchant Payment",IF(ISNUMBER(SEARCH("Customer Payment to Small",C204)),"Merchant Payment",IF(ISNUMBER(SEARCH("Payment to Small Business",C204)),"Merchant Payment",IF(ISNUMBER(SEARCH("Sent to",C204)),"Sent to Person",IF(ISNUMBER(SEARCH("Customer Transfer to",C204)),"Sent to Person",IF(ISNUMBER(SEARCH("Business Payment",C204)),"Money In",IF(ISNUMBER(SEARCH("Funds Received",C204)),"Money In",IF(ISNUMBER(SEARCH("Receive International",C204)),"Money In",IF(ISNUMBER(SEARCH("Send Money Reversal",C204)),"Money In",IF(ISNUMBER(SEARCH("Pay Utility Reversal",C204)),"Money In",IF(ISNUMBER(SEARCH("Customer Transfer",C204)),"Money In",IF(ISNUMBER(SEARCH("Ziidi",C204)),"Investment",IF(ISNUMBER(SEARCH("Nabo",C204)),"Investment",IF(ISNUMBER(SEARCH("Paybill Online",C204)),"Pay Bill",IF(ISNUMBER(SEARCH("Pay Bill",C204)),"Pay Bill",IF(ISNUMBER(SEARCH("Spotify",C204)),"Pay Bill",IF(ISNUMBER(SEARCH("M-Shwari",C204)),"Mshwari",IF(ISNUMBER(SEARCH("Mshwari",C204)),"Mshwari",IF(ISNUMBER(SEARCH("Withdrawal charge",C204)),"Fees",IF(ISNUMBER(SEARCH("Customer Withdrawal",C204)),"Fees",IF(ISNUMBER(SEARCH("charge",C204)),"Fees","Other")))))))))))))))))))))))))</f>
        <v>Bundles</v>
      </c>
      <c r="R204" s="1" t="str">
        <f aca="false">TEXT(B204,"MMM YYYY")</f>
        <v>Feb 2026</v>
      </c>
    </row>
    <row r="205" customFormat="false" ht="13.8" hidden="false" customHeight="false" outlineLevel="0" collapsed="false">
      <c r="A205" s="4" t="s">
        <v>455</v>
      </c>
      <c r="B205" s="4" t="s">
        <v>456</v>
      </c>
      <c r="C205" s="4" t="s">
        <v>29</v>
      </c>
      <c r="D205" s="4" t="s">
        <v>18</v>
      </c>
      <c r="E205" s="4"/>
      <c r="F205" s="4" t="n">
        <v>10</v>
      </c>
      <c r="G205" s="4" t="n">
        <v>760</v>
      </c>
      <c r="L205" s="1" t="str">
        <f aca="false">IF(ISNUMBER(SEARCH("Bundle",C205)),"Bundles",IF(ISNUMBER(SEARCH("Airtime",C205)),"Bundles",IF(ISNUMBER(SEARCH("Merchant",C205)),"Merchant Payment",IF(ISNUMBER(SEARCH("Offnet C2B",C205)),"Merchant Payment",IF(ISNUMBER(SEARCH("Offnet B2C",C205)),"Merchant Payment",IF(ISNUMBER(SEARCH("Customer Payment to Small",C205)),"Merchant Payment",IF(ISNUMBER(SEARCH("Payment to Small Business",C205)),"Merchant Payment",IF(ISNUMBER(SEARCH("Sent to",C205)),"Sent to Person",IF(ISNUMBER(SEARCH("Customer Transfer to",C205)),"Sent to Person",IF(ISNUMBER(SEARCH("Business Payment",C205)),"Money In",IF(ISNUMBER(SEARCH("Funds Received",C205)),"Money In",IF(ISNUMBER(SEARCH("Receive International",C205)),"Money In",IF(ISNUMBER(SEARCH("Send Money Reversal",C205)),"Money In",IF(ISNUMBER(SEARCH("Pay Utility Reversal",C205)),"Money In",IF(ISNUMBER(SEARCH("Customer Transfer",C205)),"Money In",IF(ISNUMBER(SEARCH("Ziidi",C205)),"Investment",IF(ISNUMBER(SEARCH("Nabo",C205)),"Investment",IF(ISNUMBER(SEARCH("Paybill Online",C205)),"Pay Bill",IF(ISNUMBER(SEARCH("Pay Bill",C205)),"Pay Bill",IF(ISNUMBER(SEARCH("Spotify",C205)),"Pay Bill",IF(ISNUMBER(SEARCH("M-Shwari",C205)),"Mshwari",IF(ISNUMBER(SEARCH("Mshwari",C205)),"Mshwari",IF(ISNUMBER(SEARCH("Withdrawal charge",C205)),"Fees",IF(ISNUMBER(SEARCH("Customer Withdrawal",C205)),"Fees",IF(ISNUMBER(SEARCH("charge",C205)),"Fees","Other")))))))))))))))))))))))))</f>
        <v>Bundles</v>
      </c>
      <c r="R205" s="1" t="str">
        <f aca="false">TEXT(B205,"MMM YYYY")</f>
        <v>Feb 2026</v>
      </c>
    </row>
    <row r="206" customFormat="false" ht="13.8" hidden="false" customHeight="false" outlineLevel="0" collapsed="false">
      <c r="A206" s="4" t="s">
        <v>457</v>
      </c>
      <c r="B206" s="4" t="s">
        <v>458</v>
      </c>
      <c r="C206" s="4" t="s">
        <v>459</v>
      </c>
      <c r="D206" s="4" t="s">
        <v>18</v>
      </c>
      <c r="E206" s="4"/>
      <c r="F206" s="4" t="n">
        <v>20</v>
      </c>
      <c r="G206" s="4" t="n">
        <v>740</v>
      </c>
      <c r="L206" s="1" t="str">
        <f aca="false">IF(ISNUMBER(SEARCH("Bundle",C206)),"Bundles",IF(ISNUMBER(SEARCH("Airtime",C206)),"Bundles",IF(ISNUMBER(SEARCH("Merchant",C206)),"Merchant Payment",IF(ISNUMBER(SEARCH("Offnet C2B",C206)),"Merchant Payment",IF(ISNUMBER(SEARCH("Offnet B2C",C206)),"Merchant Payment",IF(ISNUMBER(SEARCH("Customer Payment to Small",C206)),"Merchant Payment",IF(ISNUMBER(SEARCH("Payment to Small Business",C206)),"Merchant Payment",IF(ISNUMBER(SEARCH("Sent to",C206)),"Sent to Person",IF(ISNUMBER(SEARCH("Customer Transfer to",C206)),"Sent to Person",IF(ISNUMBER(SEARCH("Business Payment",C206)),"Money In",IF(ISNUMBER(SEARCH("Funds Received",C206)),"Money In",IF(ISNUMBER(SEARCH("Receive International",C206)),"Money In",IF(ISNUMBER(SEARCH("Send Money Reversal",C206)),"Money In",IF(ISNUMBER(SEARCH("Pay Utility Reversal",C206)),"Money In",IF(ISNUMBER(SEARCH("Customer Transfer",C206)),"Money In",IF(ISNUMBER(SEARCH("Ziidi",C206)),"Investment",IF(ISNUMBER(SEARCH("Nabo",C206)),"Investment",IF(ISNUMBER(SEARCH("Paybill Online",C206)),"Pay Bill",IF(ISNUMBER(SEARCH("Pay Bill",C206)),"Pay Bill",IF(ISNUMBER(SEARCH("Spotify",C206)),"Pay Bill",IF(ISNUMBER(SEARCH("M-Shwari",C206)),"Mshwari",IF(ISNUMBER(SEARCH("Mshwari",C206)),"Mshwari",IF(ISNUMBER(SEARCH("Withdrawal charge",C206)),"Fees",IF(ISNUMBER(SEARCH("Customer Withdrawal",C206)),"Fees",IF(ISNUMBER(SEARCH("charge",C206)),"Fees","Other")))))))))))))))))))))))))</f>
        <v>Merchant Payment</v>
      </c>
      <c r="R206" s="1" t="str">
        <f aca="false">TEXT(B206,"MMM YYYY")</f>
        <v>Feb 2026</v>
      </c>
    </row>
    <row r="207" customFormat="false" ht="13.8" hidden="false" customHeight="false" outlineLevel="0" collapsed="false">
      <c r="A207" s="4" t="s">
        <v>460</v>
      </c>
      <c r="B207" s="4" t="s">
        <v>461</v>
      </c>
      <c r="C207" s="4" t="s">
        <v>462</v>
      </c>
      <c r="D207" s="4" t="s">
        <v>18</v>
      </c>
      <c r="E207" s="4"/>
      <c r="F207" s="4" t="n">
        <v>15</v>
      </c>
      <c r="G207" s="4" t="n">
        <v>725</v>
      </c>
      <c r="L207" s="1" t="str">
        <f aca="false">IF(ISNUMBER(SEARCH("Bundle",C207)),"Bundles",IF(ISNUMBER(SEARCH("Airtime",C207)),"Bundles",IF(ISNUMBER(SEARCH("Merchant",C207)),"Merchant Payment",IF(ISNUMBER(SEARCH("Offnet C2B",C207)),"Merchant Payment",IF(ISNUMBER(SEARCH("Offnet B2C",C207)),"Merchant Payment",IF(ISNUMBER(SEARCH("Customer Payment to Small",C207)),"Merchant Payment",IF(ISNUMBER(SEARCH("Payment to Small Business",C207)),"Merchant Payment",IF(ISNUMBER(SEARCH("Sent to",C207)),"Sent to Person",IF(ISNUMBER(SEARCH("Customer Transfer to",C207)),"Sent to Person",IF(ISNUMBER(SEARCH("Business Payment",C207)),"Money In",IF(ISNUMBER(SEARCH("Funds Received",C207)),"Money In",IF(ISNUMBER(SEARCH("Receive International",C207)),"Money In",IF(ISNUMBER(SEARCH("Send Money Reversal",C207)),"Money In",IF(ISNUMBER(SEARCH("Pay Utility Reversal",C207)),"Money In",IF(ISNUMBER(SEARCH("Customer Transfer",C207)),"Money In",IF(ISNUMBER(SEARCH("Ziidi",C207)),"Investment",IF(ISNUMBER(SEARCH("Nabo",C207)),"Investment",IF(ISNUMBER(SEARCH("Paybill Online",C207)),"Pay Bill",IF(ISNUMBER(SEARCH("Pay Bill",C207)),"Pay Bill",IF(ISNUMBER(SEARCH("Spotify",C207)),"Pay Bill",IF(ISNUMBER(SEARCH("M-Shwari",C207)),"Mshwari",IF(ISNUMBER(SEARCH("Mshwari",C207)),"Mshwari",IF(ISNUMBER(SEARCH("Withdrawal charge",C207)),"Fees",IF(ISNUMBER(SEARCH("Customer Withdrawal",C207)),"Fees",IF(ISNUMBER(SEARCH("charge",C207)),"Fees","Other")))))))))))))))))))))))))</f>
        <v>Sent to Person</v>
      </c>
      <c r="R207" s="1" t="str">
        <f aca="false">TEXT(B207,"MMM YYYY")</f>
        <v>Feb 2026</v>
      </c>
    </row>
    <row r="208" customFormat="false" ht="13.8" hidden="false" customHeight="false" outlineLevel="0" collapsed="false">
      <c r="A208" s="4" t="s">
        <v>463</v>
      </c>
      <c r="B208" s="4" t="s">
        <v>464</v>
      </c>
      <c r="C208" s="4" t="s">
        <v>29</v>
      </c>
      <c r="D208" s="4" t="s">
        <v>18</v>
      </c>
      <c r="E208" s="4"/>
      <c r="F208" s="4" t="n">
        <v>10</v>
      </c>
      <c r="G208" s="4" t="n">
        <v>715</v>
      </c>
      <c r="L208" s="1" t="str">
        <f aca="false">IF(ISNUMBER(SEARCH("Bundle",C208)),"Bundles",IF(ISNUMBER(SEARCH("Airtime",C208)),"Bundles",IF(ISNUMBER(SEARCH("Merchant",C208)),"Merchant Payment",IF(ISNUMBER(SEARCH("Offnet C2B",C208)),"Merchant Payment",IF(ISNUMBER(SEARCH("Offnet B2C",C208)),"Merchant Payment",IF(ISNUMBER(SEARCH("Customer Payment to Small",C208)),"Merchant Payment",IF(ISNUMBER(SEARCH("Payment to Small Business",C208)),"Merchant Payment",IF(ISNUMBER(SEARCH("Sent to",C208)),"Sent to Person",IF(ISNUMBER(SEARCH("Customer Transfer to",C208)),"Sent to Person",IF(ISNUMBER(SEARCH("Business Payment",C208)),"Money In",IF(ISNUMBER(SEARCH("Funds Received",C208)),"Money In",IF(ISNUMBER(SEARCH("Receive International",C208)),"Money In",IF(ISNUMBER(SEARCH("Send Money Reversal",C208)),"Money In",IF(ISNUMBER(SEARCH("Pay Utility Reversal",C208)),"Money In",IF(ISNUMBER(SEARCH("Customer Transfer",C208)),"Money In",IF(ISNUMBER(SEARCH("Ziidi",C208)),"Investment",IF(ISNUMBER(SEARCH("Nabo",C208)),"Investment",IF(ISNUMBER(SEARCH("Paybill Online",C208)),"Pay Bill",IF(ISNUMBER(SEARCH("Pay Bill",C208)),"Pay Bill",IF(ISNUMBER(SEARCH("Spotify",C208)),"Pay Bill",IF(ISNUMBER(SEARCH("M-Shwari",C208)),"Mshwari",IF(ISNUMBER(SEARCH("Mshwari",C208)),"Mshwari",IF(ISNUMBER(SEARCH("Withdrawal charge",C208)),"Fees",IF(ISNUMBER(SEARCH("Customer Withdrawal",C208)),"Fees",IF(ISNUMBER(SEARCH("charge",C208)),"Fees","Other")))))))))))))))))))))))))</f>
        <v>Bundles</v>
      </c>
      <c r="R208" s="1" t="str">
        <f aca="false">TEXT(B208,"MMM YYYY")</f>
        <v>Feb 2026</v>
      </c>
    </row>
    <row r="209" customFormat="false" ht="13.8" hidden="false" customHeight="false" outlineLevel="0" collapsed="false">
      <c r="A209" s="4" t="s">
        <v>465</v>
      </c>
      <c r="B209" s="4" t="s">
        <v>466</v>
      </c>
      <c r="C209" s="4" t="s">
        <v>467</v>
      </c>
      <c r="D209" s="4" t="s">
        <v>18</v>
      </c>
      <c r="E209" s="4"/>
      <c r="F209" s="4" t="n">
        <v>60</v>
      </c>
      <c r="G209" s="4" t="n">
        <v>655</v>
      </c>
      <c r="L209" s="1" t="str">
        <f aca="false">IF(ISNUMBER(SEARCH("Bundle",C209)),"Bundles",IF(ISNUMBER(SEARCH("Airtime",C209)),"Bundles",IF(ISNUMBER(SEARCH("Merchant",C209)),"Merchant Payment",IF(ISNUMBER(SEARCH("Offnet C2B",C209)),"Merchant Payment",IF(ISNUMBER(SEARCH("Offnet B2C",C209)),"Merchant Payment",IF(ISNUMBER(SEARCH("Customer Payment to Small",C209)),"Merchant Payment",IF(ISNUMBER(SEARCH("Payment to Small Business",C209)),"Merchant Payment",IF(ISNUMBER(SEARCH("Sent to",C209)),"Sent to Person",IF(ISNUMBER(SEARCH("Customer Transfer to",C209)),"Sent to Person",IF(ISNUMBER(SEARCH("Business Payment",C209)),"Money In",IF(ISNUMBER(SEARCH("Funds Received",C209)),"Money In",IF(ISNUMBER(SEARCH("Receive International",C209)),"Money In",IF(ISNUMBER(SEARCH("Send Money Reversal",C209)),"Money In",IF(ISNUMBER(SEARCH("Pay Utility Reversal",C209)),"Money In",IF(ISNUMBER(SEARCH("Customer Transfer",C209)),"Money In",IF(ISNUMBER(SEARCH("Ziidi",C209)),"Investment",IF(ISNUMBER(SEARCH("Nabo",C209)),"Investment",IF(ISNUMBER(SEARCH("Paybill Online",C209)),"Pay Bill",IF(ISNUMBER(SEARCH("Pay Bill",C209)),"Pay Bill",IF(ISNUMBER(SEARCH("Spotify",C209)),"Pay Bill",IF(ISNUMBER(SEARCH("M-Shwari",C209)),"Mshwari",IF(ISNUMBER(SEARCH("Mshwari",C209)),"Mshwari",IF(ISNUMBER(SEARCH("Withdrawal charge",C209)),"Fees",IF(ISNUMBER(SEARCH("Customer Withdrawal",C209)),"Fees",IF(ISNUMBER(SEARCH("charge",C209)),"Fees","Other")))))))))))))))))))))))))</f>
        <v>Merchant Payment</v>
      </c>
      <c r="R209" s="1" t="str">
        <f aca="false">TEXT(B209,"MMM YYYY")</f>
        <v>Feb 2026</v>
      </c>
    </row>
    <row r="210" customFormat="false" ht="13.8" hidden="false" customHeight="false" outlineLevel="0" collapsed="false">
      <c r="A210" s="4" t="s">
        <v>468</v>
      </c>
      <c r="B210" s="4" t="s">
        <v>469</v>
      </c>
      <c r="C210" s="4" t="s">
        <v>470</v>
      </c>
      <c r="D210" s="4" t="s">
        <v>18</v>
      </c>
      <c r="E210" s="4"/>
      <c r="F210" s="4" t="n">
        <v>30</v>
      </c>
      <c r="G210" s="4" t="n">
        <v>625</v>
      </c>
      <c r="L210" s="1" t="str">
        <f aca="false">IF(ISNUMBER(SEARCH("Bundle",C210)),"Bundles",IF(ISNUMBER(SEARCH("Airtime",C210)),"Bundles",IF(ISNUMBER(SEARCH("Merchant",C210)),"Merchant Payment",IF(ISNUMBER(SEARCH("Offnet C2B",C210)),"Merchant Payment",IF(ISNUMBER(SEARCH("Offnet B2C",C210)),"Merchant Payment",IF(ISNUMBER(SEARCH("Customer Payment to Small",C210)),"Merchant Payment",IF(ISNUMBER(SEARCH("Payment to Small Business",C210)),"Merchant Payment",IF(ISNUMBER(SEARCH("Sent to",C210)),"Sent to Person",IF(ISNUMBER(SEARCH("Customer Transfer to",C210)),"Sent to Person",IF(ISNUMBER(SEARCH("Business Payment",C210)),"Money In",IF(ISNUMBER(SEARCH("Funds Received",C210)),"Money In",IF(ISNUMBER(SEARCH("Receive International",C210)),"Money In",IF(ISNUMBER(SEARCH("Send Money Reversal",C210)),"Money In",IF(ISNUMBER(SEARCH("Pay Utility Reversal",C210)),"Money In",IF(ISNUMBER(SEARCH("Customer Transfer",C210)),"Money In",IF(ISNUMBER(SEARCH("Ziidi",C210)),"Investment",IF(ISNUMBER(SEARCH("Nabo",C210)),"Investment",IF(ISNUMBER(SEARCH("Paybill Online",C210)),"Pay Bill",IF(ISNUMBER(SEARCH("Pay Bill",C210)),"Pay Bill",IF(ISNUMBER(SEARCH("Spotify",C210)),"Pay Bill",IF(ISNUMBER(SEARCH("M-Shwari",C210)),"Mshwari",IF(ISNUMBER(SEARCH("Mshwari",C210)),"Mshwari",IF(ISNUMBER(SEARCH("Withdrawal charge",C210)),"Fees",IF(ISNUMBER(SEARCH("Customer Withdrawal",C210)),"Fees",IF(ISNUMBER(SEARCH("charge",C210)),"Fees","Other")))))))))))))))))))))))))</f>
        <v>Sent to Person</v>
      </c>
      <c r="R210" s="1" t="str">
        <f aca="false">TEXT(B210,"MMM YYYY")</f>
        <v>Feb 2026</v>
      </c>
    </row>
    <row r="211" customFormat="false" ht="13.8" hidden="false" customHeight="false" outlineLevel="0" collapsed="false">
      <c r="A211" s="4" t="s">
        <v>471</v>
      </c>
      <c r="B211" s="4" t="s">
        <v>472</v>
      </c>
      <c r="C211" s="4" t="s">
        <v>29</v>
      </c>
      <c r="D211" s="4" t="s">
        <v>18</v>
      </c>
      <c r="E211" s="4"/>
      <c r="F211" s="4" t="n">
        <v>10</v>
      </c>
      <c r="G211" s="4" t="n">
        <v>615</v>
      </c>
      <c r="L211" s="1" t="str">
        <f aca="false">IF(ISNUMBER(SEARCH("Bundle",C211)),"Bundles",IF(ISNUMBER(SEARCH("Airtime",C211)),"Bundles",IF(ISNUMBER(SEARCH("Merchant",C211)),"Merchant Payment",IF(ISNUMBER(SEARCH("Offnet C2B",C211)),"Merchant Payment",IF(ISNUMBER(SEARCH("Offnet B2C",C211)),"Merchant Payment",IF(ISNUMBER(SEARCH("Customer Payment to Small",C211)),"Merchant Payment",IF(ISNUMBER(SEARCH("Payment to Small Business",C211)),"Merchant Payment",IF(ISNUMBER(SEARCH("Sent to",C211)),"Sent to Person",IF(ISNUMBER(SEARCH("Customer Transfer to",C211)),"Sent to Person",IF(ISNUMBER(SEARCH("Business Payment",C211)),"Money In",IF(ISNUMBER(SEARCH("Funds Received",C211)),"Money In",IF(ISNUMBER(SEARCH("Receive International",C211)),"Money In",IF(ISNUMBER(SEARCH("Send Money Reversal",C211)),"Money In",IF(ISNUMBER(SEARCH("Pay Utility Reversal",C211)),"Money In",IF(ISNUMBER(SEARCH("Customer Transfer",C211)),"Money In",IF(ISNUMBER(SEARCH("Ziidi",C211)),"Investment",IF(ISNUMBER(SEARCH("Nabo",C211)),"Investment",IF(ISNUMBER(SEARCH("Paybill Online",C211)),"Pay Bill",IF(ISNUMBER(SEARCH("Pay Bill",C211)),"Pay Bill",IF(ISNUMBER(SEARCH("Spotify",C211)),"Pay Bill",IF(ISNUMBER(SEARCH("M-Shwari",C211)),"Mshwari",IF(ISNUMBER(SEARCH("Mshwari",C211)),"Mshwari",IF(ISNUMBER(SEARCH("Withdrawal charge",C211)),"Fees",IF(ISNUMBER(SEARCH("Customer Withdrawal",C211)),"Fees",IF(ISNUMBER(SEARCH("charge",C211)),"Fees","Other")))))))))))))))))))))))))</f>
        <v>Bundles</v>
      </c>
      <c r="R211" s="1" t="str">
        <f aca="false">TEXT(B211,"MMM YYYY")</f>
        <v>Feb 2026</v>
      </c>
    </row>
    <row r="212" customFormat="false" ht="13.8" hidden="false" customHeight="false" outlineLevel="0" collapsed="false">
      <c r="A212" s="4" t="s">
        <v>473</v>
      </c>
      <c r="B212" s="4" t="s">
        <v>474</v>
      </c>
      <c r="C212" s="4" t="s">
        <v>29</v>
      </c>
      <c r="D212" s="4" t="s">
        <v>18</v>
      </c>
      <c r="E212" s="4"/>
      <c r="F212" s="4" t="n">
        <v>10</v>
      </c>
      <c r="G212" s="4" t="n">
        <v>605</v>
      </c>
      <c r="L212" s="1" t="str">
        <f aca="false">IF(ISNUMBER(SEARCH("Bundle",C212)),"Bundles",IF(ISNUMBER(SEARCH("Airtime",C212)),"Bundles",IF(ISNUMBER(SEARCH("Merchant",C212)),"Merchant Payment",IF(ISNUMBER(SEARCH("Offnet C2B",C212)),"Merchant Payment",IF(ISNUMBER(SEARCH("Offnet B2C",C212)),"Merchant Payment",IF(ISNUMBER(SEARCH("Customer Payment to Small",C212)),"Merchant Payment",IF(ISNUMBER(SEARCH("Payment to Small Business",C212)),"Merchant Payment",IF(ISNUMBER(SEARCH("Sent to",C212)),"Sent to Person",IF(ISNUMBER(SEARCH("Customer Transfer to",C212)),"Sent to Person",IF(ISNUMBER(SEARCH("Business Payment",C212)),"Money In",IF(ISNUMBER(SEARCH("Funds Received",C212)),"Money In",IF(ISNUMBER(SEARCH("Receive International",C212)),"Money In",IF(ISNUMBER(SEARCH("Send Money Reversal",C212)),"Money In",IF(ISNUMBER(SEARCH("Pay Utility Reversal",C212)),"Money In",IF(ISNUMBER(SEARCH("Customer Transfer",C212)),"Money In",IF(ISNUMBER(SEARCH("Ziidi",C212)),"Investment",IF(ISNUMBER(SEARCH("Nabo",C212)),"Investment",IF(ISNUMBER(SEARCH("Paybill Online",C212)),"Pay Bill",IF(ISNUMBER(SEARCH("Pay Bill",C212)),"Pay Bill",IF(ISNUMBER(SEARCH("Spotify",C212)),"Pay Bill",IF(ISNUMBER(SEARCH("M-Shwari",C212)),"Mshwari",IF(ISNUMBER(SEARCH("Mshwari",C212)),"Mshwari",IF(ISNUMBER(SEARCH("Withdrawal charge",C212)),"Fees",IF(ISNUMBER(SEARCH("Customer Withdrawal",C212)),"Fees",IF(ISNUMBER(SEARCH("charge",C212)),"Fees","Other")))))))))))))))))))))))))</f>
        <v>Bundles</v>
      </c>
      <c r="R212" s="1" t="str">
        <f aca="false">TEXT(B212,"MMM YYYY")</f>
        <v>Feb 2026</v>
      </c>
    </row>
    <row r="213" customFormat="false" ht="13.8" hidden="false" customHeight="false" outlineLevel="0" collapsed="false">
      <c r="A213" s="4" t="s">
        <v>475</v>
      </c>
      <c r="B213" s="4" t="s">
        <v>476</v>
      </c>
      <c r="C213" s="4" t="s">
        <v>192</v>
      </c>
      <c r="D213" s="4" t="s">
        <v>18</v>
      </c>
      <c r="E213" s="4" t="n">
        <v>1000</v>
      </c>
      <c r="F213" s="4"/>
      <c r="G213" s="4" t="n">
        <v>1605</v>
      </c>
      <c r="L213" s="1" t="str">
        <f aca="false">IF(ISNUMBER(SEARCH("Bundle",C213)),"Bundles",IF(ISNUMBER(SEARCH("Airtime",C213)),"Bundles",IF(ISNUMBER(SEARCH("Merchant",C213)),"Merchant Payment",IF(ISNUMBER(SEARCH("Offnet C2B",C213)),"Merchant Payment",IF(ISNUMBER(SEARCH("Offnet B2C",C213)),"Merchant Payment",IF(ISNUMBER(SEARCH("Customer Payment to Small",C213)),"Merchant Payment",IF(ISNUMBER(SEARCH("Payment to Small Business",C213)),"Merchant Payment",IF(ISNUMBER(SEARCH("Sent to",C213)),"Sent to Person",IF(ISNUMBER(SEARCH("Customer Transfer to",C213)),"Sent to Person",IF(ISNUMBER(SEARCH("Business Payment",C213)),"Money In",IF(ISNUMBER(SEARCH("Funds Received",C213)),"Money In",IF(ISNUMBER(SEARCH("Receive International",C213)),"Money In",IF(ISNUMBER(SEARCH("Send Money Reversal",C213)),"Money In",IF(ISNUMBER(SEARCH("Pay Utility Reversal",C213)),"Money In",IF(ISNUMBER(SEARCH("Customer Transfer",C213)),"Money In",IF(ISNUMBER(SEARCH("Ziidi",C213)),"Investment",IF(ISNUMBER(SEARCH("Nabo",C213)),"Investment",IF(ISNUMBER(SEARCH("Paybill Online",C213)),"Pay Bill",IF(ISNUMBER(SEARCH("Pay Bill",C213)),"Pay Bill",IF(ISNUMBER(SEARCH("Spotify",C213)),"Pay Bill",IF(ISNUMBER(SEARCH("M-Shwari",C213)),"Mshwari",IF(ISNUMBER(SEARCH("Mshwari",C213)),"Mshwari",IF(ISNUMBER(SEARCH("Withdrawal charge",C213)),"Fees",IF(ISNUMBER(SEARCH("Customer Withdrawal",C213)),"Fees",IF(ISNUMBER(SEARCH("charge",C213)),"Fees","Other")))))))))))))))))))))))))</f>
        <v>Mshwari</v>
      </c>
      <c r="R213" s="1" t="str">
        <f aca="false">TEXT(B213,"MMM YYYY")</f>
        <v>Feb 2026</v>
      </c>
    </row>
    <row r="214" customFormat="false" ht="13.8" hidden="false" customHeight="false" outlineLevel="0" collapsed="false">
      <c r="A214" s="4" t="s">
        <v>477</v>
      </c>
      <c r="B214" s="4" t="s">
        <v>478</v>
      </c>
      <c r="C214" s="4" t="s">
        <v>182</v>
      </c>
      <c r="D214" s="4" t="s">
        <v>18</v>
      </c>
      <c r="E214" s="4"/>
      <c r="F214" s="4" t="n">
        <v>10</v>
      </c>
      <c r="G214" s="4" t="n">
        <v>695</v>
      </c>
      <c r="L214" s="1" t="str">
        <f aca="false">IF(ISNUMBER(SEARCH("Bundle",C214)),"Bundles",IF(ISNUMBER(SEARCH("Airtime",C214)),"Bundles",IF(ISNUMBER(SEARCH("Merchant",C214)),"Merchant Payment",IF(ISNUMBER(SEARCH("Offnet C2B",C214)),"Merchant Payment",IF(ISNUMBER(SEARCH("Offnet B2C",C214)),"Merchant Payment",IF(ISNUMBER(SEARCH("Customer Payment to Small",C214)),"Merchant Payment",IF(ISNUMBER(SEARCH("Payment to Small Business",C214)),"Merchant Payment",IF(ISNUMBER(SEARCH("Sent to",C214)),"Sent to Person",IF(ISNUMBER(SEARCH("Customer Transfer to",C214)),"Sent to Person",IF(ISNUMBER(SEARCH("Business Payment",C214)),"Money In",IF(ISNUMBER(SEARCH("Funds Received",C214)),"Money In",IF(ISNUMBER(SEARCH("Receive International",C214)),"Money In",IF(ISNUMBER(SEARCH("Send Money Reversal",C214)),"Money In",IF(ISNUMBER(SEARCH("Pay Utility Reversal",C214)),"Money In",IF(ISNUMBER(SEARCH("Customer Transfer",C214)),"Money In",IF(ISNUMBER(SEARCH("Ziidi",C214)),"Investment",IF(ISNUMBER(SEARCH("Nabo",C214)),"Investment",IF(ISNUMBER(SEARCH("Paybill Online",C214)),"Pay Bill",IF(ISNUMBER(SEARCH("Pay Bill",C214)),"Pay Bill",IF(ISNUMBER(SEARCH("Spotify",C214)),"Pay Bill",IF(ISNUMBER(SEARCH("M-Shwari",C214)),"Mshwari",IF(ISNUMBER(SEARCH("Mshwari",C214)),"Mshwari",IF(ISNUMBER(SEARCH("Withdrawal charge",C214)),"Fees",IF(ISNUMBER(SEARCH("Customer Withdrawal",C214)),"Fees",IF(ISNUMBER(SEARCH("charge",C214)),"Fees","Other")))))))))))))))))))))))))</f>
        <v>Pay Bill</v>
      </c>
      <c r="R214" s="1" t="str">
        <f aca="false">TEXT(B214,"MMM YYYY")</f>
        <v>Feb 2026</v>
      </c>
    </row>
    <row r="215" customFormat="false" ht="13.8" hidden="false" customHeight="false" outlineLevel="0" collapsed="false">
      <c r="A215" s="4" t="s">
        <v>477</v>
      </c>
      <c r="B215" s="4" t="s">
        <v>478</v>
      </c>
      <c r="C215" s="4" t="s">
        <v>479</v>
      </c>
      <c r="D215" s="4" t="s">
        <v>18</v>
      </c>
      <c r="E215" s="4"/>
      <c r="F215" s="4" t="n">
        <v>900</v>
      </c>
      <c r="G215" s="4" t="n">
        <v>705</v>
      </c>
      <c r="L215" s="1" t="str">
        <f aca="false">IF(ISNUMBER(SEARCH("Bundle",C215)),"Bundles",IF(ISNUMBER(SEARCH("Airtime",C215)),"Bundles",IF(ISNUMBER(SEARCH("Merchant",C215)),"Merchant Payment",IF(ISNUMBER(SEARCH("Offnet C2B",C215)),"Merchant Payment",IF(ISNUMBER(SEARCH("Offnet B2C",C215)),"Merchant Payment",IF(ISNUMBER(SEARCH("Customer Payment to Small",C215)),"Merchant Payment",IF(ISNUMBER(SEARCH("Payment to Small Business",C215)),"Merchant Payment",IF(ISNUMBER(SEARCH("Sent to",C215)),"Sent to Person",IF(ISNUMBER(SEARCH("Customer Transfer to",C215)),"Sent to Person",IF(ISNUMBER(SEARCH("Business Payment",C215)),"Money In",IF(ISNUMBER(SEARCH("Funds Received",C215)),"Money In",IF(ISNUMBER(SEARCH("Receive International",C215)),"Money In",IF(ISNUMBER(SEARCH("Send Money Reversal",C215)),"Money In",IF(ISNUMBER(SEARCH("Pay Utility Reversal",C215)),"Money In",IF(ISNUMBER(SEARCH("Customer Transfer",C215)),"Money In",IF(ISNUMBER(SEARCH("Ziidi",C215)),"Investment",IF(ISNUMBER(SEARCH("Nabo",C215)),"Investment",IF(ISNUMBER(SEARCH("Paybill Online",C215)),"Pay Bill",IF(ISNUMBER(SEARCH("Pay Bill",C215)),"Pay Bill",IF(ISNUMBER(SEARCH("Spotify",C215)),"Pay Bill",IF(ISNUMBER(SEARCH("M-Shwari",C215)),"Mshwari",IF(ISNUMBER(SEARCH("Mshwari",C215)),"Mshwari",IF(ISNUMBER(SEARCH("Withdrawal charge",C215)),"Fees",IF(ISNUMBER(SEARCH("Customer Withdrawal",C215)),"Fees",IF(ISNUMBER(SEARCH("charge",C215)),"Fees","Other")))))))))))))))))))))))))</f>
        <v>Pay Bill</v>
      </c>
      <c r="R215" s="1" t="str">
        <f aca="false">TEXT(B215,"MMM YYYY")</f>
        <v>Feb 2026</v>
      </c>
    </row>
    <row r="216" customFormat="false" ht="13.8" hidden="false" customHeight="false" outlineLevel="0" collapsed="false">
      <c r="A216" s="4" t="s">
        <v>480</v>
      </c>
      <c r="B216" s="4" t="s">
        <v>481</v>
      </c>
      <c r="C216" s="4" t="s">
        <v>479</v>
      </c>
      <c r="D216" s="4" t="s">
        <v>18</v>
      </c>
      <c r="E216" s="4"/>
      <c r="F216" s="4" t="n">
        <v>100</v>
      </c>
      <c r="G216" s="4" t="n">
        <v>595</v>
      </c>
      <c r="L216" s="1" t="str">
        <f aca="false">IF(ISNUMBER(SEARCH("Bundle",C216)),"Bundles",IF(ISNUMBER(SEARCH("Airtime",C216)),"Bundles",IF(ISNUMBER(SEARCH("Merchant",C216)),"Merchant Payment",IF(ISNUMBER(SEARCH("Offnet C2B",C216)),"Merchant Payment",IF(ISNUMBER(SEARCH("Offnet B2C",C216)),"Merchant Payment",IF(ISNUMBER(SEARCH("Customer Payment to Small",C216)),"Merchant Payment",IF(ISNUMBER(SEARCH("Payment to Small Business",C216)),"Merchant Payment",IF(ISNUMBER(SEARCH("Sent to",C216)),"Sent to Person",IF(ISNUMBER(SEARCH("Customer Transfer to",C216)),"Sent to Person",IF(ISNUMBER(SEARCH("Business Payment",C216)),"Money In",IF(ISNUMBER(SEARCH("Funds Received",C216)),"Money In",IF(ISNUMBER(SEARCH("Receive International",C216)),"Money In",IF(ISNUMBER(SEARCH("Send Money Reversal",C216)),"Money In",IF(ISNUMBER(SEARCH("Pay Utility Reversal",C216)),"Money In",IF(ISNUMBER(SEARCH("Customer Transfer",C216)),"Money In",IF(ISNUMBER(SEARCH("Ziidi",C216)),"Investment",IF(ISNUMBER(SEARCH("Nabo",C216)),"Investment",IF(ISNUMBER(SEARCH("Paybill Online",C216)),"Pay Bill",IF(ISNUMBER(SEARCH("Pay Bill",C216)),"Pay Bill",IF(ISNUMBER(SEARCH("Spotify",C216)),"Pay Bill",IF(ISNUMBER(SEARCH("M-Shwari",C216)),"Mshwari",IF(ISNUMBER(SEARCH("Mshwari",C216)),"Mshwari",IF(ISNUMBER(SEARCH("Withdrawal charge",C216)),"Fees",IF(ISNUMBER(SEARCH("Customer Withdrawal",C216)),"Fees",IF(ISNUMBER(SEARCH("charge",C216)),"Fees","Other")))))))))))))))))))))))))</f>
        <v>Pay Bill</v>
      </c>
      <c r="R216" s="1" t="str">
        <f aca="false">TEXT(B216,"MMM YYYY")</f>
        <v>Feb 2026</v>
      </c>
    </row>
    <row r="217" customFormat="false" ht="13.8" hidden="false" customHeight="false" outlineLevel="0" collapsed="false">
      <c r="A217" s="4" t="s">
        <v>482</v>
      </c>
      <c r="B217" s="4" t="s">
        <v>483</v>
      </c>
      <c r="C217" s="4" t="s">
        <v>29</v>
      </c>
      <c r="D217" s="4" t="s">
        <v>18</v>
      </c>
      <c r="E217" s="4"/>
      <c r="F217" s="4" t="n">
        <v>10</v>
      </c>
      <c r="G217" s="4" t="n">
        <v>585</v>
      </c>
      <c r="L217" s="1" t="str">
        <f aca="false">IF(ISNUMBER(SEARCH("Bundle",C217)),"Bundles",IF(ISNUMBER(SEARCH("Airtime",C217)),"Bundles",IF(ISNUMBER(SEARCH("Merchant",C217)),"Merchant Payment",IF(ISNUMBER(SEARCH("Offnet C2B",C217)),"Merchant Payment",IF(ISNUMBER(SEARCH("Offnet B2C",C217)),"Merchant Payment",IF(ISNUMBER(SEARCH("Customer Payment to Small",C217)),"Merchant Payment",IF(ISNUMBER(SEARCH("Payment to Small Business",C217)),"Merchant Payment",IF(ISNUMBER(SEARCH("Sent to",C217)),"Sent to Person",IF(ISNUMBER(SEARCH("Customer Transfer to",C217)),"Sent to Person",IF(ISNUMBER(SEARCH("Business Payment",C217)),"Money In",IF(ISNUMBER(SEARCH("Funds Received",C217)),"Money In",IF(ISNUMBER(SEARCH("Receive International",C217)),"Money In",IF(ISNUMBER(SEARCH("Send Money Reversal",C217)),"Money In",IF(ISNUMBER(SEARCH("Pay Utility Reversal",C217)),"Money In",IF(ISNUMBER(SEARCH("Customer Transfer",C217)),"Money In",IF(ISNUMBER(SEARCH("Ziidi",C217)),"Investment",IF(ISNUMBER(SEARCH("Nabo",C217)),"Investment",IF(ISNUMBER(SEARCH("Paybill Online",C217)),"Pay Bill",IF(ISNUMBER(SEARCH("Pay Bill",C217)),"Pay Bill",IF(ISNUMBER(SEARCH("Spotify",C217)),"Pay Bill",IF(ISNUMBER(SEARCH("M-Shwari",C217)),"Mshwari",IF(ISNUMBER(SEARCH("Mshwari",C217)),"Mshwari",IF(ISNUMBER(SEARCH("Withdrawal charge",C217)),"Fees",IF(ISNUMBER(SEARCH("Customer Withdrawal",C217)),"Fees",IF(ISNUMBER(SEARCH("charge",C217)),"Fees","Other")))))))))))))))))))))))))</f>
        <v>Bundles</v>
      </c>
      <c r="R217" s="1" t="str">
        <f aca="false">TEXT(B217,"MMM YYYY")</f>
        <v>Feb 2026</v>
      </c>
    </row>
    <row r="218" customFormat="false" ht="13.8" hidden="false" customHeight="false" outlineLevel="0" collapsed="false">
      <c r="A218" s="4" t="s">
        <v>484</v>
      </c>
      <c r="B218" s="4" t="s">
        <v>485</v>
      </c>
      <c r="C218" s="4" t="s">
        <v>29</v>
      </c>
      <c r="D218" s="4" t="s">
        <v>18</v>
      </c>
      <c r="E218" s="4"/>
      <c r="F218" s="4" t="n">
        <v>10</v>
      </c>
      <c r="G218" s="4" t="n">
        <v>625</v>
      </c>
      <c r="L218" s="1" t="str">
        <f aca="false">IF(ISNUMBER(SEARCH("Bundle",C218)),"Bundles",IF(ISNUMBER(SEARCH("Airtime",C218)),"Bundles",IF(ISNUMBER(SEARCH("Merchant",C218)),"Merchant Payment",IF(ISNUMBER(SEARCH("Offnet C2B",C218)),"Merchant Payment",IF(ISNUMBER(SEARCH("Offnet B2C",C218)),"Merchant Payment",IF(ISNUMBER(SEARCH("Customer Payment to Small",C218)),"Merchant Payment",IF(ISNUMBER(SEARCH("Payment to Small Business",C218)),"Merchant Payment",IF(ISNUMBER(SEARCH("Sent to",C218)),"Sent to Person",IF(ISNUMBER(SEARCH("Customer Transfer to",C218)),"Sent to Person",IF(ISNUMBER(SEARCH("Business Payment",C218)),"Money In",IF(ISNUMBER(SEARCH("Funds Received",C218)),"Money In",IF(ISNUMBER(SEARCH("Receive International",C218)),"Money In",IF(ISNUMBER(SEARCH("Send Money Reversal",C218)),"Money In",IF(ISNUMBER(SEARCH("Pay Utility Reversal",C218)),"Money In",IF(ISNUMBER(SEARCH("Customer Transfer",C218)),"Money In",IF(ISNUMBER(SEARCH("Ziidi",C218)),"Investment",IF(ISNUMBER(SEARCH("Nabo",C218)),"Investment",IF(ISNUMBER(SEARCH("Paybill Online",C218)),"Pay Bill",IF(ISNUMBER(SEARCH("Pay Bill",C218)),"Pay Bill",IF(ISNUMBER(SEARCH("Spotify",C218)),"Pay Bill",IF(ISNUMBER(SEARCH("M-Shwari",C218)),"Mshwari",IF(ISNUMBER(SEARCH("Mshwari",C218)),"Mshwari",IF(ISNUMBER(SEARCH("Withdrawal charge",C218)),"Fees",IF(ISNUMBER(SEARCH("Customer Withdrawal",C218)),"Fees",IF(ISNUMBER(SEARCH("charge",C218)),"Fees","Other")))))))))))))))))))))))))</f>
        <v>Bundles</v>
      </c>
      <c r="R218" s="1" t="str">
        <f aca="false">TEXT(B218,"MMM YYYY")</f>
        <v>Jan 2026</v>
      </c>
    </row>
    <row r="219" customFormat="false" ht="13.8" hidden="false" customHeight="false" outlineLevel="0" collapsed="false">
      <c r="A219" s="4" t="s">
        <v>486</v>
      </c>
      <c r="B219" s="4" t="s">
        <v>487</v>
      </c>
      <c r="C219" s="4" t="s">
        <v>488</v>
      </c>
      <c r="D219" s="4" t="s">
        <v>18</v>
      </c>
      <c r="E219" s="4"/>
      <c r="F219" s="4" t="n">
        <v>150</v>
      </c>
      <c r="G219" s="4" t="n">
        <v>475</v>
      </c>
      <c r="L219" s="1" t="str">
        <f aca="false">IF(ISNUMBER(SEARCH("Bundle",C219)),"Bundles",IF(ISNUMBER(SEARCH("Airtime",C219)),"Bundles",IF(ISNUMBER(SEARCH("Merchant",C219)),"Merchant Payment",IF(ISNUMBER(SEARCH("Offnet C2B",C219)),"Merchant Payment",IF(ISNUMBER(SEARCH("Offnet B2C",C219)),"Merchant Payment",IF(ISNUMBER(SEARCH("Customer Payment to Small",C219)),"Merchant Payment",IF(ISNUMBER(SEARCH("Payment to Small Business",C219)),"Merchant Payment",IF(ISNUMBER(SEARCH("Sent to",C219)),"Sent to Person",IF(ISNUMBER(SEARCH("Customer Transfer to",C219)),"Sent to Person",IF(ISNUMBER(SEARCH("Business Payment",C219)),"Money In",IF(ISNUMBER(SEARCH("Funds Received",C219)),"Money In",IF(ISNUMBER(SEARCH("Receive International",C219)),"Money In",IF(ISNUMBER(SEARCH("Send Money Reversal",C219)),"Money In",IF(ISNUMBER(SEARCH("Pay Utility Reversal",C219)),"Money In",IF(ISNUMBER(SEARCH("Customer Transfer",C219)),"Money In",IF(ISNUMBER(SEARCH("Ziidi",C219)),"Investment",IF(ISNUMBER(SEARCH("Nabo",C219)),"Investment",IF(ISNUMBER(SEARCH("Paybill Online",C219)),"Pay Bill",IF(ISNUMBER(SEARCH("Pay Bill",C219)),"Pay Bill",IF(ISNUMBER(SEARCH("Spotify",C219)),"Pay Bill",IF(ISNUMBER(SEARCH("M-Shwari",C219)),"Mshwari",IF(ISNUMBER(SEARCH("Mshwari",C219)),"Mshwari",IF(ISNUMBER(SEARCH("Withdrawal charge",C219)),"Fees",IF(ISNUMBER(SEARCH("Customer Withdrawal",C219)),"Fees",IF(ISNUMBER(SEARCH("charge",C219)),"Fees","Other")))))))))))))))))))))))))</f>
        <v>Pay Bill</v>
      </c>
      <c r="R219" s="1" t="str">
        <f aca="false">TEXT(B219,"MMM YYYY")</f>
        <v>Jan 2026</v>
      </c>
    </row>
    <row r="220" customFormat="false" ht="13.8" hidden="false" customHeight="false" outlineLevel="0" collapsed="false">
      <c r="A220" s="4" t="s">
        <v>489</v>
      </c>
      <c r="B220" s="4" t="s">
        <v>490</v>
      </c>
      <c r="C220" s="4" t="s">
        <v>491</v>
      </c>
      <c r="D220" s="4" t="s">
        <v>18</v>
      </c>
      <c r="E220" s="4"/>
      <c r="F220" s="4" t="n">
        <v>200</v>
      </c>
      <c r="G220" s="4" t="n">
        <v>275</v>
      </c>
      <c r="L220" s="1" t="str">
        <f aca="false">IF(ISNUMBER(SEARCH("Bundle",C220)),"Bundles",IF(ISNUMBER(SEARCH("Airtime",C220)),"Bundles",IF(ISNUMBER(SEARCH("Merchant",C220)),"Merchant Payment",IF(ISNUMBER(SEARCH("Offnet C2B",C220)),"Merchant Payment",IF(ISNUMBER(SEARCH("Offnet B2C",C220)),"Merchant Payment",IF(ISNUMBER(SEARCH("Customer Payment to Small",C220)),"Merchant Payment",IF(ISNUMBER(SEARCH("Payment to Small Business",C220)),"Merchant Payment",IF(ISNUMBER(SEARCH("Sent to",C220)),"Sent to Person",IF(ISNUMBER(SEARCH("Customer Transfer to",C220)),"Sent to Person",IF(ISNUMBER(SEARCH("Business Payment",C220)),"Money In",IF(ISNUMBER(SEARCH("Funds Received",C220)),"Money In",IF(ISNUMBER(SEARCH("Receive International",C220)),"Money In",IF(ISNUMBER(SEARCH("Send Money Reversal",C220)),"Money In",IF(ISNUMBER(SEARCH("Pay Utility Reversal",C220)),"Money In",IF(ISNUMBER(SEARCH("Customer Transfer",C220)),"Money In",IF(ISNUMBER(SEARCH("Ziidi",C220)),"Investment",IF(ISNUMBER(SEARCH("Nabo",C220)),"Investment",IF(ISNUMBER(SEARCH("Paybill Online",C220)),"Pay Bill",IF(ISNUMBER(SEARCH("Pay Bill",C220)),"Pay Bill",IF(ISNUMBER(SEARCH("Spotify",C220)),"Pay Bill",IF(ISNUMBER(SEARCH("M-Shwari",C220)),"Mshwari",IF(ISNUMBER(SEARCH("Mshwari",C220)),"Mshwari",IF(ISNUMBER(SEARCH("Withdrawal charge",C220)),"Fees",IF(ISNUMBER(SEARCH("Customer Withdrawal",C220)),"Fees",IF(ISNUMBER(SEARCH("charge",C220)),"Fees","Other")))))))))))))))))))))))))</f>
        <v>Pay Bill</v>
      </c>
      <c r="R220" s="1" t="str">
        <f aca="false">TEXT(B220,"MMM YYYY")</f>
        <v>Jan 2026</v>
      </c>
    </row>
    <row r="221" customFormat="false" ht="13.8" hidden="false" customHeight="false" outlineLevel="0" collapsed="false">
      <c r="A221" s="4" t="s">
        <v>492</v>
      </c>
      <c r="B221" s="4" t="s">
        <v>493</v>
      </c>
      <c r="C221" s="4" t="s">
        <v>239</v>
      </c>
      <c r="D221" s="4" t="s">
        <v>18</v>
      </c>
      <c r="E221" s="4"/>
      <c r="F221" s="4" t="n">
        <v>7</v>
      </c>
      <c r="G221" s="4" t="n">
        <v>18</v>
      </c>
      <c r="L221" s="1" t="str">
        <f aca="false">IF(ISNUMBER(SEARCH("Bundle",C221)),"Bundles",IF(ISNUMBER(SEARCH("Airtime",C221)),"Bundles",IF(ISNUMBER(SEARCH("Merchant",C221)),"Merchant Payment",IF(ISNUMBER(SEARCH("Offnet C2B",C221)),"Merchant Payment",IF(ISNUMBER(SEARCH("Offnet B2C",C221)),"Merchant Payment",IF(ISNUMBER(SEARCH("Customer Payment to Small",C221)),"Merchant Payment",IF(ISNUMBER(SEARCH("Payment to Small Business",C221)),"Merchant Payment",IF(ISNUMBER(SEARCH("Sent to",C221)),"Sent to Person",IF(ISNUMBER(SEARCH("Customer Transfer to",C221)),"Sent to Person",IF(ISNUMBER(SEARCH("Business Payment",C221)),"Money In",IF(ISNUMBER(SEARCH("Funds Received",C221)),"Money In",IF(ISNUMBER(SEARCH("Receive International",C221)),"Money In",IF(ISNUMBER(SEARCH("Send Money Reversal",C221)),"Money In",IF(ISNUMBER(SEARCH("Pay Utility Reversal",C221)),"Money In",IF(ISNUMBER(SEARCH("Customer Transfer",C221)),"Money In",IF(ISNUMBER(SEARCH("Ziidi",C221)),"Investment",IF(ISNUMBER(SEARCH("Nabo",C221)),"Investment",IF(ISNUMBER(SEARCH("Paybill Online",C221)),"Pay Bill",IF(ISNUMBER(SEARCH("Pay Bill",C221)),"Pay Bill",IF(ISNUMBER(SEARCH("Spotify",C221)),"Pay Bill",IF(ISNUMBER(SEARCH("M-Shwari",C221)),"Mshwari",IF(ISNUMBER(SEARCH("Mshwari",C221)),"Mshwari",IF(ISNUMBER(SEARCH("Withdrawal charge",C221)),"Fees",IF(ISNUMBER(SEARCH("Customer Withdrawal",C221)),"Fees",IF(ISNUMBER(SEARCH("charge",C221)),"Fees","Other")))))))))))))))))))))))))</f>
        <v>Money In</v>
      </c>
      <c r="R221" s="1" t="str">
        <f aca="false">TEXT(B221,"MMM YYYY")</f>
        <v>Jan 2026</v>
      </c>
    </row>
    <row r="222" customFormat="false" ht="13.8" hidden="false" customHeight="false" outlineLevel="0" collapsed="false">
      <c r="A222" s="4" t="s">
        <v>492</v>
      </c>
      <c r="B222" s="4" t="s">
        <v>493</v>
      </c>
      <c r="C222" s="4" t="s">
        <v>494</v>
      </c>
      <c r="D222" s="4" t="s">
        <v>18</v>
      </c>
      <c r="E222" s="4"/>
      <c r="F222" s="4" t="n">
        <v>250</v>
      </c>
      <c r="G222" s="4" t="n">
        <v>25</v>
      </c>
      <c r="L222" s="1" t="str">
        <f aca="false">IF(ISNUMBER(SEARCH("Bundle",C222)),"Bundles",IF(ISNUMBER(SEARCH("Airtime",C222)),"Bundles",IF(ISNUMBER(SEARCH("Merchant",C222)),"Merchant Payment",IF(ISNUMBER(SEARCH("Offnet C2B",C222)),"Merchant Payment",IF(ISNUMBER(SEARCH("Offnet B2C",C222)),"Merchant Payment",IF(ISNUMBER(SEARCH("Customer Payment to Small",C222)),"Merchant Payment",IF(ISNUMBER(SEARCH("Payment to Small Business",C222)),"Merchant Payment",IF(ISNUMBER(SEARCH("Sent to",C222)),"Sent to Person",IF(ISNUMBER(SEARCH("Customer Transfer to",C222)),"Sent to Person",IF(ISNUMBER(SEARCH("Business Payment",C222)),"Money In",IF(ISNUMBER(SEARCH("Funds Received",C222)),"Money In",IF(ISNUMBER(SEARCH("Receive International",C222)),"Money In",IF(ISNUMBER(SEARCH("Send Money Reversal",C222)),"Money In",IF(ISNUMBER(SEARCH("Pay Utility Reversal",C222)),"Money In",IF(ISNUMBER(SEARCH("Customer Transfer",C222)),"Money In",IF(ISNUMBER(SEARCH("Ziidi",C222)),"Investment",IF(ISNUMBER(SEARCH("Nabo",C222)),"Investment",IF(ISNUMBER(SEARCH("Paybill Online",C222)),"Pay Bill",IF(ISNUMBER(SEARCH("Pay Bill",C222)),"Pay Bill",IF(ISNUMBER(SEARCH("Spotify",C222)),"Pay Bill",IF(ISNUMBER(SEARCH("M-Shwari",C222)),"Mshwari",IF(ISNUMBER(SEARCH("Mshwari",C222)),"Mshwari",IF(ISNUMBER(SEARCH("Withdrawal charge",C222)),"Fees",IF(ISNUMBER(SEARCH("Customer Withdrawal",C222)),"Fees",IF(ISNUMBER(SEARCH("charge",C222)),"Fees","Other")))))))))))))))))))))))))</f>
        <v>Merchant Payment</v>
      </c>
      <c r="R222" s="1" t="str">
        <f aca="false">TEXT(B222,"MMM YYYY")</f>
        <v>Jan 2026</v>
      </c>
    </row>
    <row r="223" customFormat="false" ht="13.8" hidden="false" customHeight="false" outlineLevel="0" collapsed="false">
      <c r="A223" s="4" t="s">
        <v>495</v>
      </c>
      <c r="B223" s="4" t="s">
        <v>496</v>
      </c>
      <c r="C223" s="4" t="s">
        <v>192</v>
      </c>
      <c r="D223" s="4" t="s">
        <v>18</v>
      </c>
      <c r="E223" s="4" t="n">
        <v>1000</v>
      </c>
      <c r="F223" s="4"/>
      <c r="G223" s="4" t="n">
        <v>1018</v>
      </c>
      <c r="L223" s="1" t="str">
        <f aca="false">IF(ISNUMBER(SEARCH("Bundle",C223)),"Bundles",IF(ISNUMBER(SEARCH("Airtime",C223)),"Bundles",IF(ISNUMBER(SEARCH("Merchant",C223)),"Merchant Payment",IF(ISNUMBER(SEARCH("Offnet C2B",C223)),"Merchant Payment",IF(ISNUMBER(SEARCH("Offnet B2C",C223)),"Merchant Payment",IF(ISNUMBER(SEARCH("Customer Payment to Small",C223)),"Merchant Payment",IF(ISNUMBER(SEARCH("Payment to Small Business",C223)),"Merchant Payment",IF(ISNUMBER(SEARCH("Sent to",C223)),"Sent to Person",IF(ISNUMBER(SEARCH("Customer Transfer to",C223)),"Sent to Person",IF(ISNUMBER(SEARCH("Business Payment",C223)),"Money In",IF(ISNUMBER(SEARCH("Funds Received",C223)),"Money In",IF(ISNUMBER(SEARCH("Receive International",C223)),"Money In",IF(ISNUMBER(SEARCH("Send Money Reversal",C223)),"Money In",IF(ISNUMBER(SEARCH("Pay Utility Reversal",C223)),"Money In",IF(ISNUMBER(SEARCH("Customer Transfer",C223)),"Money In",IF(ISNUMBER(SEARCH("Ziidi",C223)),"Investment",IF(ISNUMBER(SEARCH("Nabo",C223)),"Investment",IF(ISNUMBER(SEARCH("Paybill Online",C223)),"Pay Bill",IF(ISNUMBER(SEARCH("Pay Bill",C223)),"Pay Bill",IF(ISNUMBER(SEARCH("Spotify",C223)),"Pay Bill",IF(ISNUMBER(SEARCH("M-Shwari",C223)),"Mshwari",IF(ISNUMBER(SEARCH("Mshwari",C223)),"Mshwari",IF(ISNUMBER(SEARCH("Withdrawal charge",C223)),"Fees",IF(ISNUMBER(SEARCH("Customer Withdrawal",C223)),"Fees",IF(ISNUMBER(SEARCH("charge",C223)),"Fees","Other")))))))))))))))))))))))))</f>
        <v>Mshwari</v>
      </c>
      <c r="R223" s="1" t="str">
        <f aca="false">TEXT(B223,"MMM YYYY")</f>
        <v>Jan 2026</v>
      </c>
    </row>
    <row r="224" customFormat="false" ht="13.8" hidden="false" customHeight="false" outlineLevel="0" collapsed="false">
      <c r="A224" s="4" t="s">
        <v>497</v>
      </c>
      <c r="B224" s="4" t="s">
        <v>498</v>
      </c>
      <c r="C224" s="4" t="s">
        <v>239</v>
      </c>
      <c r="D224" s="4" t="s">
        <v>18</v>
      </c>
      <c r="E224" s="4"/>
      <c r="F224" s="4" t="n">
        <v>13</v>
      </c>
      <c r="G224" s="4" t="n">
        <v>405</v>
      </c>
      <c r="L224" s="1" t="str">
        <f aca="false">IF(ISNUMBER(SEARCH("Bundle",C224)),"Bundles",IF(ISNUMBER(SEARCH("Airtime",C224)),"Bundles",IF(ISNUMBER(SEARCH("Merchant",C224)),"Merchant Payment",IF(ISNUMBER(SEARCH("Offnet C2B",C224)),"Merchant Payment",IF(ISNUMBER(SEARCH("Offnet B2C",C224)),"Merchant Payment",IF(ISNUMBER(SEARCH("Customer Payment to Small",C224)),"Merchant Payment",IF(ISNUMBER(SEARCH("Payment to Small Business",C224)),"Merchant Payment",IF(ISNUMBER(SEARCH("Sent to",C224)),"Sent to Person",IF(ISNUMBER(SEARCH("Customer Transfer to",C224)),"Sent to Person",IF(ISNUMBER(SEARCH("Business Payment",C224)),"Money In",IF(ISNUMBER(SEARCH("Funds Received",C224)),"Money In",IF(ISNUMBER(SEARCH("Receive International",C224)),"Money In",IF(ISNUMBER(SEARCH("Send Money Reversal",C224)),"Money In",IF(ISNUMBER(SEARCH("Pay Utility Reversal",C224)),"Money In",IF(ISNUMBER(SEARCH("Customer Transfer",C224)),"Money In",IF(ISNUMBER(SEARCH("Ziidi",C224)),"Investment",IF(ISNUMBER(SEARCH("Nabo",C224)),"Investment",IF(ISNUMBER(SEARCH("Paybill Online",C224)),"Pay Bill",IF(ISNUMBER(SEARCH("Pay Bill",C224)),"Pay Bill",IF(ISNUMBER(SEARCH("Spotify",C224)),"Pay Bill",IF(ISNUMBER(SEARCH("M-Shwari",C224)),"Mshwari",IF(ISNUMBER(SEARCH("Mshwari",C224)),"Mshwari",IF(ISNUMBER(SEARCH("Withdrawal charge",C224)),"Fees",IF(ISNUMBER(SEARCH("Customer Withdrawal",C224)),"Fees",IF(ISNUMBER(SEARCH("charge",C224)),"Fees","Other")))))))))))))))))))))))))</f>
        <v>Money In</v>
      </c>
      <c r="R224" s="1" t="str">
        <f aca="false">TEXT(B224,"MMM YYYY")</f>
        <v>Jan 2026</v>
      </c>
    </row>
    <row r="225" customFormat="false" ht="13.8" hidden="false" customHeight="false" outlineLevel="0" collapsed="false">
      <c r="A225" s="4" t="s">
        <v>497</v>
      </c>
      <c r="B225" s="4" t="s">
        <v>498</v>
      </c>
      <c r="C225" s="4" t="s">
        <v>494</v>
      </c>
      <c r="D225" s="4" t="s">
        <v>18</v>
      </c>
      <c r="E225" s="4"/>
      <c r="F225" s="4" t="n">
        <v>600</v>
      </c>
      <c r="G225" s="4" t="n">
        <v>418</v>
      </c>
      <c r="L225" s="1" t="str">
        <f aca="false">IF(ISNUMBER(SEARCH("Bundle",C225)),"Bundles",IF(ISNUMBER(SEARCH("Airtime",C225)),"Bundles",IF(ISNUMBER(SEARCH("Merchant",C225)),"Merchant Payment",IF(ISNUMBER(SEARCH("Offnet C2B",C225)),"Merchant Payment",IF(ISNUMBER(SEARCH("Offnet B2C",C225)),"Merchant Payment",IF(ISNUMBER(SEARCH("Customer Payment to Small",C225)),"Merchant Payment",IF(ISNUMBER(SEARCH("Payment to Small Business",C225)),"Merchant Payment",IF(ISNUMBER(SEARCH("Sent to",C225)),"Sent to Person",IF(ISNUMBER(SEARCH("Customer Transfer to",C225)),"Sent to Person",IF(ISNUMBER(SEARCH("Business Payment",C225)),"Money In",IF(ISNUMBER(SEARCH("Funds Received",C225)),"Money In",IF(ISNUMBER(SEARCH("Receive International",C225)),"Money In",IF(ISNUMBER(SEARCH("Send Money Reversal",C225)),"Money In",IF(ISNUMBER(SEARCH("Pay Utility Reversal",C225)),"Money In",IF(ISNUMBER(SEARCH("Customer Transfer",C225)),"Money In",IF(ISNUMBER(SEARCH("Ziidi",C225)),"Investment",IF(ISNUMBER(SEARCH("Nabo",C225)),"Investment",IF(ISNUMBER(SEARCH("Paybill Online",C225)),"Pay Bill",IF(ISNUMBER(SEARCH("Pay Bill",C225)),"Pay Bill",IF(ISNUMBER(SEARCH("Spotify",C225)),"Pay Bill",IF(ISNUMBER(SEARCH("M-Shwari",C225)),"Mshwari",IF(ISNUMBER(SEARCH("Mshwari",C225)),"Mshwari",IF(ISNUMBER(SEARCH("Withdrawal charge",C225)),"Fees",IF(ISNUMBER(SEARCH("Customer Withdrawal",C225)),"Fees",IF(ISNUMBER(SEARCH("charge",C225)),"Fees","Other")))))))))))))))))))))))))</f>
        <v>Merchant Payment</v>
      </c>
      <c r="R225" s="1" t="str">
        <f aca="false">TEXT(B225,"MMM YYYY")</f>
        <v>Jan 2026</v>
      </c>
    </row>
    <row r="226" customFormat="false" ht="13.8" hidden="false" customHeight="false" outlineLevel="0" collapsed="false">
      <c r="A226" s="4" t="s">
        <v>499</v>
      </c>
      <c r="B226" s="4" t="s">
        <v>500</v>
      </c>
      <c r="C226" s="4" t="s">
        <v>29</v>
      </c>
      <c r="D226" s="4" t="s">
        <v>18</v>
      </c>
      <c r="E226" s="4"/>
      <c r="F226" s="4" t="n">
        <v>10</v>
      </c>
      <c r="G226" s="4" t="n">
        <v>395</v>
      </c>
      <c r="L226" s="1" t="str">
        <f aca="false">IF(ISNUMBER(SEARCH("Bundle",C226)),"Bundles",IF(ISNUMBER(SEARCH("Airtime",C226)),"Bundles",IF(ISNUMBER(SEARCH("Merchant",C226)),"Merchant Payment",IF(ISNUMBER(SEARCH("Offnet C2B",C226)),"Merchant Payment",IF(ISNUMBER(SEARCH("Offnet B2C",C226)),"Merchant Payment",IF(ISNUMBER(SEARCH("Customer Payment to Small",C226)),"Merchant Payment",IF(ISNUMBER(SEARCH("Payment to Small Business",C226)),"Merchant Payment",IF(ISNUMBER(SEARCH("Sent to",C226)),"Sent to Person",IF(ISNUMBER(SEARCH("Customer Transfer to",C226)),"Sent to Person",IF(ISNUMBER(SEARCH("Business Payment",C226)),"Money In",IF(ISNUMBER(SEARCH("Funds Received",C226)),"Money In",IF(ISNUMBER(SEARCH("Receive International",C226)),"Money In",IF(ISNUMBER(SEARCH("Send Money Reversal",C226)),"Money In",IF(ISNUMBER(SEARCH("Pay Utility Reversal",C226)),"Money In",IF(ISNUMBER(SEARCH("Customer Transfer",C226)),"Money In",IF(ISNUMBER(SEARCH("Ziidi",C226)),"Investment",IF(ISNUMBER(SEARCH("Nabo",C226)),"Investment",IF(ISNUMBER(SEARCH("Paybill Online",C226)),"Pay Bill",IF(ISNUMBER(SEARCH("Pay Bill",C226)),"Pay Bill",IF(ISNUMBER(SEARCH("Spotify",C226)),"Pay Bill",IF(ISNUMBER(SEARCH("M-Shwari",C226)),"Mshwari",IF(ISNUMBER(SEARCH("Mshwari",C226)),"Mshwari",IF(ISNUMBER(SEARCH("Withdrawal charge",C226)),"Fees",IF(ISNUMBER(SEARCH("Customer Withdrawal",C226)),"Fees",IF(ISNUMBER(SEARCH("charge",C226)),"Fees","Other")))))))))))))))))))))))))</f>
        <v>Bundles</v>
      </c>
      <c r="R226" s="1" t="str">
        <f aca="false">TEXT(B226,"MMM YYYY")</f>
        <v>Jan 2026</v>
      </c>
    </row>
    <row r="227" customFormat="false" ht="13.8" hidden="false" customHeight="false" outlineLevel="0" collapsed="false">
      <c r="A227" s="4" t="s">
        <v>501</v>
      </c>
      <c r="B227" s="4" t="s">
        <v>502</v>
      </c>
      <c r="C227" s="4" t="s">
        <v>29</v>
      </c>
      <c r="D227" s="4" t="s">
        <v>18</v>
      </c>
      <c r="E227" s="4"/>
      <c r="F227" s="4" t="n">
        <v>10</v>
      </c>
      <c r="G227" s="4" t="n">
        <v>385</v>
      </c>
      <c r="L227" s="1" t="str">
        <f aca="false">IF(ISNUMBER(SEARCH("Bundle",C227)),"Bundles",IF(ISNUMBER(SEARCH("Airtime",C227)),"Bundles",IF(ISNUMBER(SEARCH("Merchant",C227)),"Merchant Payment",IF(ISNUMBER(SEARCH("Offnet C2B",C227)),"Merchant Payment",IF(ISNUMBER(SEARCH("Offnet B2C",C227)),"Merchant Payment",IF(ISNUMBER(SEARCH("Customer Payment to Small",C227)),"Merchant Payment",IF(ISNUMBER(SEARCH("Payment to Small Business",C227)),"Merchant Payment",IF(ISNUMBER(SEARCH("Sent to",C227)),"Sent to Person",IF(ISNUMBER(SEARCH("Customer Transfer to",C227)),"Sent to Person",IF(ISNUMBER(SEARCH("Business Payment",C227)),"Money In",IF(ISNUMBER(SEARCH("Funds Received",C227)),"Money In",IF(ISNUMBER(SEARCH("Receive International",C227)),"Money In",IF(ISNUMBER(SEARCH("Send Money Reversal",C227)),"Money In",IF(ISNUMBER(SEARCH("Pay Utility Reversal",C227)),"Money In",IF(ISNUMBER(SEARCH("Customer Transfer",C227)),"Money In",IF(ISNUMBER(SEARCH("Ziidi",C227)),"Investment",IF(ISNUMBER(SEARCH("Nabo",C227)),"Investment",IF(ISNUMBER(SEARCH("Paybill Online",C227)),"Pay Bill",IF(ISNUMBER(SEARCH("Pay Bill",C227)),"Pay Bill",IF(ISNUMBER(SEARCH("Spotify",C227)),"Pay Bill",IF(ISNUMBER(SEARCH("M-Shwari",C227)),"Mshwari",IF(ISNUMBER(SEARCH("Mshwari",C227)),"Mshwari",IF(ISNUMBER(SEARCH("Withdrawal charge",C227)),"Fees",IF(ISNUMBER(SEARCH("Customer Withdrawal",C227)),"Fees",IF(ISNUMBER(SEARCH("charge",C227)),"Fees","Other")))))))))))))))))))))))))</f>
        <v>Bundles</v>
      </c>
      <c r="R227" s="1" t="str">
        <f aca="false">TEXT(B227,"MMM YYYY")</f>
        <v>Jan 2026</v>
      </c>
    </row>
    <row r="228" customFormat="false" ht="13.8" hidden="false" customHeight="false" outlineLevel="0" collapsed="false">
      <c r="A228" s="4" t="s">
        <v>503</v>
      </c>
      <c r="B228" s="4" t="s">
        <v>504</v>
      </c>
      <c r="C228" s="4" t="s">
        <v>29</v>
      </c>
      <c r="D228" s="4" t="s">
        <v>18</v>
      </c>
      <c r="E228" s="4"/>
      <c r="F228" s="4" t="n">
        <v>10</v>
      </c>
      <c r="G228" s="4" t="n">
        <v>375</v>
      </c>
      <c r="L228" s="1" t="str">
        <f aca="false">IF(ISNUMBER(SEARCH("Bundle",C228)),"Bundles",IF(ISNUMBER(SEARCH("Airtime",C228)),"Bundles",IF(ISNUMBER(SEARCH("Merchant",C228)),"Merchant Payment",IF(ISNUMBER(SEARCH("Offnet C2B",C228)),"Merchant Payment",IF(ISNUMBER(SEARCH("Offnet B2C",C228)),"Merchant Payment",IF(ISNUMBER(SEARCH("Customer Payment to Small",C228)),"Merchant Payment",IF(ISNUMBER(SEARCH("Payment to Small Business",C228)),"Merchant Payment",IF(ISNUMBER(SEARCH("Sent to",C228)),"Sent to Person",IF(ISNUMBER(SEARCH("Customer Transfer to",C228)),"Sent to Person",IF(ISNUMBER(SEARCH("Business Payment",C228)),"Money In",IF(ISNUMBER(SEARCH("Funds Received",C228)),"Money In",IF(ISNUMBER(SEARCH("Receive International",C228)),"Money In",IF(ISNUMBER(SEARCH("Send Money Reversal",C228)),"Money In",IF(ISNUMBER(SEARCH("Pay Utility Reversal",C228)),"Money In",IF(ISNUMBER(SEARCH("Customer Transfer",C228)),"Money In",IF(ISNUMBER(SEARCH("Ziidi",C228)),"Investment",IF(ISNUMBER(SEARCH("Nabo",C228)),"Investment",IF(ISNUMBER(SEARCH("Paybill Online",C228)),"Pay Bill",IF(ISNUMBER(SEARCH("Pay Bill",C228)),"Pay Bill",IF(ISNUMBER(SEARCH("Spotify",C228)),"Pay Bill",IF(ISNUMBER(SEARCH("M-Shwari",C228)),"Mshwari",IF(ISNUMBER(SEARCH("Mshwari",C228)),"Mshwari",IF(ISNUMBER(SEARCH("Withdrawal charge",C228)),"Fees",IF(ISNUMBER(SEARCH("Customer Withdrawal",C228)),"Fees",IF(ISNUMBER(SEARCH("charge",C228)),"Fees","Other")))))))))))))))))))))))))</f>
        <v>Bundles</v>
      </c>
      <c r="R228" s="1" t="str">
        <f aca="false">TEXT(B228,"MMM YYYY")</f>
        <v>Jan 2026</v>
      </c>
    </row>
    <row r="229" customFormat="false" ht="13.8" hidden="false" customHeight="false" outlineLevel="0" collapsed="false">
      <c r="A229" s="4" t="s">
        <v>505</v>
      </c>
      <c r="B229" s="4" t="s">
        <v>506</v>
      </c>
      <c r="C229" s="4" t="s">
        <v>29</v>
      </c>
      <c r="D229" s="4" t="s">
        <v>18</v>
      </c>
      <c r="E229" s="4"/>
      <c r="F229" s="4" t="n">
        <v>30</v>
      </c>
      <c r="G229" s="4" t="n">
        <v>345</v>
      </c>
      <c r="L229" s="1" t="str">
        <f aca="false">IF(ISNUMBER(SEARCH("Bundle",C229)),"Bundles",IF(ISNUMBER(SEARCH("Airtime",C229)),"Bundles",IF(ISNUMBER(SEARCH("Merchant",C229)),"Merchant Payment",IF(ISNUMBER(SEARCH("Offnet C2B",C229)),"Merchant Payment",IF(ISNUMBER(SEARCH("Offnet B2C",C229)),"Merchant Payment",IF(ISNUMBER(SEARCH("Customer Payment to Small",C229)),"Merchant Payment",IF(ISNUMBER(SEARCH("Payment to Small Business",C229)),"Merchant Payment",IF(ISNUMBER(SEARCH("Sent to",C229)),"Sent to Person",IF(ISNUMBER(SEARCH("Customer Transfer to",C229)),"Sent to Person",IF(ISNUMBER(SEARCH("Business Payment",C229)),"Money In",IF(ISNUMBER(SEARCH("Funds Received",C229)),"Money In",IF(ISNUMBER(SEARCH("Receive International",C229)),"Money In",IF(ISNUMBER(SEARCH("Send Money Reversal",C229)),"Money In",IF(ISNUMBER(SEARCH("Pay Utility Reversal",C229)),"Money In",IF(ISNUMBER(SEARCH("Customer Transfer",C229)),"Money In",IF(ISNUMBER(SEARCH("Ziidi",C229)),"Investment",IF(ISNUMBER(SEARCH("Nabo",C229)),"Investment",IF(ISNUMBER(SEARCH("Paybill Online",C229)),"Pay Bill",IF(ISNUMBER(SEARCH("Pay Bill",C229)),"Pay Bill",IF(ISNUMBER(SEARCH("Spotify",C229)),"Pay Bill",IF(ISNUMBER(SEARCH("M-Shwari",C229)),"Mshwari",IF(ISNUMBER(SEARCH("Mshwari",C229)),"Mshwari",IF(ISNUMBER(SEARCH("Withdrawal charge",C229)),"Fees",IF(ISNUMBER(SEARCH("Customer Withdrawal",C229)),"Fees",IF(ISNUMBER(SEARCH("charge",C229)),"Fees","Other")))))))))))))))))))))))))</f>
        <v>Bundles</v>
      </c>
      <c r="R229" s="1" t="str">
        <f aca="false">TEXT(B229,"MMM YYYY")</f>
        <v>Jan 2026</v>
      </c>
    </row>
    <row r="230" customFormat="false" ht="13.8" hidden="false" customHeight="false" outlineLevel="0" collapsed="false">
      <c r="A230" s="4" t="s">
        <v>507</v>
      </c>
      <c r="B230" s="4" t="s">
        <v>508</v>
      </c>
      <c r="C230" s="4" t="s">
        <v>29</v>
      </c>
      <c r="D230" s="4" t="s">
        <v>18</v>
      </c>
      <c r="E230" s="4"/>
      <c r="F230" s="4" t="n">
        <v>10</v>
      </c>
      <c r="G230" s="4" t="n">
        <v>335</v>
      </c>
      <c r="L230" s="1" t="str">
        <f aca="false">IF(ISNUMBER(SEARCH("Bundle",C230)),"Bundles",IF(ISNUMBER(SEARCH("Airtime",C230)),"Bundles",IF(ISNUMBER(SEARCH("Merchant",C230)),"Merchant Payment",IF(ISNUMBER(SEARCH("Offnet C2B",C230)),"Merchant Payment",IF(ISNUMBER(SEARCH("Offnet B2C",C230)),"Merchant Payment",IF(ISNUMBER(SEARCH("Customer Payment to Small",C230)),"Merchant Payment",IF(ISNUMBER(SEARCH("Payment to Small Business",C230)),"Merchant Payment",IF(ISNUMBER(SEARCH("Sent to",C230)),"Sent to Person",IF(ISNUMBER(SEARCH("Customer Transfer to",C230)),"Sent to Person",IF(ISNUMBER(SEARCH("Business Payment",C230)),"Money In",IF(ISNUMBER(SEARCH("Funds Received",C230)),"Money In",IF(ISNUMBER(SEARCH("Receive International",C230)),"Money In",IF(ISNUMBER(SEARCH("Send Money Reversal",C230)),"Money In",IF(ISNUMBER(SEARCH("Pay Utility Reversal",C230)),"Money In",IF(ISNUMBER(SEARCH("Customer Transfer",C230)),"Money In",IF(ISNUMBER(SEARCH("Ziidi",C230)),"Investment",IF(ISNUMBER(SEARCH("Nabo",C230)),"Investment",IF(ISNUMBER(SEARCH("Paybill Online",C230)),"Pay Bill",IF(ISNUMBER(SEARCH("Pay Bill",C230)),"Pay Bill",IF(ISNUMBER(SEARCH("Spotify",C230)),"Pay Bill",IF(ISNUMBER(SEARCH("M-Shwari",C230)),"Mshwari",IF(ISNUMBER(SEARCH("Mshwari",C230)),"Mshwari",IF(ISNUMBER(SEARCH("Withdrawal charge",C230)),"Fees",IF(ISNUMBER(SEARCH("Customer Withdrawal",C230)),"Fees",IF(ISNUMBER(SEARCH("charge",C230)),"Fees","Other")))))))))))))))))))))))))</f>
        <v>Bundles</v>
      </c>
      <c r="R230" s="1" t="str">
        <f aca="false">TEXT(B230,"MMM YYYY")</f>
        <v>Jan 2026</v>
      </c>
    </row>
    <row r="231" customFormat="false" ht="13.8" hidden="false" customHeight="false" outlineLevel="0" collapsed="false">
      <c r="A231" s="4" t="s">
        <v>509</v>
      </c>
      <c r="B231" s="4" t="s">
        <v>510</v>
      </c>
      <c r="C231" s="4" t="s">
        <v>29</v>
      </c>
      <c r="D231" s="4" t="s">
        <v>18</v>
      </c>
      <c r="E231" s="4"/>
      <c r="F231" s="4" t="n">
        <v>10</v>
      </c>
      <c r="G231" s="4" t="n">
        <v>325</v>
      </c>
      <c r="L231" s="1" t="str">
        <f aca="false">IF(ISNUMBER(SEARCH("Bundle",C231)),"Bundles",IF(ISNUMBER(SEARCH("Airtime",C231)),"Bundles",IF(ISNUMBER(SEARCH("Merchant",C231)),"Merchant Payment",IF(ISNUMBER(SEARCH("Offnet C2B",C231)),"Merchant Payment",IF(ISNUMBER(SEARCH("Offnet B2C",C231)),"Merchant Payment",IF(ISNUMBER(SEARCH("Customer Payment to Small",C231)),"Merchant Payment",IF(ISNUMBER(SEARCH("Payment to Small Business",C231)),"Merchant Payment",IF(ISNUMBER(SEARCH("Sent to",C231)),"Sent to Person",IF(ISNUMBER(SEARCH("Customer Transfer to",C231)),"Sent to Person",IF(ISNUMBER(SEARCH("Business Payment",C231)),"Money In",IF(ISNUMBER(SEARCH("Funds Received",C231)),"Money In",IF(ISNUMBER(SEARCH("Receive International",C231)),"Money In",IF(ISNUMBER(SEARCH("Send Money Reversal",C231)),"Money In",IF(ISNUMBER(SEARCH("Pay Utility Reversal",C231)),"Money In",IF(ISNUMBER(SEARCH("Customer Transfer",C231)),"Money In",IF(ISNUMBER(SEARCH("Ziidi",C231)),"Investment",IF(ISNUMBER(SEARCH("Nabo",C231)),"Investment",IF(ISNUMBER(SEARCH("Paybill Online",C231)),"Pay Bill",IF(ISNUMBER(SEARCH("Pay Bill",C231)),"Pay Bill",IF(ISNUMBER(SEARCH("Spotify",C231)),"Pay Bill",IF(ISNUMBER(SEARCH("M-Shwari",C231)),"Mshwari",IF(ISNUMBER(SEARCH("Mshwari",C231)),"Mshwari",IF(ISNUMBER(SEARCH("Withdrawal charge",C231)),"Fees",IF(ISNUMBER(SEARCH("Customer Withdrawal",C231)),"Fees",IF(ISNUMBER(SEARCH("charge",C231)),"Fees","Other")))))))))))))))))))))))))</f>
        <v>Bundles</v>
      </c>
      <c r="R231" s="1" t="str">
        <f aca="false">TEXT(B231,"MMM YYYY")</f>
        <v>Jan 2026</v>
      </c>
    </row>
    <row r="232" customFormat="false" ht="13.8" hidden="false" customHeight="false" outlineLevel="0" collapsed="false">
      <c r="A232" s="4" t="s">
        <v>511</v>
      </c>
      <c r="B232" s="4" t="s">
        <v>512</v>
      </c>
      <c r="C232" s="4" t="s">
        <v>29</v>
      </c>
      <c r="D232" s="4" t="s">
        <v>18</v>
      </c>
      <c r="E232" s="4"/>
      <c r="F232" s="4" t="n">
        <v>10</v>
      </c>
      <c r="G232" s="4" t="n">
        <v>315</v>
      </c>
      <c r="L232" s="1" t="str">
        <f aca="false">IF(ISNUMBER(SEARCH("Bundle",C232)),"Bundles",IF(ISNUMBER(SEARCH("Airtime",C232)),"Bundles",IF(ISNUMBER(SEARCH("Merchant",C232)),"Merchant Payment",IF(ISNUMBER(SEARCH("Offnet C2B",C232)),"Merchant Payment",IF(ISNUMBER(SEARCH("Offnet B2C",C232)),"Merchant Payment",IF(ISNUMBER(SEARCH("Customer Payment to Small",C232)),"Merchant Payment",IF(ISNUMBER(SEARCH("Payment to Small Business",C232)),"Merchant Payment",IF(ISNUMBER(SEARCH("Sent to",C232)),"Sent to Person",IF(ISNUMBER(SEARCH("Customer Transfer to",C232)),"Sent to Person",IF(ISNUMBER(SEARCH("Business Payment",C232)),"Money In",IF(ISNUMBER(SEARCH("Funds Received",C232)),"Money In",IF(ISNUMBER(SEARCH("Receive International",C232)),"Money In",IF(ISNUMBER(SEARCH("Send Money Reversal",C232)),"Money In",IF(ISNUMBER(SEARCH("Pay Utility Reversal",C232)),"Money In",IF(ISNUMBER(SEARCH("Customer Transfer",C232)),"Money In",IF(ISNUMBER(SEARCH("Ziidi",C232)),"Investment",IF(ISNUMBER(SEARCH("Nabo",C232)),"Investment",IF(ISNUMBER(SEARCH("Paybill Online",C232)),"Pay Bill",IF(ISNUMBER(SEARCH("Pay Bill",C232)),"Pay Bill",IF(ISNUMBER(SEARCH("Spotify",C232)),"Pay Bill",IF(ISNUMBER(SEARCH("M-Shwari",C232)),"Mshwari",IF(ISNUMBER(SEARCH("Mshwari",C232)),"Mshwari",IF(ISNUMBER(SEARCH("Withdrawal charge",C232)),"Fees",IF(ISNUMBER(SEARCH("Customer Withdrawal",C232)),"Fees",IF(ISNUMBER(SEARCH("charge",C232)),"Fees","Other")))))))))))))))))))))))))</f>
        <v>Bundles</v>
      </c>
      <c r="R232" s="1" t="str">
        <f aca="false">TEXT(B232,"MMM YYYY")</f>
        <v>Jan 2026</v>
      </c>
    </row>
    <row r="233" customFormat="false" ht="13.8" hidden="false" customHeight="false" outlineLevel="0" collapsed="false">
      <c r="A233" s="4" t="s">
        <v>513</v>
      </c>
      <c r="B233" s="4" t="s">
        <v>514</v>
      </c>
      <c r="C233" s="4" t="s">
        <v>29</v>
      </c>
      <c r="D233" s="4" t="s">
        <v>18</v>
      </c>
      <c r="E233" s="4"/>
      <c r="F233" s="4" t="n">
        <v>10</v>
      </c>
      <c r="G233" s="4" t="n">
        <v>305</v>
      </c>
      <c r="L233" s="1" t="str">
        <f aca="false">IF(ISNUMBER(SEARCH("Bundle",C233)),"Bundles",IF(ISNUMBER(SEARCH("Airtime",C233)),"Bundles",IF(ISNUMBER(SEARCH("Merchant",C233)),"Merchant Payment",IF(ISNUMBER(SEARCH("Offnet C2B",C233)),"Merchant Payment",IF(ISNUMBER(SEARCH("Offnet B2C",C233)),"Merchant Payment",IF(ISNUMBER(SEARCH("Customer Payment to Small",C233)),"Merchant Payment",IF(ISNUMBER(SEARCH("Payment to Small Business",C233)),"Merchant Payment",IF(ISNUMBER(SEARCH("Sent to",C233)),"Sent to Person",IF(ISNUMBER(SEARCH("Customer Transfer to",C233)),"Sent to Person",IF(ISNUMBER(SEARCH("Business Payment",C233)),"Money In",IF(ISNUMBER(SEARCH("Funds Received",C233)),"Money In",IF(ISNUMBER(SEARCH("Receive International",C233)),"Money In",IF(ISNUMBER(SEARCH("Send Money Reversal",C233)),"Money In",IF(ISNUMBER(SEARCH("Pay Utility Reversal",C233)),"Money In",IF(ISNUMBER(SEARCH("Customer Transfer",C233)),"Money In",IF(ISNUMBER(SEARCH("Ziidi",C233)),"Investment",IF(ISNUMBER(SEARCH("Nabo",C233)),"Investment",IF(ISNUMBER(SEARCH("Paybill Online",C233)),"Pay Bill",IF(ISNUMBER(SEARCH("Pay Bill",C233)),"Pay Bill",IF(ISNUMBER(SEARCH("Spotify",C233)),"Pay Bill",IF(ISNUMBER(SEARCH("M-Shwari",C233)),"Mshwari",IF(ISNUMBER(SEARCH("Mshwari",C233)),"Mshwari",IF(ISNUMBER(SEARCH("Withdrawal charge",C233)),"Fees",IF(ISNUMBER(SEARCH("Customer Withdrawal",C233)),"Fees",IF(ISNUMBER(SEARCH("charge",C233)),"Fees","Other")))))))))))))))))))))))))</f>
        <v>Bundles</v>
      </c>
      <c r="R233" s="1" t="str">
        <f aca="false">TEXT(B233,"MMM YYYY")</f>
        <v>Jan 2026</v>
      </c>
    </row>
    <row r="234" customFormat="false" ht="13.8" hidden="false" customHeight="false" outlineLevel="0" collapsed="false">
      <c r="A234" s="4" t="s">
        <v>515</v>
      </c>
      <c r="B234" s="4" t="s">
        <v>516</v>
      </c>
      <c r="C234" s="4" t="s">
        <v>29</v>
      </c>
      <c r="D234" s="4" t="s">
        <v>18</v>
      </c>
      <c r="E234" s="4"/>
      <c r="F234" s="4" t="n">
        <v>10</v>
      </c>
      <c r="G234" s="4" t="n">
        <v>295</v>
      </c>
      <c r="L234" s="1" t="str">
        <f aca="false">IF(ISNUMBER(SEARCH("Bundle",C234)),"Bundles",IF(ISNUMBER(SEARCH("Airtime",C234)),"Bundles",IF(ISNUMBER(SEARCH("Merchant",C234)),"Merchant Payment",IF(ISNUMBER(SEARCH("Offnet C2B",C234)),"Merchant Payment",IF(ISNUMBER(SEARCH("Offnet B2C",C234)),"Merchant Payment",IF(ISNUMBER(SEARCH("Customer Payment to Small",C234)),"Merchant Payment",IF(ISNUMBER(SEARCH("Payment to Small Business",C234)),"Merchant Payment",IF(ISNUMBER(SEARCH("Sent to",C234)),"Sent to Person",IF(ISNUMBER(SEARCH("Customer Transfer to",C234)),"Sent to Person",IF(ISNUMBER(SEARCH("Business Payment",C234)),"Money In",IF(ISNUMBER(SEARCH("Funds Received",C234)),"Money In",IF(ISNUMBER(SEARCH("Receive International",C234)),"Money In",IF(ISNUMBER(SEARCH("Send Money Reversal",C234)),"Money In",IF(ISNUMBER(SEARCH("Pay Utility Reversal",C234)),"Money In",IF(ISNUMBER(SEARCH("Customer Transfer",C234)),"Money In",IF(ISNUMBER(SEARCH("Ziidi",C234)),"Investment",IF(ISNUMBER(SEARCH("Nabo",C234)),"Investment",IF(ISNUMBER(SEARCH("Paybill Online",C234)),"Pay Bill",IF(ISNUMBER(SEARCH("Pay Bill",C234)),"Pay Bill",IF(ISNUMBER(SEARCH("Spotify",C234)),"Pay Bill",IF(ISNUMBER(SEARCH("M-Shwari",C234)),"Mshwari",IF(ISNUMBER(SEARCH("Mshwari",C234)),"Mshwari",IF(ISNUMBER(SEARCH("Withdrawal charge",C234)),"Fees",IF(ISNUMBER(SEARCH("Customer Withdrawal",C234)),"Fees",IF(ISNUMBER(SEARCH("charge",C234)),"Fees","Other")))))))))))))))))))))))))</f>
        <v>Bundles</v>
      </c>
      <c r="R234" s="1" t="str">
        <f aca="false">TEXT(B234,"MMM YYYY")</f>
        <v>Jan 2026</v>
      </c>
    </row>
    <row r="235" customFormat="false" ht="13.8" hidden="false" customHeight="false" outlineLevel="0" collapsed="false">
      <c r="A235" s="4" t="s">
        <v>517</v>
      </c>
      <c r="B235" s="4" t="s">
        <v>518</v>
      </c>
      <c r="C235" s="4" t="s">
        <v>29</v>
      </c>
      <c r="D235" s="4" t="s">
        <v>18</v>
      </c>
      <c r="E235" s="4"/>
      <c r="F235" s="4" t="n">
        <v>10</v>
      </c>
      <c r="G235" s="4" t="n">
        <v>285</v>
      </c>
      <c r="L235" s="1" t="str">
        <f aca="false">IF(ISNUMBER(SEARCH("Bundle",C235)),"Bundles",IF(ISNUMBER(SEARCH("Airtime",C235)),"Bundles",IF(ISNUMBER(SEARCH("Merchant",C235)),"Merchant Payment",IF(ISNUMBER(SEARCH("Offnet C2B",C235)),"Merchant Payment",IF(ISNUMBER(SEARCH("Offnet B2C",C235)),"Merchant Payment",IF(ISNUMBER(SEARCH("Customer Payment to Small",C235)),"Merchant Payment",IF(ISNUMBER(SEARCH("Payment to Small Business",C235)),"Merchant Payment",IF(ISNUMBER(SEARCH("Sent to",C235)),"Sent to Person",IF(ISNUMBER(SEARCH("Customer Transfer to",C235)),"Sent to Person",IF(ISNUMBER(SEARCH("Business Payment",C235)),"Money In",IF(ISNUMBER(SEARCH("Funds Received",C235)),"Money In",IF(ISNUMBER(SEARCH("Receive International",C235)),"Money In",IF(ISNUMBER(SEARCH("Send Money Reversal",C235)),"Money In",IF(ISNUMBER(SEARCH("Pay Utility Reversal",C235)),"Money In",IF(ISNUMBER(SEARCH("Customer Transfer",C235)),"Money In",IF(ISNUMBER(SEARCH("Ziidi",C235)),"Investment",IF(ISNUMBER(SEARCH("Nabo",C235)),"Investment",IF(ISNUMBER(SEARCH("Paybill Online",C235)),"Pay Bill",IF(ISNUMBER(SEARCH("Pay Bill",C235)),"Pay Bill",IF(ISNUMBER(SEARCH("Spotify",C235)),"Pay Bill",IF(ISNUMBER(SEARCH("M-Shwari",C235)),"Mshwari",IF(ISNUMBER(SEARCH("Mshwari",C235)),"Mshwari",IF(ISNUMBER(SEARCH("Withdrawal charge",C235)),"Fees",IF(ISNUMBER(SEARCH("Customer Withdrawal",C235)),"Fees",IF(ISNUMBER(SEARCH("charge",C235)),"Fees","Other")))))))))))))))))))))))))</f>
        <v>Bundles</v>
      </c>
      <c r="R235" s="1" t="str">
        <f aca="false">TEXT(B235,"MMM YYYY")</f>
        <v>Jan 2026</v>
      </c>
    </row>
    <row r="236" customFormat="false" ht="13.8" hidden="false" customHeight="false" outlineLevel="0" collapsed="false">
      <c r="A236" s="4" t="s">
        <v>519</v>
      </c>
      <c r="B236" s="4" t="s">
        <v>520</v>
      </c>
      <c r="C236" s="4" t="s">
        <v>177</v>
      </c>
      <c r="D236" s="4" t="s">
        <v>18</v>
      </c>
      <c r="E236" s="4" t="n">
        <v>300</v>
      </c>
      <c r="F236" s="4"/>
      <c r="G236" s="4" t="n">
        <v>585</v>
      </c>
      <c r="L236" s="1" t="str">
        <f aca="false">IF(ISNUMBER(SEARCH("Bundle",C236)),"Bundles",IF(ISNUMBER(SEARCH("Airtime",C236)),"Bundles",IF(ISNUMBER(SEARCH("Merchant",C236)),"Merchant Payment",IF(ISNUMBER(SEARCH("Offnet C2B",C236)),"Merchant Payment",IF(ISNUMBER(SEARCH("Offnet B2C",C236)),"Merchant Payment",IF(ISNUMBER(SEARCH("Customer Payment to Small",C236)),"Merchant Payment",IF(ISNUMBER(SEARCH("Payment to Small Business",C236)),"Merchant Payment",IF(ISNUMBER(SEARCH("Sent to",C236)),"Sent to Person",IF(ISNUMBER(SEARCH("Customer Transfer to",C236)),"Sent to Person",IF(ISNUMBER(SEARCH("Business Payment",C236)),"Money In",IF(ISNUMBER(SEARCH("Funds Received",C236)),"Money In",IF(ISNUMBER(SEARCH("Receive International",C236)),"Money In",IF(ISNUMBER(SEARCH("Send Money Reversal",C236)),"Money In",IF(ISNUMBER(SEARCH("Pay Utility Reversal",C236)),"Money In",IF(ISNUMBER(SEARCH("Customer Transfer",C236)),"Money In",IF(ISNUMBER(SEARCH("Ziidi",C236)),"Investment",IF(ISNUMBER(SEARCH("Nabo",C236)),"Investment",IF(ISNUMBER(SEARCH("Paybill Online",C236)),"Pay Bill",IF(ISNUMBER(SEARCH("Pay Bill",C236)),"Pay Bill",IF(ISNUMBER(SEARCH("Spotify",C236)),"Pay Bill",IF(ISNUMBER(SEARCH("M-Shwari",C236)),"Mshwari",IF(ISNUMBER(SEARCH("Mshwari",C236)),"Mshwari",IF(ISNUMBER(SEARCH("Withdrawal charge",C236)),"Fees",IF(ISNUMBER(SEARCH("Customer Withdrawal",C236)),"Fees",IF(ISNUMBER(SEARCH("charge",C236)),"Fees","Other")))))))))))))))))))))))))</f>
        <v>Money In</v>
      </c>
      <c r="R236" s="1" t="str">
        <f aca="false">TEXT(B236,"MMM YYYY")</f>
        <v>Jan 2026</v>
      </c>
    </row>
    <row r="237" customFormat="false" ht="13.8" hidden="false" customHeight="false" outlineLevel="0" collapsed="false">
      <c r="A237" s="4" t="s">
        <v>521</v>
      </c>
      <c r="B237" s="4" t="s">
        <v>522</v>
      </c>
      <c r="C237" s="4" t="s">
        <v>17</v>
      </c>
      <c r="D237" s="4" t="s">
        <v>18</v>
      </c>
      <c r="E237" s="4"/>
      <c r="F237" s="4" t="n">
        <v>20</v>
      </c>
      <c r="G237" s="4" t="n">
        <v>565</v>
      </c>
      <c r="L237" s="1" t="str">
        <f aca="false">IF(ISNUMBER(SEARCH("Bundle",C237)),"Bundles",IF(ISNUMBER(SEARCH("Airtime",C237)),"Bundles",IF(ISNUMBER(SEARCH("Merchant",C237)),"Merchant Payment",IF(ISNUMBER(SEARCH("Offnet C2B",C237)),"Merchant Payment",IF(ISNUMBER(SEARCH("Offnet B2C",C237)),"Merchant Payment",IF(ISNUMBER(SEARCH("Customer Payment to Small",C237)),"Merchant Payment",IF(ISNUMBER(SEARCH("Payment to Small Business",C237)),"Merchant Payment",IF(ISNUMBER(SEARCH("Sent to",C237)),"Sent to Person",IF(ISNUMBER(SEARCH("Customer Transfer to",C237)),"Sent to Person",IF(ISNUMBER(SEARCH("Business Payment",C237)),"Money In",IF(ISNUMBER(SEARCH("Funds Received",C237)),"Money In",IF(ISNUMBER(SEARCH("Receive International",C237)),"Money In",IF(ISNUMBER(SEARCH("Send Money Reversal",C237)),"Money In",IF(ISNUMBER(SEARCH("Pay Utility Reversal",C237)),"Money In",IF(ISNUMBER(SEARCH("Customer Transfer",C237)),"Money In",IF(ISNUMBER(SEARCH("Ziidi",C237)),"Investment",IF(ISNUMBER(SEARCH("Nabo",C237)),"Investment",IF(ISNUMBER(SEARCH("Paybill Online",C237)),"Pay Bill",IF(ISNUMBER(SEARCH("Pay Bill",C237)),"Pay Bill",IF(ISNUMBER(SEARCH("Spotify",C237)),"Pay Bill",IF(ISNUMBER(SEARCH("M-Shwari",C237)),"Mshwari",IF(ISNUMBER(SEARCH("Mshwari",C237)),"Mshwari",IF(ISNUMBER(SEARCH("Withdrawal charge",C237)),"Fees",IF(ISNUMBER(SEARCH("Customer Withdrawal",C237)),"Fees",IF(ISNUMBER(SEARCH("charge",C237)),"Fees","Other")))))))))))))))))))))))))</f>
        <v>Bundles</v>
      </c>
      <c r="R237" s="1" t="str">
        <f aca="false">TEXT(B237,"MMM YYYY")</f>
        <v>Jan 2026</v>
      </c>
    </row>
    <row r="238" customFormat="false" ht="13.8" hidden="false" customHeight="false" outlineLevel="0" collapsed="false">
      <c r="A238" s="4" t="s">
        <v>523</v>
      </c>
      <c r="B238" s="4" t="s">
        <v>524</v>
      </c>
      <c r="C238" s="4" t="s">
        <v>177</v>
      </c>
      <c r="D238" s="4" t="s">
        <v>18</v>
      </c>
      <c r="E238" s="4" t="n">
        <v>5000</v>
      </c>
      <c r="F238" s="4"/>
      <c r="G238" s="4" t="n">
        <v>5565</v>
      </c>
      <c r="L238" s="1" t="str">
        <f aca="false">IF(ISNUMBER(SEARCH("Bundle",C238)),"Bundles",IF(ISNUMBER(SEARCH("Airtime",C238)),"Bundles",IF(ISNUMBER(SEARCH("Merchant",C238)),"Merchant Payment",IF(ISNUMBER(SEARCH("Offnet C2B",C238)),"Merchant Payment",IF(ISNUMBER(SEARCH("Offnet B2C",C238)),"Merchant Payment",IF(ISNUMBER(SEARCH("Customer Payment to Small",C238)),"Merchant Payment",IF(ISNUMBER(SEARCH("Payment to Small Business",C238)),"Merchant Payment",IF(ISNUMBER(SEARCH("Sent to",C238)),"Sent to Person",IF(ISNUMBER(SEARCH("Customer Transfer to",C238)),"Sent to Person",IF(ISNUMBER(SEARCH("Business Payment",C238)),"Money In",IF(ISNUMBER(SEARCH("Funds Received",C238)),"Money In",IF(ISNUMBER(SEARCH("Receive International",C238)),"Money In",IF(ISNUMBER(SEARCH("Send Money Reversal",C238)),"Money In",IF(ISNUMBER(SEARCH("Pay Utility Reversal",C238)),"Money In",IF(ISNUMBER(SEARCH("Customer Transfer",C238)),"Money In",IF(ISNUMBER(SEARCH("Ziidi",C238)),"Investment",IF(ISNUMBER(SEARCH("Nabo",C238)),"Investment",IF(ISNUMBER(SEARCH("Paybill Online",C238)),"Pay Bill",IF(ISNUMBER(SEARCH("Pay Bill",C238)),"Pay Bill",IF(ISNUMBER(SEARCH("Spotify",C238)),"Pay Bill",IF(ISNUMBER(SEARCH("M-Shwari",C238)),"Mshwari",IF(ISNUMBER(SEARCH("Mshwari",C238)),"Mshwari",IF(ISNUMBER(SEARCH("Withdrawal charge",C238)),"Fees",IF(ISNUMBER(SEARCH("Customer Withdrawal",C238)),"Fees",IF(ISNUMBER(SEARCH("charge",C238)),"Fees","Other")))))))))))))))))))))))))</f>
        <v>Money In</v>
      </c>
      <c r="R238" s="1" t="str">
        <f aca="false">TEXT(B238,"MMM YYYY")</f>
        <v>Jan 2026</v>
      </c>
    </row>
    <row r="239" customFormat="false" ht="13.8" hidden="false" customHeight="false" outlineLevel="0" collapsed="false">
      <c r="A239" s="4" t="s">
        <v>525</v>
      </c>
      <c r="B239" s="4" t="s">
        <v>526</v>
      </c>
      <c r="C239" s="4" t="s">
        <v>29</v>
      </c>
      <c r="D239" s="4" t="s">
        <v>18</v>
      </c>
      <c r="E239" s="4"/>
      <c r="F239" s="4" t="n">
        <v>10</v>
      </c>
      <c r="G239" s="4" t="n">
        <v>5555</v>
      </c>
      <c r="L239" s="1" t="str">
        <f aca="false">IF(ISNUMBER(SEARCH("Bundle",C239)),"Bundles",IF(ISNUMBER(SEARCH("Airtime",C239)),"Bundles",IF(ISNUMBER(SEARCH("Merchant",C239)),"Merchant Payment",IF(ISNUMBER(SEARCH("Offnet C2B",C239)),"Merchant Payment",IF(ISNUMBER(SEARCH("Offnet B2C",C239)),"Merchant Payment",IF(ISNUMBER(SEARCH("Customer Payment to Small",C239)),"Merchant Payment",IF(ISNUMBER(SEARCH("Payment to Small Business",C239)),"Merchant Payment",IF(ISNUMBER(SEARCH("Sent to",C239)),"Sent to Person",IF(ISNUMBER(SEARCH("Customer Transfer to",C239)),"Sent to Person",IF(ISNUMBER(SEARCH("Business Payment",C239)),"Money In",IF(ISNUMBER(SEARCH("Funds Received",C239)),"Money In",IF(ISNUMBER(SEARCH("Receive International",C239)),"Money In",IF(ISNUMBER(SEARCH("Send Money Reversal",C239)),"Money In",IF(ISNUMBER(SEARCH("Pay Utility Reversal",C239)),"Money In",IF(ISNUMBER(SEARCH("Customer Transfer",C239)),"Money In",IF(ISNUMBER(SEARCH("Ziidi",C239)),"Investment",IF(ISNUMBER(SEARCH("Nabo",C239)),"Investment",IF(ISNUMBER(SEARCH("Paybill Online",C239)),"Pay Bill",IF(ISNUMBER(SEARCH("Pay Bill",C239)),"Pay Bill",IF(ISNUMBER(SEARCH("Spotify",C239)),"Pay Bill",IF(ISNUMBER(SEARCH("M-Shwari",C239)),"Mshwari",IF(ISNUMBER(SEARCH("Mshwari",C239)),"Mshwari",IF(ISNUMBER(SEARCH("Withdrawal charge",C239)),"Fees",IF(ISNUMBER(SEARCH("Customer Withdrawal",C239)),"Fees",IF(ISNUMBER(SEARCH("charge",C239)),"Fees","Other")))))))))))))))))))))))))</f>
        <v>Bundles</v>
      </c>
      <c r="R239" s="1" t="str">
        <f aca="false">TEXT(B239,"MMM YYYY")</f>
        <v>Jan 2026</v>
      </c>
    </row>
    <row r="240" customFormat="false" ht="13.8" hidden="false" customHeight="false" outlineLevel="0" collapsed="false">
      <c r="A240" s="4" t="s">
        <v>527</v>
      </c>
      <c r="B240" s="4" t="s">
        <v>528</v>
      </c>
      <c r="C240" s="4" t="s">
        <v>182</v>
      </c>
      <c r="D240" s="4" t="s">
        <v>18</v>
      </c>
      <c r="E240" s="4"/>
      <c r="F240" s="4" t="n">
        <v>20</v>
      </c>
      <c r="G240" s="4" t="n">
        <v>3535</v>
      </c>
      <c r="L240" s="1" t="str">
        <f aca="false">IF(ISNUMBER(SEARCH("Bundle",C240)),"Bundles",IF(ISNUMBER(SEARCH("Airtime",C240)),"Bundles",IF(ISNUMBER(SEARCH("Merchant",C240)),"Merchant Payment",IF(ISNUMBER(SEARCH("Offnet C2B",C240)),"Merchant Payment",IF(ISNUMBER(SEARCH("Offnet B2C",C240)),"Merchant Payment",IF(ISNUMBER(SEARCH("Customer Payment to Small",C240)),"Merchant Payment",IF(ISNUMBER(SEARCH("Payment to Small Business",C240)),"Merchant Payment",IF(ISNUMBER(SEARCH("Sent to",C240)),"Sent to Person",IF(ISNUMBER(SEARCH("Customer Transfer to",C240)),"Sent to Person",IF(ISNUMBER(SEARCH("Business Payment",C240)),"Money In",IF(ISNUMBER(SEARCH("Funds Received",C240)),"Money In",IF(ISNUMBER(SEARCH("Receive International",C240)),"Money In",IF(ISNUMBER(SEARCH("Send Money Reversal",C240)),"Money In",IF(ISNUMBER(SEARCH("Pay Utility Reversal",C240)),"Money In",IF(ISNUMBER(SEARCH("Customer Transfer",C240)),"Money In",IF(ISNUMBER(SEARCH("Ziidi",C240)),"Investment",IF(ISNUMBER(SEARCH("Nabo",C240)),"Investment",IF(ISNUMBER(SEARCH("Paybill Online",C240)),"Pay Bill",IF(ISNUMBER(SEARCH("Pay Bill",C240)),"Pay Bill",IF(ISNUMBER(SEARCH("Spotify",C240)),"Pay Bill",IF(ISNUMBER(SEARCH("M-Shwari",C240)),"Mshwari",IF(ISNUMBER(SEARCH("Mshwari",C240)),"Mshwari",IF(ISNUMBER(SEARCH("Withdrawal charge",C240)),"Fees",IF(ISNUMBER(SEARCH("Customer Withdrawal",C240)),"Fees",IF(ISNUMBER(SEARCH("charge",C240)),"Fees","Other")))))))))))))))))))))))))</f>
        <v>Pay Bill</v>
      </c>
      <c r="R240" s="1" t="str">
        <f aca="false">TEXT(B240,"MMM YYYY")</f>
        <v>Jan 2026</v>
      </c>
    </row>
    <row r="241" customFormat="false" ht="13.8" hidden="false" customHeight="false" outlineLevel="0" collapsed="false">
      <c r="A241" s="4" t="s">
        <v>527</v>
      </c>
      <c r="B241" s="4" t="s">
        <v>528</v>
      </c>
      <c r="C241" s="4" t="s">
        <v>217</v>
      </c>
      <c r="D241" s="4" t="s">
        <v>18</v>
      </c>
      <c r="E241" s="4"/>
      <c r="F241" s="4" t="n">
        <v>2000</v>
      </c>
      <c r="G241" s="4" t="n">
        <v>3555</v>
      </c>
      <c r="L241" s="1" t="str">
        <f aca="false">IF(ISNUMBER(SEARCH("Bundle",C241)),"Bundles",IF(ISNUMBER(SEARCH("Airtime",C241)),"Bundles",IF(ISNUMBER(SEARCH("Merchant",C241)),"Merchant Payment",IF(ISNUMBER(SEARCH("Offnet C2B",C241)),"Merchant Payment",IF(ISNUMBER(SEARCH("Offnet B2C",C241)),"Merchant Payment",IF(ISNUMBER(SEARCH("Customer Payment to Small",C241)),"Merchant Payment",IF(ISNUMBER(SEARCH("Payment to Small Business",C241)),"Merchant Payment",IF(ISNUMBER(SEARCH("Sent to",C241)),"Sent to Person",IF(ISNUMBER(SEARCH("Customer Transfer to",C241)),"Sent to Person",IF(ISNUMBER(SEARCH("Business Payment",C241)),"Money In",IF(ISNUMBER(SEARCH("Funds Received",C241)),"Money In",IF(ISNUMBER(SEARCH("Receive International",C241)),"Money In",IF(ISNUMBER(SEARCH("Send Money Reversal",C241)),"Money In",IF(ISNUMBER(SEARCH("Pay Utility Reversal",C241)),"Money In",IF(ISNUMBER(SEARCH("Customer Transfer",C241)),"Money In",IF(ISNUMBER(SEARCH("Ziidi",C241)),"Investment",IF(ISNUMBER(SEARCH("Nabo",C241)),"Investment",IF(ISNUMBER(SEARCH("Paybill Online",C241)),"Pay Bill",IF(ISNUMBER(SEARCH("Pay Bill",C241)),"Pay Bill",IF(ISNUMBER(SEARCH("Spotify",C241)),"Pay Bill",IF(ISNUMBER(SEARCH("M-Shwari",C241)),"Mshwari",IF(ISNUMBER(SEARCH("Mshwari",C241)),"Mshwari",IF(ISNUMBER(SEARCH("Withdrawal charge",C241)),"Fees",IF(ISNUMBER(SEARCH("Customer Withdrawal",C241)),"Fees",IF(ISNUMBER(SEARCH("charge",C241)),"Fees","Other")))))))))))))))))))))))))</f>
        <v>Investment</v>
      </c>
      <c r="R241" s="1" t="str">
        <f aca="false">TEXT(B241,"MMM YYYY")</f>
        <v>Jan 2026</v>
      </c>
    </row>
    <row r="242" customFormat="false" ht="13.8" hidden="false" customHeight="false" outlineLevel="0" collapsed="false">
      <c r="A242" s="4" t="s">
        <v>529</v>
      </c>
      <c r="B242" s="4" t="s">
        <v>530</v>
      </c>
      <c r="C242" s="4" t="s">
        <v>430</v>
      </c>
      <c r="D242" s="4" t="s">
        <v>18</v>
      </c>
      <c r="E242" s="4" t="n">
        <v>3000</v>
      </c>
      <c r="F242" s="4"/>
      <c r="G242" s="4" t="n">
        <v>6535</v>
      </c>
      <c r="L242" s="1" t="str">
        <f aca="false">IF(ISNUMBER(SEARCH("Bundle",C242)),"Bundles",IF(ISNUMBER(SEARCH("Airtime",C242)),"Bundles",IF(ISNUMBER(SEARCH("Merchant",C242)),"Merchant Payment",IF(ISNUMBER(SEARCH("Offnet C2B",C242)),"Merchant Payment",IF(ISNUMBER(SEARCH("Offnet B2C",C242)),"Merchant Payment",IF(ISNUMBER(SEARCH("Customer Payment to Small",C242)),"Merchant Payment",IF(ISNUMBER(SEARCH("Payment to Small Business",C242)),"Merchant Payment",IF(ISNUMBER(SEARCH("Sent to",C242)),"Sent to Person",IF(ISNUMBER(SEARCH("Customer Transfer to",C242)),"Sent to Person",IF(ISNUMBER(SEARCH("Business Payment",C242)),"Money In",IF(ISNUMBER(SEARCH("Funds Received",C242)),"Money In",IF(ISNUMBER(SEARCH("Receive International",C242)),"Money In",IF(ISNUMBER(SEARCH("Send Money Reversal",C242)),"Money In",IF(ISNUMBER(SEARCH("Pay Utility Reversal",C242)),"Money In",IF(ISNUMBER(SEARCH("Customer Transfer",C242)),"Money In",IF(ISNUMBER(SEARCH("Ziidi",C242)),"Investment",IF(ISNUMBER(SEARCH("Nabo",C242)),"Investment",IF(ISNUMBER(SEARCH("Paybill Online",C242)),"Pay Bill",IF(ISNUMBER(SEARCH("Pay Bill",C242)),"Pay Bill",IF(ISNUMBER(SEARCH("Spotify",C242)),"Pay Bill",IF(ISNUMBER(SEARCH("M-Shwari",C242)),"Mshwari",IF(ISNUMBER(SEARCH("Mshwari",C242)),"Mshwari",IF(ISNUMBER(SEARCH("Withdrawal charge",C242)),"Fees",IF(ISNUMBER(SEARCH("Customer Withdrawal",C242)),"Fees",IF(ISNUMBER(SEARCH("charge",C242)),"Fees","Other")))))))))))))))))))))))))</f>
        <v>Money In</v>
      </c>
      <c r="R242" s="1" t="str">
        <f aca="false">TEXT(B242,"MMM YYYY")</f>
        <v>Jan 2026</v>
      </c>
    </row>
    <row r="243" customFormat="false" ht="13.8" hidden="false" customHeight="false" outlineLevel="0" collapsed="false">
      <c r="A243" s="4" t="s">
        <v>531</v>
      </c>
      <c r="B243" s="4" t="s">
        <v>532</v>
      </c>
      <c r="C243" s="4" t="s">
        <v>29</v>
      </c>
      <c r="D243" s="4" t="s">
        <v>18</v>
      </c>
      <c r="E243" s="4"/>
      <c r="F243" s="4" t="n">
        <v>10</v>
      </c>
      <c r="G243" s="4" t="n">
        <v>6525</v>
      </c>
      <c r="L243" s="1" t="str">
        <f aca="false">IF(ISNUMBER(SEARCH("Bundle",C243)),"Bundles",IF(ISNUMBER(SEARCH("Airtime",C243)),"Bundles",IF(ISNUMBER(SEARCH("Merchant",C243)),"Merchant Payment",IF(ISNUMBER(SEARCH("Offnet C2B",C243)),"Merchant Payment",IF(ISNUMBER(SEARCH("Offnet B2C",C243)),"Merchant Payment",IF(ISNUMBER(SEARCH("Customer Payment to Small",C243)),"Merchant Payment",IF(ISNUMBER(SEARCH("Payment to Small Business",C243)),"Merchant Payment",IF(ISNUMBER(SEARCH("Sent to",C243)),"Sent to Person",IF(ISNUMBER(SEARCH("Customer Transfer to",C243)),"Sent to Person",IF(ISNUMBER(SEARCH("Business Payment",C243)),"Money In",IF(ISNUMBER(SEARCH("Funds Received",C243)),"Money In",IF(ISNUMBER(SEARCH("Receive International",C243)),"Money In",IF(ISNUMBER(SEARCH("Send Money Reversal",C243)),"Money In",IF(ISNUMBER(SEARCH("Pay Utility Reversal",C243)),"Money In",IF(ISNUMBER(SEARCH("Customer Transfer",C243)),"Money In",IF(ISNUMBER(SEARCH("Ziidi",C243)),"Investment",IF(ISNUMBER(SEARCH("Nabo",C243)),"Investment",IF(ISNUMBER(SEARCH("Paybill Online",C243)),"Pay Bill",IF(ISNUMBER(SEARCH("Pay Bill",C243)),"Pay Bill",IF(ISNUMBER(SEARCH("Spotify",C243)),"Pay Bill",IF(ISNUMBER(SEARCH("M-Shwari",C243)),"Mshwari",IF(ISNUMBER(SEARCH("Mshwari",C243)),"Mshwari",IF(ISNUMBER(SEARCH("Withdrawal charge",C243)),"Fees",IF(ISNUMBER(SEARCH("Customer Withdrawal",C243)),"Fees",IF(ISNUMBER(SEARCH("charge",C243)),"Fees","Other")))))))))))))))))))))))))</f>
        <v>Bundles</v>
      </c>
      <c r="R243" s="1" t="str">
        <f aca="false">TEXT(B243,"MMM YYYY")</f>
        <v>Jan 2026</v>
      </c>
    </row>
    <row r="244" customFormat="false" ht="13.8" hidden="false" customHeight="false" outlineLevel="0" collapsed="false">
      <c r="A244" s="4" t="s">
        <v>533</v>
      </c>
      <c r="B244" s="4" t="s">
        <v>534</v>
      </c>
      <c r="C244" s="4" t="s">
        <v>29</v>
      </c>
      <c r="D244" s="4" t="s">
        <v>18</v>
      </c>
      <c r="E244" s="4"/>
      <c r="F244" s="4" t="n">
        <v>10</v>
      </c>
      <c r="G244" s="4" t="n">
        <v>6515</v>
      </c>
      <c r="L244" s="1" t="str">
        <f aca="false">IF(ISNUMBER(SEARCH("Bundle",C244)),"Bundles",IF(ISNUMBER(SEARCH("Airtime",C244)),"Bundles",IF(ISNUMBER(SEARCH("Merchant",C244)),"Merchant Payment",IF(ISNUMBER(SEARCH("Offnet C2B",C244)),"Merchant Payment",IF(ISNUMBER(SEARCH("Offnet B2C",C244)),"Merchant Payment",IF(ISNUMBER(SEARCH("Customer Payment to Small",C244)),"Merchant Payment",IF(ISNUMBER(SEARCH("Payment to Small Business",C244)),"Merchant Payment",IF(ISNUMBER(SEARCH("Sent to",C244)),"Sent to Person",IF(ISNUMBER(SEARCH("Customer Transfer to",C244)),"Sent to Person",IF(ISNUMBER(SEARCH("Business Payment",C244)),"Money In",IF(ISNUMBER(SEARCH("Funds Received",C244)),"Money In",IF(ISNUMBER(SEARCH("Receive International",C244)),"Money In",IF(ISNUMBER(SEARCH("Send Money Reversal",C244)),"Money In",IF(ISNUMBER(SEARCH("Pay Utility Reversal",C244)),"Money In",IF(ISNUMBER(SEARCH("Customer Transfer",C244)),"Money In",IF(ISNUMBER(SEARCH("Ziidi",C244)),"Investment",IF(ISNUMBER(SEARCH("Nabo",C244)),"Investment",IF(ISNUMBER(SEARCH("Paybill Online",C244)),"Pay Bill",IF(ISNUMBER(SEARCH("Pay Bill",C244)),"Pay Bill",IF(ISNUMBER(SEARCH("Spotify",C244)),"Pay Bill",IF(ISNUMBER(SEARCH("M-Shwari",C244)),"Mshwari",IF(ISNUMBER(SEARCH("Mshwari",C244)),"Mshwari",IF(ISNUMBER(SEARCH("Withdrawal charge",C244)),"Fees",IF(ISNUMBER(SEARCH("Customer Withdrawal",C244)),"Fees",IF(ISNUMBER(SEARCH("charge",C244)),"Fees","Other")))))))))))))))))))))))))</f>
        <v>Bundles</v>
      </c>
      <c r="R244" s="1" t="str">
        <f aca="false">TEXT(B244,"MMM YYYY")</f>
        <v>Jan 2026</v>
      </c>
    </row>
    <row r="245" customFormat="false" ht="13.8" hidden="false" customHeight="false" outlineLevel="0" collapsed="false">
      <c r="A245" s="4" t="s">
        <v>535</v>
      </c>
      <c r="B245" s="4" t="s">
        <v>536</v>
      </c>
      <c r="C245" s="4" t="s">
        <v>29</v>
      </c>
      <c r="D245" s="4" t="s">
        <v>18</v>
      </c>
      <c r="E245" s="4"/>
      <c r="F245" s="4" t="n">
        <v>10</v>
      </c>
      <c r="G245" s="4" t="n">
        <v>6505</v>
      </c>
      <c r="L245" s="1" t="str">
        <f aca="false">IF(ISNUMBER(SEARCH("Bundle",C245)),"Bundles",IF(ISNUMBER(SEARCH("Airtime",C245)),"Bundles",IF(ISNUMBER(SEARCH("Merchant",C245)),"Merchant Payment",IF(ISNUMBER(SEARCH("Offnet C2B",C245)),"Merchant Payment",IF(ISNUMBER(SEARCH("Offnet B2C",C245)),"Merchant Payment",IF(ISNUMBER(SEARCH("Customer Payment to Small",C245)),"Merchant Payment",IF(ISNUMBER(SEARCH("Payment to Small Business",C245)),"Merchant Payment",IF(ISNUMBER(SEARCH("Sent to",C245)),"Sent to Person",IF(ISNUMBER(SEARCH("Customer Transfer to",C245)),"Sent to Person",IF(ISNUMBER(SEARCH("Business Payment",C245)),"Money In",IF(ISNUMBER(SEARCH("Funds Received",C245)),"Money In",IF(ISNUMBER(SEARCH("Receive International",C245)),"Money In",IF(ISNUMBER(SEARCH("Send Money Reversal",C245)),"Money In",IF(ISNUMBER(SEARCH("Pay Utility Reversal",C245)),"Money In",IF(ISNUMBER(SEARCH("Customer Transfer",C245)),"Money In",IF(ISNUMBER(SEARCH("Ziidi",C245)),"Investment",IF(ISNUMBER(SEARCH("Nabo",C245)),"Investment",IF(ISNUMBER(SEARCH("Paybill Online",C245)),"Pay Bill",IF(ISNUMBER(SEARCH("Pay Bill",C245)),"Pay Bill",IF(ISNUMBER(SEARCH("Spotify",C245)),"Pay Bill",IF(ISNUMBER(SEARCH("M-Shwari",C245)),"Mshwari",IF(ISNUMBER(SEARCH("Mshwari",C245)),"Mshwari",IF(ISNUMBER(SEARCH("Withdrawal charge",C245)),"Fees",IF(ISNUMBER(SEARCH("Customer Withdrawal",C245)),"Fees",IF(ISNUMBER(SEARCH("charge",C245)),"Fees","Other")))))))))))))))))))))))))</f>
        <v>Bundles</v>
      </c>
      <c r="R245" s="1" t="str">
        <f aca="false">TEXT(B245,"MMM YYYY")</f>
        <v>Jan 2026</v>
      </c>
    </row>
    <row r="246" customFormat="false" ht="13.8" hidden="false" customHeight="false" outlineLevel="0" collapsed="false">
      <c r="A246" s="4" t="s">
        <v>537</v>
      </c>
      <c r="B246" s="4" t="s">
        <v>538</v>
      </c>
      <c r="C246" s="4" t="s">
        <v>29</v>
      </c>
      <c r="D246" s="4" t="s">
        <v>18</v>
      </c>
      <c r="E246" s="4"/>
      <c r="F246" s="4" t="n">
        <v>10</v>
      </c>
      <c r="G246" s="4" t="n">
        <v>6495</v>
      </c>
      <c r="L246" s="1" t="str">
        <f aca="false">IF(ISNUMBER(SEARCH("Bundle",C246)),"Bundles",IF(ISNUMBER(SEARCH("Airtime",C246)),"Bundles",IF(ISNUMBER(SEARCH("Merchant",C246)),"Merchant Payment",IF(ISNUMBER(SEARCH("Offnet C2B",C246)),"Merchant Payment",IF(ISNUMBER(SEARCH("Offnet B2C",C246)),"Merchant Payment",IF(ISNUMBER(SEARCH("Customer Payment to Small",C246)),"Merchant Payment",IF(ISNUMBER(SEARCH("Payment to Small Business",C246)),"Merchant Payment",IF(ISNUMBER(SEARCH("Sent to",C246)),"Sent to Person",IF(ISNUMBER(SEARCH("Customer Transfer to",C246)),"Sent to Person",IF(ISNUMBER(SEARCH("Business Payment",C246)),"Money In",IF(ISNUMBER(SEARCH("Funds Received",C246)),"Money In",IF(ISNUMBER(SEARCH("Receive International",C246)),"Money In",IF(ISNUMBER(SEARCH("Send Money Reversal",C246)),"Money In",IF(ISNUMBER(SEARCH("Pay Utility Reversal",C246)),"Money In",IF(ISNUMBER(SEARCH("Customer Transfer",C246)),"Money In",IF(ISNUMBER(SEARCH("Ziidi",C246)),"Investment",IF(ISNUMBER(SEARCH("Nabo",C246)),"Investment",IF(ISNUMBER(SEARCH("Paybill Online",C246)),"Pay Bill",IF(ISNUMBER(SEARCH("Pay Bill",C246)),"Pay Bill",IF(ISNUMBER(SEARCH("Spotify",C246)),"Pay Bill",IF(ISNUMBER(SEARCH("M-Shwari",C246)),"Mshwari",IF(ISNUMBER(SEARCH("Mshwari",C246)),"Mshwari",IF(ISNUMBER(SEARCH("Withdrawal charge",C246)),"Fees",IF(ISNUMBER(SEARCH("Customer Withdrawal",C246)),"Fees",IF(ISNUMBER(SEARCH("charge",C246)),"Fees","Other")))))))))))))))))))))))))</f>
        <v>Bundles</v>
      </c>
      <c r="R246" s="1" t="str">
        <f aca="false">TEXT(B246,"MMM YYYY")</f>
        <v>Jan 2026</v>
      </c>
    </row>
    <row r="247" customFormat="false" ht="13.8" hidden="false" customHeight="false" outlineLevel="0" collapsed="false">
      <c r="A247" s="4" t="s">
        <v>539</v>
      </c>
      <c r="B247" s="4" t="s">
        <v>540</v>
      </c>
      <c r="C247" s="4" t="s">
        <v>239</v>
      </c>
      <c r="D247" s="4" t="s">
        <v>18</v>
      </c>
      <c r="E247" s="4"/>
      <c r="F247" s="4" t="n">
        <v>7</v>
      </c>
      <c r="G247" s="4" t="n">
        <v>6288</v>
      </c>
      <c r="L247" s="1" t="str">
        <f aca="false">IF(ISNUMBER(SEARCH("Bundle",C247)),"Bundles",IF(ISNUMBER(SEARCH("Airtime",C247)),"Bundles",IF(ISNUMBER(SEARCH("Merchant",C247)),"Merchant Payment",IF(ISNUMBER(SEARCH("Offnet C2B",C247)),"Merchant Payment",IF(ISNUMBER(SEARCH("Offnet B2C",C247)),"Merchant Payment",IF(ISNUMBER(SEARCH("Customer Payment to Small",C247)),"Merchant Payment",IF(ISNUMBER(SEARCH("Payment to Small Business",C247)),"Merchant Payment",IF(ISNUMBER(SEARCH("Sent to",C247)),"Sent to Person",IF(ISNUMBER(SEARCH("Customer Transfer to",C247)),"Sent to Person",IF(ISNUMBER(SEARCH("Business Payment",C247)),"Money In",IF(ISNUMBER(SEARCH("Funds Received",C247)),"Money In",IF(ISNUMBER(SEARCH("Receive International",C247)),"Money In",IF(ISNUMBER(SEARCH("Send Money Reversal",C247)),"Money In",IF(ISNUMBER(SEARCH("Pay Utility Reversal",C247)),"Money In",IF(ISNUMBER(SEARCH("Customer Transfer",C247)),"Money In",IF(ISNUMBER(SEARCH("Ziidi",C247)),"Investment",IF(ISNUMBER(SEARCH("Nabo",C247)),"Investment",IF(ISNUMBER(SEARCH("Paybill Online",C247)),"Pay Bill",IF(ISNUMBER(SEARCH("Pay Bill",C247)),"Pay Bill",IF(ISNUMBER(SEARCH("Spotify",C247)),"Pay Bill",IF(ISNUMBER(SEARCH("M-Shwari",C247)),"Mshwari",IF(ISNUMBER(SEARCH("Mshwari",C247)),"Mshwari",IF(ISNUMBER(SEARCH("Withdrawal charge",C247)),"Fees",IF(ISNUMBER(SEARCH("Customer Withdrawal",C247)),"Fees",IF(ISNUMBER(SEARCH("charge",C247)),"Fees","Other")))))))))))))))))))))))))</f>
        <v>Money In</v>
      </c>
      <c r="R247" s="1" t="str">
        <f aca="false">TEXT(B247,"MMM YYYY")</f>
        <v>Jan 2026</v>
      </c>
    </row>
    <row r="248" customFormat="false" ht="13.8" hidden="false" customHeight="false" outlineLevel="0" collapsed="false">
      <c r="A248" s="4" t="s">
        <v>539</v>
      </c>
      <c r="B248" s="4" t="s">
        <v>540</v>
      </c>
      <c r="C248" s="4" t="s">
        <v>541</v>
      </c>
      <c r="D248" s="4" t="s">
        <v>18</v>
      </c>
      <c r="E248" s="4"/>
      <c r="F248" s="4" t="n">
        <v>200</v>
      </c>
      <c r="G248" s="4" t="n">
        <v>6295</v>
      </c>
      <c r="L248" s="1" t="str">
        <f aca="false">IF(ISNUMBER(SEARCH("Bundle",C248)),"Bundles",IF(ISNUMBER(SEARCH("Airtime",C248)),"Bundles",IF(ISNUMBER(SEARCH("Merchant",C248)),"Merchant Payment",IF(ISNUMBER(SEARCH("Offnet C2B",C248)),"Merchant Payment",IF(ISNUMBER(SEARCH("Offnet B2C",C248)),"Merchant Payment",IF(ISNUMBER(SEARCH("Customer Payment to Small",C248)),"Merchant Payment",IF(ISNUMBER(SEARCH("Payment to Small Business",C248)),"Merchant Payment",IF(ISNUMBER(SEARCH("Sent to",C248)),"Sent to Person",IF(ISNUMBER(SEARCH("Customer Transfer to",C248)),"Sent to Person",IF(ISNUMBER(SEARCH("Business Payment",C248)),"Money In",IF(ISNUMBER(SEARCH("Funds Received",C248)),"Money In",IF(ISNUMBER(SEARCH("Receive International",C248)),"Money In",IF(ISNUMBER(SEARCH("Send Money Reversal",C248)),"Money In",IF(ISNUMBER(SEARCH("Pay Utility Reversal",C248)),"Money In",IF(ISNUMBER(SEARCH("Customer Transfer",C248)),"Money In",IF(ISNUMBER(SEARCH("Ziidi",C248)),"Investment",IF(ISNUMBER(SEARCH("Nabo",C248)),"Investment",IF(ISNUMBER(SEARCH("Paybill Online",C248)),"Pay Bill",IF(ISNUMBER(SEARCH("Pay Bill",C248)),"Pay Bill",IF(ISNUMBER(SEARCH("Spotify",C248)),"Pay Bill",IF(ISNUMBER(SEARCH("M-Shwari",C248)),"Mshwari",IF(ISNUMBER(SEARCH("Mshwari",C248)),"Mshwari",IF(ISNUMBER(SEARCH("Withdrawal charge",C248)),"Fees",IF(ISNUMBER(SEARCH("Customer Withdrawal",C248)),"Fees",IF(ISNUMBER(SEARCH("charge",C248)),"Fees","Other")))))))))))))))))))))))))</f>
        <v>Sent to Person</v>
      </c>
      <c r="R248" s="1" t="str">
        <f aca="false">TEXT(B248,"MMM YYYY")</f>
        <v>Jan 2026</v>
      </c>
    </row>
    <row r="249" customFormat="false" ht="13.8" hidden="false" customHeight="false" outlineLevel="0" collapsed="false">
      <c r="A249" s="4" t="s">
        <v>542</v>
      </c>
      <c r="B249" s="4" t="s">
        <v>543</v>
      </c>
      <c r="C249" s="4" t="s">
        <v>29</v>
      </c>
      <c r="D249" s="4" t="s">
        <v>18</v>
      </c>
      <c r="E249" s="4"/>
      <c r="F249" s="4" t="n">
        <v>10</v>
      </c>
      <c r="G249" s="4" t="n">
        <v>6278</v>
      </c>
      <c r="L249" s="1" t="str">
        <f aca="false">IF(ISNUMBER(SEARCH("Bundle",C249)),"Bundles",IF(ISNUMBER(SEARCH("Airtime",C249)),"Bundles",IF(ISNUMBER(SEARCH("Merchant",C249)),"Merchant Payment",IF(ISNUMBER(SEARCH("Offnet C2B",C249)),"Merchant Payment",IF(ISNUMBER(SEARCH("Offnet B2C",C249)),"Merchant Payment",IF(ISNUMBER(SEARCH("Customer Payment to Small",C249)),"Merchant Payment",IF(ISNUMBER(SEARCH("Payment to Small Business",C249)),"Merchant Payment",IF(ISNUMBER(SEARCH("Sent to",C249)),"Sent to Person",IF(ISNUMBER(SEARCH("Customer Transfer to",C249)),"Sent to Person",IF(ISNUMBER(SEARCH("Business Payment",C249)),"Money In",IF(ISNUMBER(SEARCH("Funds Received",C249)),"Money In",IF(ISNUMBER(SEARCH("Receive International",C249)),"Money In",IF(ISNUMBER(SEARCH("Send Money Reversal",C249)),"Money In",IF(ISNUMBER(SEARCH("Pay Utility Reversal",C249)),"Money In",IF(ISNUMBER(SEARCH("Customer Transfer",C249)),"Money In",IF(ISNUMBER(SEARCH("Ziidi",C249)),"Investment",IF(ISNUMBER(SEARCH("Nabo",C249)),"Investment",IF(ISNUMBER(SEARCH("Paybill Online",C249)),"Pay Bill",IF(ISNUMBER(SEARCH("Pay Bill",C249)),"Pay Bill",IF(ISNUMBER(SEARCH("Spotify",C249)),"Pay Bill",IF(ISNUMBER(SEARCH("M-Shwari",C249)),"Mshwari",IF(ISNUMBER(SEARCH("Mshwari",C249)),"Mshwari",IF(ISNUMBER(SEARCH("Withdrawal charge",C249)),"Fees",IF(ISNUMBER(SEARCH("Customer Withdrawal",C249)),"Fees",IF(ISNUMBER(SEARCH("charge",C249)),"Fees","Other")))))))))))))))))))))))))</f>
        <v>Bundles</v>
      </c>
      <c r="R249" s="1" t="str">
        <f aca="false">TEXT(B249,"MMM YYYY")</f>
        <v>Jan 2026</v>
      </c>
    </row>
    <row r="250" customFormat="false" ht="13.8" hidden="false" customHeight="false" outlineLevel="0" collapsed="false">
      <c r="A250" s="4" t="s">
        <v>544</v>
      </c>
      <c r="B250" s="4" t="s">
        <v>545</v>
      </c>
      <c r="C250" s="4" t="s">
        <v>17</v>
      </c>
      <c r="D250" s="4" t="s">
        <v>18</v>
      </c>
      <c r="E250" s="4"/>
      <c r="F250" s="4" t="n">
        <v>20</v>
      </c>
      <c r="G250" s="4" t="n">
        <v>6258</v>
      </c>
      <c r="L250" s="1" t="str">
        <f aca="false">IF(ISNUMBER(SEARCH("Bundle",C250)),"Bundles",IF(ISNUMBER(SEARCH("Airtime",C250)),"Bundles",IF(ISNUMBER(SEARCH("Merchant",C250)),"Merchant Payment",IF(ISNUMBER(SEARCH("Offnet C2B",C250)),"Merchant Payment",IF(ISNUMBER(SEARCH("Offnet B2C",C250)),"Merchant Payment",IF(ISNUMBER(SEARCH("Customer Payment to Small",C250)),"Merchant Payment",IF(ISNUMBER(SEARCH("Payment to Small Business",C250)),"Merchant Payment",IF(ISNUMBER(SEARCH("Sent to",C250)),"Sent to Person",IF(ISNUMBER(SEARCH("Customer Transfer to",C250)),"Sent to Person",IF(ISNUMBER(SEARCH("Business Payment",C250)),"Money In",IF(ISNUMBER(SEARCH("Funds Received",C250)),"Money In",IF(ISNUMBER(SEARCH("Receive International",C250)),"Money In",IF(ISNUMBER(SEARCH("Send Money Reversal",C250)),"Money In",IF(ISNUMBER(SEARCH("Pay Utility Reversal",C250)),"Money In",IF(ISNUMBER(SEARCH("Customer Transfer",C250)),"Money In",IF(ISNUMBER(SEARCH("Ziidi",C250)),"Investment",IF(ISNUMBER(SEARCH("Nabo",C250)),"Investment",IF(ISNUMBER(SEARCH("Paybill Online",C250)),"Pay Bill",IF(ISNUMBER(SEARCH("Pay Bill",C250)),"Pay Bill",IF(ISNUMBER(SEARCH("Spotify",C250)),"Pay Bill",IF(ISNUMBER(SEARCH("M-Shwari",C250)),"Mshwari",IF(ISNUMBER(SEARCH("Mshwari",C250)),"Mshwari",IF(ISNUMBER(SEARCH("Withdrawal charge",C250)),"Fees",IF(ISNUMBER(SEARCH("Customer Withdrawal",C250)),"Fees",IF(ISNUMBER(SEARCH("charge",C250)),"Fees","Other")))))))))))))))))))))))))</f>
        <v>Bundles</v>
      </c>
      <c r="R250" s="1" t="str">
        <f aca="false">TEXT(B250,"MMM YYYY")</f>
        <v>Jan 2026</v>
      </c>
    </row>
    <row r="251" customFormat="false" ht="13.8" hidden="false" customHeight="false" outlineLevel="0" collapsed="false">
      <c r="A251" s="4" t="s">
        <v>546</v>
      </c>
      <c r="B251" s="4" t="s">
        <v>547</v>
      </c>
      <c r="C251" s="4" t="s">
        <v>29</v>
      </c>
      <c r="D251" s="4" t="s">
        <v>18</v>
      </c>
      <c r="E251" s="4"/>
      <c r="F251" s="4" t="n">
        <v>30</v>
      </c>
      <c r="G251" s="4" t="n">
        <v>6228</v>
      </c>
      <c r="L251" s="1" t="str">
        <f aca="false">IF(ISNUMBER(SEARCH("Bundle",C251)),"Bundles",IF(ISNUMBER(SEARCH("Airtime",C251)),"Bundles",IF(ISNUMBER(SEARCH("Merchant",C251)),"Merchant Payment",IF(ISNUMBER(SEARCH("Offnet C2B",C251)),"Merchant Payment",IF(ISNUMBER(SEARCH("Offnet B2C",C251)),"Merchant Payment",IF(ISNUMBER(SEARCH("Customer Payment to Small",C251)),"Merchant Payment",IF(ISNUMBER(SEARCH("Payment to Small Business",C251)),"Merchant Payment",IF(ISNUMBER(SEARCH("Sent to",C251)),"Sent to Person",IF(ISNUMBER(SEARCH("Customer Transfer to",C251)),"Sent to Person",IF(ISNUMBER(SEARCH("Business Payment",C251)),"Money In",IF(ISNUMBER(SEARCH("Funds Received",C251)),"Money In",IF(ISNUMBER(SEARCH("Receive International",C251)),"Money In",IF(ISNUMBER(SEARCH("Send Money Reversal",C251)),"Money In",IF(ISNUMBER(SEARCH("Pay Utility Reversal",C251)),"Money In",IF(ISNUMBER(SEARCH("Customer Transfer",C251)),"Money In",IF(ISNUMBER(SEARCH("Ziidi",C251)),"Investment",IF(ISNUMBER(SEARCH("Nabo",C251)),"Investment",IF(ISNUMBER(SEARCH("Paybill Online",C251)),"Pay Bill",IF(ISNUMBER(SEARCH("Pay Bill",C251)),"Pay Bill",IF(ISNUMBER(SEARCH("Spotify",C251)),"Pay Bill",IF(ISNUMBER(SEARCH("M-Shwari",C251)),"Mshwari",IF(ISNUMBER(SEARCH("Mshwari",C251)),"Mshwari",IF(ISNUMBER(SEARCH("Withdrawal charge",C251)),"Fees",IF(ISNUMBER(SEARCH("Customer Withdrawal",C251)),"Fees",IF(ISNUMBER(SEARCH("charge",C251)),"Fees","Other")))))))))))))))))))))))))</f>
        <v>Bundles</v>
      </c>
      <c r="R251" s="1" t="str">
        <f aca="false">TEXT(B251,"MMM YYYY")</f>
        <v>Jan 2026</v>
      </c>
    </row>
    <row r="252" customFormat="false" ht="13.8" hidden="false" customHeight="false" outlineLevel="0" collapsed="false">
      <c r="A252" s="4" t="s">
        <v>548</v>
      </c>
      <c r="B252" s="4" t="s">
        <v>549</v>
      </c>
      <c r="C252" s="4" t="s">
        <v>182</v>
      </c>
      <c r="D252" s="4" t="s">
        <v>18</v>
      </c>
      <c r="E252" s="4"/>
      <c r="F252" s="4" t="n">
        <v>25</v>
      </c>
      <c r="G252" s="4" t="n">
        <v>3203</v>
      </c>
      <c r="L252" s="1" t="str">
        <f aca="false">IF(ISNUMBER(SEARCH("Bundle",C252)),"Bundles",IF(ISNUMBER(SEARCH("Airtime",C252)),"Bundles",IF(ISNUMBER(SEARCH("Merchant",C252)),"Merchant Payment",IF(ISNUMBER(SEARCH("Offnet C2B",C252)),"Merchant Payment",IF(ISNUMBER(SEARCH("Offnet B2C",C252)),"Merchant Payment",IF(ISNUMBER(SEARCH("Customer Payment to Small",C252)),"Merchant Payment",IF(ISNUMBER(SEARCH("Payment to Small Business",C252)),"Merchant Payment",IF(ISNUMBER(SEARCH("Sent to",C252)),"Sent to Person",IF(ISNUMBER(SEARCH("Customer Transfer to",C252)),"Sent to Person",IF(ISNUMBER(SEARCH("Business Payment",C252)),"Money In",IF(ISNUMBER(SEARCH("Funds Received",C252)),"Money In",IF(ISNUMBER(SEARCH("Receive International",C252)),"Money In",IF(ISNUMBER(SEARCH("Send Money Reversal",C252)),"Money In",IF(ISNUMBER(SEARCH("Pay Utility Reversal",C252)),"Money In",IF(ISNUMBER(SEARCH("Customer Transfer",C252)),"Money In",IF(ISNUMBER(SEARCH("Ziidi",C252)),"Investment",IF(ISNUMBER(SEARCH("Nabo",C252)),"Investment",IF(ISNUMBER(SEARCH("Paybill Online",C252)),"Pay Bill",IF(ISNUMBER(SEARCH("Pay Bill",C252)),"Pay Bill",IF(ISNUMBER(SEARCH("Spotify",C252)),"Pay Bill",IF(ISNUMBER(SEARCH("M-Shwari",C252)),"Mshwari",IF(ISNUMBER(SEARCH("Mshwari",C252)),"Mshwari",IF(ISNUMBER(SEARCH("Withdrawal charge",C252)),"Fees",IF(ISNUMBER(SEARCH("Customer Withdrawal",C252)),"Fees",IF(ISNUMBER(SEARCH("charge",C252)),"Fees","Other")))))))))))))))))))))))))</f>
        <v>Pay Bill</v>
      </c>
      <c r="R252" s="1" t="str">
        <f aca="false">TEXT(B252,"MMM YYYY")</f>
        <v>Jan 2026</v>
      </c>
    </row>
    <row r="253" customFormat="false" ht="13.8" hidden="false" customHeight="false" outlineLevel="0" collapsed="false">
      <c r="A253" s="4" t="s">
        <v>548</v>
      </c>
      <c r="B253" s="4" t="s">
        <v>549</v>
      </c>
      <c r="C253" s="4" t="s">
        <v>306</v>
      </c>
      <c r="D253" s="4" t="s">
        <v>18</v>
      </c>
      <c r="E253" s="4"/>
      <c r="F253" s="4" t="n">
        <v>3000</v>
      </c>
      <c r="G253" s="4" t="n">
        <v>3228</v>
      </c>
      <c r="L253" s="1" t="str">
        <f aca="false">IF(ISNUMBER(SEARCH("Bundle",C253)),"Bundles",IF(ISNUMBER(SEARCH("Airtime",C253)),"Bundles",IF(ISNUMBER(SEARCH("Merchant",C253)),"Merchant Payment",IF(ISNUMBER(SEARCH("Offnet C2B",C253)),"Merchant Payment",IF(ISNUMBER(SEARCH("Offnet B2C",C253)),"Merchant Payment",IF(ISNUMBER(SEARCH("Customer Payment to Small",C253)),"Merchant Payment",IF(ISNUMBER(SEARCH("Payment to Small Business",C253)),"Merchant Payment",IF(ISNUMBER(SEARCH("Sent to",C253)),"Sent to Person",IF(ISNUMBER(SEARCH("Customer Transfer to",C253)),"Sent to Person",IF(ISNUMBER(SEARCH("Business Payment",C253)),"Money In",IF(ISNUMBER(SEARCH("Funds Received",C253)),"Money In",IF(ISNUMBER(SEARCH("Receive International",C253)),"Money In",IF(ISNUMBER(SEARCH("Send Money Reversal",C253)),"Money In",IF(ISNUMBER(SEARCH("Pay Utility Reversal",C253)),"Money In",IF(ISNUMBER(SEARCH("Customer Transfer",C253)),"Money In",IF(ISNUMBER(SEARCH("Ziidi",C253)),"Investment",IF(ISNUMBER(SEARCH("Nabo",C253)),"Investment",IF(ISNUMBER(SEARCH("Paybill Online",C253)),"Pay Bill",IF(ISNUMBER(SEARCH("Pay Bill",C253)),"Pay Bill",IF(ISNUMBER(SEARCH("Spotify",C253)),"Pay Bill",IF(ISNUMBER(SEARCH("M-Shwari",C253)),"Mshwari",IF(ISNUMBER(SEARCH("Mshwari",C253)),"Mshwari",IF(ISNUMBER(SEARCH("Withdrawal charge",C253)),"Fees",IF(ISNUMBER(SEARCH("Customer Withdrawal",C253)),"Fees",IF(ISNUMBER(SEARCH("charge",C253)),"Fees","Other")))))))))))))))))))))))))</f>
        <v>Investment</v>
      </c>
      <c r="R253" s="1" t="str">
        <f aca="false">TEXT(B253,"MMM YYYY")</f>
        <v>Jan 2026</v>
      </c>
    </row>
    <row r="254" customFormat="false" ht="13.8" hidden="false" customHeight="false" outlineLevel="0" collapsed="false">
      <c r="A254" s="4" t="s">
        <v>550</v>
      </c>
      <c r="B254" s="4" t="s">
        <v>551</v>
      </c>
      <c r="C254" s="4" t="s">
        <v>17</v>
      </c>
      <c r="D254" s="4" t="s">
        <v>18</v>
      </c>
      <c r="E254" s="4"/>
      <c r="F254" s="4" t="n">
        <v>20</v>
      </c>
      <c r="G254" s="4" t="n">
        <v>3183</v>
      </c>
      <c r="L254" s="1" t="str">
        <f aca="false">IF(ISNUMBER(SEARCH("Bundle",C254)),"Bundles",IF(ISNUMBER(SEARCH("Airtime",C254)),"Bundles",IF(ISNUMBER(SEARCH("Merchant",C254)),"Merchant Payment",IF(ISNUMBER(SEARCH("Offnet C2B",C254)),"Merchant Payment",IF(ISNUMBER(SEARCH("Offnet B2C",C254)),"Merchant Payment",IF(ISNUMBER(SEARCH("Customer Payment to Small",C254)),"Merchant Payment",IF(ISNUMBER(SEARCH("Payment to Small Business",C254)),"Merchant Payment",IF(ISNUMBER(SEARCH("Sent to",C254)),"Sent to Person",IF(ISNUMBER(SEARCH("Customer Transfer to",C254)),"Sent to Person",IF(ISNUMBER(SEARCH("Business Payment",C254)),"Money In",IF(ISNUMBER(SEARCH("Funds Received",C254)),"Money In",IF(ISNUMBER(SEARCH("Receive International",C254)),"Money In",IF(ISNUMBER(SEARCH("Send Money Reversal",C254)),"Money In",IF(ISNUMBER(SEARCH("Pay Utility Reversal",C254)),"Money In",IF(ISNUMBER(SEARCH("Customer Transfer",C254)),"Money In",IF(ISNUMBER(SEARCH("Ziidi",C254)),"Investment",IF(ISNUMBER(SEARCH("Nabo",C254)),"Investment",IF(ISNUMBER(SEARCH("Paybill Online",C254)),"Pay Bill",IF(ISNUMBER(SEARCH("Pay Bill",C254)),"Pay Bill",IF(ISNUMBER(SEARCH("Spotify",C254)),"Pay Bill",IF(ISNUMBER(SEARCH("M-Shwari",C254)),"Mshwari",IF(ISNUMBER(SEARCH("Mshwari",C254)),"Mshwari",IF(ISNUMBER(SEARCH("Withdrawal charge",C254)),"Fees",IF(ISNUMBER(SEARCH("Customer Withdrawal",C254)),"Fees",IF(ISNUMBER(SEARCH("charge",C254)),"Fees","Other")))))))))))))))))))))))))</f>
        <v>Bundles</v>
      </c>
      <c r="R254" s="1" t="str">
        <f aca="false">TEXT(B254,"MMM YYYY")</f>
        <v>Jan 2026</v>
      </c>
    </row>
    <row r="255" customFormat="false" ht="13.8" hidden="false" customHeight="false" outlineLevel="0" collapsed="false">
      <c r="A255" s="4" t="s">
        <v>552</v>
      </c>
      <c r="B255" s="4" t="s">
        <v>553</v>
      </c>
      <c r="C255" s="4" t="s">
        <v>153</v>
      </c>
      <c r="D255" s="4" t="s">
        <v>18</v>
      </c>
      <c r="E255" s="4"/>
      <c r="F255" s="4" t="n">
        <v>400</v>
      </c>
      <c r="G255" s="4" t="n">
        <v>2783</v>
      </c>
      <c r="L255" s="1" t="str">
        <f aca="false">IF(ISNUMBER(SEARCH("Bundle",C255)),"Bundles",IF(ISNUMBER(SEARCH("Airtime",C255)),"Bundles",IF(ISNUMBER(SEARCH("Merchant",C255)),"Merchant Payment",IF(ISNUMBER(SEARCH("Offnet C2B",C255)),"Merchant Payment",IF(ISNUMBER(SEARCH("Offnet B2C",C255)),"Merchant Payment",IF(ISNUMBER(SEARCH("Customer Payment to Small",C255)),"Merchant Payment",IF(ISNUMBER(SEARCH("Payment to Small Business",C255)),"Merchant Payment",IF(ISNUMBER(SEARCH("Sent to",C255)),"Sent to Person",IF(ISNUMBER(SEARCH("Customer Transfer to",C255)),"Sent to Person",IF(ISNUMBER(SEARCH("Business Payment",C255)),"Money In",IF(ISNUMBER(SEARCH("Funds Received",C255)),"Money In",IF(ISNUMBER(SEARCH("Receive International",C255)),"Money In",IF(ISNUMBER(SEARCH("Send Money Reversal",C255)),"Money In",IF(ISNUMBER(SEARCH("Pay Utility Reversal",C255)),"Money In",IF(ISNUMBER(SEARCH("Customer Transfer",C255)),"Money In",IF(ISNUMBER(SEARCH("Ziidi",C255)),"Investment",IF(ISNUMBER(SEARCH("Nabo",C255)),"Investment",IF(ISNUMBER(SEARCH("Paybill Online",C255)),"Pay Bill",IF(ISNUMBER(SEARCH("Pay Bill",C255)),"Pay Bill",IF(ISNUMBER(SEARCH("Spotify",C255)),"Pay Bill",IF(ISNUMBER(SEARCH("M-Shwari",C255)),"Mshwari",IF(ISNUMBER(SEARCH("Mshwari",C255)),"Mshwari",IF(ISNUMBER(SEARCH("Withdrawal charge",C255)),"Fees",IF(ISNUMBER(SEARCH("Customer Withdrawal",C255)),"Fees",IF(ISNUMBER(SEARCH("charge",C255)),"Fees","Other")))))))))))))))))))))))))</f>
        <v>Bundles</v>
      </c>
      <c r="R255" s="1" t="str">
        <f aca="false">TEXT(B255,"MMM YYYY")</f>
        <v>Jan 2026</v>
      </c>
    </row>
    <row r="256" customFormat="false" ht="13.8" hidden="false" customHeight="false" outlineLevel="0" collapsed="false">
      <c r="A256" s="4" t="s">
        <v>554</v>
      </c>
      <c r="B256" s="4" t="s">
        <v>555</v>
      </c>
      <c r="C256" s="4" t="s">
        <v>29</v>
      </c>
      <c r="D256" s="4" t="s">
        <v>18</v>
      </c>
      <c r="E256" s="4"/>
      <c r="F256" s="4" t="n">
        <v>10</v>
      </c>
      <c r="G256" s="4" t="n">
        <v>2773</v>
      </c>
      <c r="L256" s="1" t="str">
        <f aca="false">IF(ISNUMBER(SEARCH("Bundle",C256)),"Bundles",IF(ISNUMBER(SEARCH("Airtime",C256)),"Bundles",IF(ISNUMBER(SEARCH("Merchant",C256)),"Merchant Payment",IF(ISNUMBER(SEARCH("Offnet C2B",C256)),"Merchant Payment",IF(ISNUMBER(SEARCH("Offnet B2C",C256)),"Merchant Payment",IF(ISNUMBER(SEARCH("Customer Payment to Small",C256)),"Merchant Payment",IF(ISNUMBER(SEARCH("Payment to Small Business",C256)),"Merchant Payment",IF(ISNUMBER(SEARCH("Sent to",C256)),"Sent to Person",IF(ISNUMBER(SEARCH("Customer Transfer to",C256)),"Sent to Person",IF(ISNUMBER(SEARCH("Business Payment",C256)),"Money In",IF(ISNUMBER(SEARCH("Funds Received",C256)),"Money In",IF(ISNUMBER(SEARCH("Receive International",C256)),"Money In",IF(ISNUMBER(SEARCH("Send Money Reversal",C256)),"Money In",IF(ISNUMBER(SEARCH("Pay Utility Reversal",C256)),"Money In",IF(ISNUMBER(SEARCH("Customer Transfer",C256)),"Money In",IF(ISNUMBER(SEARCH("Ziidi",C256)),"Investment",IF(ISNUMBER(SEARCH("Nabo",C256)),"Investment",IF(ISNUMBER(SEARCH("Paybill Online",C256)),"Pay Bill",IF(ISNUMBER(SEARCH("Pay Bill",C256)),"Pay Bill",IF(ISNUMBER(SEARCH("Spotify",C256)),"Pay Bill",IF(ISNUMBER(SEARCH("M-Shwari",C256)),"Mshwari",IF(ISNUMBER(SEARCH("Mshwari",C256)),"Mshwari",IF(ISNUMBER(SEARCH("Withdrawal charge",C256)),"Fees",IF(ISNUMBER(SEARCH("Customer Withdrawal",C256)),"Fees",IF(ISNUMBER(SEARCH("charge",C256)),"Fees","Other")))))))))))))))))))))))))</f>
        <v>Bundles</v>
      </c>
      <c r="R256" s="1" t="str">
        <f aca="false">TEXT(B256,"MMM YYYY")</f>
        <v>Jan 2026</v>
      </c>
    </row>
    <row r="257" customFormat="false" ht="13.8" hidden="false" customHeight="false" outlineLevel="0" collapsed="false">
      <c r="A257" s="4" t="s">
        <v>556</v>
      </c>
      <c r="B257" s="4" t="s">
        <v>557</v>
      </c>
      <c r="C257" s="4" t="s">
        <v>243</v>
      </c>
      <c r="D257" s="4" t="s">
        <v>18</v>
      </c>
      <c r="E257" s="4"/>
      <c r="F257" s="4" t="n">
        <v>70</v>
      </c>
      <c r="G257" s="4" t="n">
        <v>2703</v>
      </c>
      <c r="L257" s="1" t="str">
        <f aca="false">IF(ISNUMBER(SEARCH("Bundle",C257)),"Bundles",IF(ISNUMBER(SEARCH("Airtime",C257)),"Bundles",IF(ISNUMBER(SEARCH("Merchant",C257)),"Merchant Payment",IF(ISNUMBER(SEARCH("Offnet C2B",C257)),"Merchant Payment",IF(ISNUMBER(SEARCH("Offnet B2C",C257)),"Merchant Payment",IF(ISNUMBER(SEARCH("Customer Payment to Small",C257)),"Merchant Payment",IF(ISNUMBER(SEARCH("Payment to Small Business",C257)),"Merchant Payment",IF(ISNUMBER(SEARCH("Sent to",C257)),"Sent to Person",IF(ISNUMBER(SEARCH("Customer Transfer to",C257)),"Sent to Person",IF(ISNUMBER(SEARCH("Business Payment",C257)),"Money In",IF(ISNUMBER(SEARCH("Funds Received",C257)),"Money In",IF(ISNUMBER(SEARCH("Receive International",C257)),"Money In",IF(ISNUMBER(SEARCH("Send Money Reversal",C257)),"Money In",IF(ISNUMBER(SEARCH("Pay Utility Reversal",C257)),"Money In",IF(ISNUMBER(SEARCH("Customer Transfer",C257)),"Money In",IF(ISNUMBER(SEARCH("Ziidi",C257)),"Investment",IF(ISNUMBER(SEARCH("Nabo",C257)),"Investment",IF(ISNUMBER(SEARCH("Paybill Online",C257)),"Pay Bill",IF(ISNUMBER(SEARCH("Pay Bill",C257)),"Pay Bill",IF(ISNUMBER(SEARCH("Spotify",C257)),"Pay Bill",IF(ISNUMBER(SEARCH("M-Shwari",C257)),"Mshwari",IF(ISNUMBER(SEARCH("Mshwari",C257)),"Mshwari",IF(ISNUMBER(SEARCH("Withdrawal charge",C257)),"Fees",IF(ISNUMBER(SEARCH("Customer Withdrawal",C257)),"Fees",IF(ISNUMBER(SEARCH("charge",C257)),"Fees","Other")))))))))))))))))))))))))</f>
        <v>Merchant Payment</v>
      </c>
      <c r="R257" s="1" t="str">
        <f aca="false">TEXT(B257,"MMM YYYY")</f>
        <v>Jan 2026</v>
      </c>
    </row>
    <row r="258" customFormat="false" ht="13.8" hidden="false" customHeight="false" outlineLevel="0" collapsed="false">
      <c r="A258" s="4" t="s">
        <v>558</v>
      </c>
      <c r="B258" s="4" t="s">
        <v>559</v>
      </c>
      <c r="C258" s="4" t="s">
        <v>239</v>
      </c>
      <c r="D258" s="4" t="s">
        <v>18</v>
      </c>
      <c r="E258" s="4"/>
      <c r="F258" s="4" t="n">
        <v>7</v>
      </c>
      <c r="G258" s="4" t="n">
        <v>2516</v>
      </c>
      <c r="L258" s="1" t="str">
        <f aca="false">IF(ISNUMBER(SEARCH("Bundle",C258)),"Bundles",IF(ISNUMBER(SEARCH("Airtime",C258)),"Bundles",IF(ISNUMBER(SEARCH("Merchant",C258)),"Merchant Payment",IF(ISNUMBER(SEARCH("Offnet C2B",C258)),"Merchant Payment",IF(ISNUMBER(SEARCH("Offnet B2C",C258)),"Merchant Payment",IF(ISNUMBER(SEARCH("Customer Payment to Small",C258)),"Merchant Payment",IF(ISNUMBER(SEARCH("Payment to Small Business",C258)),"Merchant Payment",IF(ISNUMBER(SEARCH("Sent to",C258)),"Sent to Person",IF(ISNUMBER(SEARCH("Customer Transfer to",C258)),"Sent to Person",IF(ISNUMBER(SEARCH("Business Payment",C258)),"Money In",IF(ISNUMBER(SEARCH("Funds Received",C258)),"Money In",IF(ISNUMBER(SEARCH("Receive International",C258)),"Money In",IF(ISNUMBER(SEARCH("Send Money Reversal",C258)),"Money In",IF(ISNUMBER(SEARCH("Pay Utility Reversal",C258)),"Money In",IF(ISNUMBER(SEARCH("Customer Transfer",C258)),"Money In",IF(ISNUMBER(SEARCH("Ziidi",C258)),"Investment",IF(ISNUMBER(SEARCH("Nabo",C258)),"Investment",IF(ISNUMBER(SEARCH("Paybill Online",C258)),"Pay Bill",IF(ISNUMBER(SEARCH("Pay Bill",C258)),"Pay Bill",IF(ISNUMBER(SEARCH("Spotify",C258)),"Pay Bill",IF(ISNUMBER(SEARCH("M-Shwari",C258)),"Mshwari",IF(ISNUMBER(SEARCH("Mshwari",C258)),"Mshwari",IF(ISNUMBER(SEARCH("Withdrawal charge",C258)),"Fees",IF(ISNUMBER(SEARCH("Customer Withdrawal",C258)),"Fees",IF(ISNUMBER(SEARCH("charge",C258)),"Fees","Other")))))))))))))))))))))))))</f>
        <v>Money In</v>
      </c>
      <c r="R258" s="1" t="str">
        <f aca="false">TEXT(B258,"MMM YYYY")</f>
        <v>Jan 2026</v>
      </c>
    </row>
    <row r="259" customFormat="false" ht="13.8" hidden="false" customHeight="false" outlineLevel="0" collapsed="false">
      <c r="A259" s="4" t="s">
        <v>558</v>
      </c>
      <c r="B259" s="4" t="s">
        <v>559</v>
      </c>
      <c r="C259" s="4" t="s">
        <v>246</v>
      </c>
      <c r="D259" s="4" t="s">
        <v>18</v>
      </c>
      <c r="E259" s="4"/>
      <c r="F259" s="4" t="n">
        <v>180</v>
      </c>
      <c r="G259" s="4" t="n">
        <v>2523</v>
      </c>
      <c r="L259" s="1" t="str">
        <f aca="false">IF(ISNUMBER(SEARCH("Bundle",C259)),"Bundles",IF(ISNUMBER(SEARCH("Airtime",C259)),"Bundles",IF(ISNUMBER(SEARCH("Merchant",C259)),"Merchant Payment",IF(ISNUMBER(SEARCH("Offnet C2B",C259)),"Merchant Payment",IF(ISNUMBER(SEARCH("Offnet B2C",C259)),"Merchant Payment",IF(ISNUMBER(SEARCH("Customer Payment to Small",C259)),"Merchant Payment",IF(ISNUMBER(SEARCH("Payment to Small Business",C259)),"Merchant Payment",IF(ISNUMBER(SEARCH("Sent to",C259)),"Sent to Person",IF(ISNUMBER(SEARCH("Customer Transfer to",C259)),"Sent to Person",IF(ISNUMBER(SEARCH("Business Payment",C259)),"Money In",IF(ISNUMBER(SEARCH("Funds Received",C259)),"Money In",IF(ISNUMBER(SEARCH("Receive International",C259)),"Money In",IF(ISNUMBER(SEARCH("Send Money Reversal",C259)),"Money In",IF(ISNUMBER(SEARCH("Pay Utility Reversal",C259)),"Money In",IF(ISNUMBER(SEARCH("Customer Transfer",C259)),"Money In",IF(ISNUMBER(SEARCH("Ziidi",C259)),"Investment",IF(ISNUMBER(SEARCH("Nabo",C259)),"Investment",IF(ISNUMBER(SEARCH("Paybill Online",C259)),"Pay Bill",IF(ISNUMBER(SEARCH("Pay Bill",C259)),"Pay Bill",IF(ISNUMBER(SEARCH("Spotify",C259)),"Pay Bill",IF(ISNUMBER(SEARCH("M-Shwari",C259)),"Mshwari",IF(ISNUMBER(SEARCH("Mshwari",C259)),"Mshwari",IF(ISNUMBER(SEARCH("Withdrawal charge",C259)),"Fees",IF(ISNUMBER(SEARCH("Customer Withdrawal",C259)),"Fees",IF(ISNUMBER(SEARCH("charge",C259)),"Fees","Other")))))))))))))))))))))))))</f>
        <v>Merchant Payment</v>
      </c>
      <c r="R259" s="1" t="str">
        <f aca="false">TEXT(B259,"MMM YYYY")</f>
        <v>Jan 2026</v>
      </c>
    </row>
    <row r="260" customFormat="false" ht="13.8" hidden="false" customHeight="false" outlineLevel="0" collapsed="false">
      <c r="A260" s="4" t="s">
        <v>560</v>
      </c>
      <c r="B260" s="4" t="s">
        <v>561</v>
      </c>
      <c r="C260" s="4" t="s">
        <v>29</v>
      </c>
      <c r="D260" s="4" t="s">
        <v>18</v>
      </c>
      <c r="E260" s="4"/>
      <c r="F260" s="4" t="n">
        <v>10</v>
      </c>
      <c r="G260" s="4" t="n">
        <v>2506</v>
      </c>
      <c r="L260" s="1" t="str">
        <f aca="false">IF(ISNUMBER(SEARCH("Bundle",C260)),"Bundles",IF(ISNUMBER(SEARCH("Airtime",C260)),"Bundles",IF(ISNUMBER(SEARCH("Merchant",C260)),"Merchant Payment",IF(ISNUMBER(SEARCH("Offnet C2B",C260)),"Merchant Payment",IF(ISNUMBER(SEARCH("Offnet B2C",C260)),"Merchant Payment",IF(ISNUMBER(SEARCH("Customer Payment to Small",C260)),"Merchant Payment",IF(ISNUMBER(SEARCH("Payment to Small Business",C260)),"Merchant Payment",IF(ISNUMBER(SEARCH("Sent to",C260)),"Sent to Person",IF(ISNUMBER(SEARCH("Customer Transfer to",C260)),"Sent to Person",IF(ISNUMBER(SEARCH("Business Payment",C260)),"Money In",IF(ISNUMBER(SEARCH("Funds Received",C260)),"Money In",IF(ISNUMBER(SEARCH("Receive International",C260)),"Money In",IF(ISNUMBER(SEARCH("Send Money Reversal",C260)),"Money In",IF(ISNUMBER(SEARCH("Pay Utility Reversal",C260)),"Money In",IF(ISNUMBER(SEARCH("Customer Transfer",C260)),"Money In",IF(ISNUMBER(SEARCH("Ziidi",C260)),"Investment",IF(ISNUMBER(SEARCH("Nabo",C260)),"Investment",IF(ISNUMBER(SEARCH("Paybill Online",C260)),"Pay Bill",IF(ISNUMBER(SEARCH("Pay Bill",C260)),"Pay Bill",IF(ISNUMBER(SEARCH("Spotify",C260)),"Pay Bill",IF(ISNUMBER(SEARCH("M-Shwari",C260)),"Mshwari",IF(ISNUMBER(SEARCH("Mshwari",C260)),"Mshwari",IF(ISNUMBER(SEARCH("Withdrawal charge",C260)),"Fees",IF(ISNUMBER(SEARCH("Customer Withdrawal",C260)),"Fees",IF(ISNUMBER(SEARCH("charge",C260)),"Fees","Other")))))))))))))))))))))))))</f>
        <v>Bundles</v>
      </c>
      <c r="R260" s="1" t="str">
        <f aca="false">TEXT(B260,"MMM YYYY")</f>
        <v>Jan 2026</v>
      </c>
    </row>
    <row r="261" customFormat="false" ht="13.8" hidden="false" customHeight="false" outlineLevel="0" collapsed="false">
      <c r="A261" s="4" t="s">
        <v>562</v>
      </c>
      <c r="B261" s="4" t="s">
        <v>563</v>
      </c>
      <c r="C261" s="4" t="s">
        <v>564</v>
      </c>
      <c r="D261" s="4" t="s">
        <v>18</v>
      </c>
      <c r="E261" s="4"/>
      <c r="F261" s="4" t="n">
        <v>100</v>
      </c>
      <c r="G261" s="4" t="n">
        <v>2406</v>
      </c>
      <c r="L261" s="1" t="str">
        <f aca="false">IF(ISNUMBER(SEARCH("Bundle",C261)),"Bundles",IF(ISNUMBER(SEARCH("Airtime",C261)),"Bundles",IF(ISNUMBER(SEARCH("Merchant",C261)),"Merchant Payment",IF(ISNUMBER(SEARCH("Offnet C2B",C261)),"Merchant Payment",IF(ISNUMBER(SEARCH("Offnet B2C",C261)),"Merchant Payment",IF(ISNUMBER(SEARCH("Customer Payment to Small",C261)),"Merchant Payment",IF(ISNUMBER(SEARCH("Payment to Small Business",C261)),"Merchant Payment",IF(ISNUMBER(SEARCH("Sent to",C261)),"Sent to Person",IF(ISNUMBER(SEARCH("Customer Transfer to",C261)),"Sent to Person",IF(ISNUMBER(SEARCH("Business Payment",C261)),"Money In",IF(ISNUMBER(SEARCH("Funds Received",C261)),"Money In",IF(ISNUMBER(SEARCH("Receive International",C261)),"Money In",IF(ISNUMBER(SEARCH("Send Money Reversal",C261)),"Money In",IF(ISNUMBER(SEARCH("Pay Utility Reversal",C261)),"Money In",IF(ISNUMBER(SEARCH("Customer Transfer",C261)),"Money In",IF(ISNUMBER(SEARCH("Ziidi",C261)),"Investment",IF(ISNUMBER(SEARCH("Nabo",C261)),"Investment",IF(ISNUMBER(SEARCH("Paybill Online",C261)),"Pay Bill",IF(ISNUMBER(SEARCH("Pay Bill",C261)),"Pay Bill",IF(ISNUMBER(SEARCH("Spotify",C261)),"Pay Bill",IF(ISNUMBER(SEARCH("M-Shwari",C261)),"Mshwari",IF(ISNUMBER(SEARCH("Mshwari",C261)),"Mshwari",IF(ISNUMBER(SEARCH("Withdrawal charge",C261)),"Fees",IF(ISNUMBER(SEARCH("Customer Withdrawal",C261)),"Fees",IF(ISNUMBER(SEARCH("charge",C261)),"Fees","Other")))))))))))))))))))))))))</f>
        <v>Sent to Person</v>
      </c>
      <c r="R261" s="1" t="str">
        <f aca="false">TEXT(B261,"MMM YYYY")</f>
        <v>Jan 2026</v>
      </c>
    </row>
    <row r="262" customFormat="false" ht="13.8" hidden="false" customHeight="false" outlineLevel="0" collapsed="false">
      <c r="A262" s="4" t="s">
        <v>565</v>
      </c>
      <c r="B262" s="4" t="s">
        <v>566</v>
      </c>
      <c r="C262" s="4" t="s">
        <v>17</v>
      </c>
      <c r="D262" s="4" t="s">
        <v>18</v>
      </c>
      <c r="E262" s="4"/>
      <c r="F262" s="4" t="n">
        <v>20</v>
      </c>
      <c r="G262" s="4" t="n">
        <v>2386</v>
      </c>
      <c r="L262" s="1" t="str">
        <f aca="false">IF(ISNUMBER(SEARCH("Bundle",C262)),"Bundles",IF(ISNUMBER(SEARCH("Airtime",C262)),"Bundles",IF(ISNUMBER(SEARCH("Merchant",C262)),"Merchant Payment",IF(ISNUMBER(SEARCH("Offnet C2B",C262)),"Merchant Payment",IF(ISNUMBER(SEARCH("Offnet B2C",C262)),"Merchant Payment",IF(ISNUMBER(SEARCH("Customer Payment to Small",C262)),"Merchant Payment",IF(ISNUMBER(SEARCH("Payment to Small Business",C262)),"Merchant Payment",IF(ISNUMBER(SEARCH("Sent to",C262)),"Sent to Person",IF(ISNUMBER(SEARCH("Customer Transfer to",C262)),"Sent to Person",IF(ISNUMBER(SEARCH("Business Payment",C262)),"Money In",IF(ISNUMBER(SEARCH("Funds Received",C262)),"Money In",IF(ISNUMBER(SEARCH("Receive International",C262)),"Money In",IF(ISNUMBER(SEARCH("Send Money Reversal",C262)),"Money In",IF(ISNUMBER(SEARCH("Pay Utility Reversal",C262)),"Money In",IF(ISNUMBER(SEARCH("Customer Transfer",C262)),"Money In",IF(ISNUMBER(SEARCH("Ziidi",C262)),"Investment",IF(ISNUMBER(SEARCH("Nabo",C262)),"Investment",IF(ISNUMBER(SEARCH("Paybill Online",C262)),"Pay Bill",IF(ISNUMBER(SEARCH("Pay Bill",C262)),"Pay Bill",IF(ISNUMBER(SEARCH("Spotify",C262)),"Pay Bill",IF(ISNUMBER(SEARCH("M-Shwari",C262)),"Mshwari",IF(ISNUMBER(SEARCH("Mshwari",C262)),"Mshwari",IF(ISNUMBER(SEARCH("Withdrawal charge",C262)),"Fees",IF(ISNUMBER(SEARCH("Customer Withdrawal",C262)),"Fees",IF(ISNUMBER(SEARCH("charge",C262)),"Fees","Other")))))))))))))))))))))))))</f>
        <v>Bundles</v>
      </c>
      <c r="R262" s="1" t="str">
        <f aca="false">TEXT(B262,"MMM YYYY")</f>
        <v>Jan 2026</v>
      </c>
    </row>
    <row r="263" customFormat="false" ht="13.8" hidden="false" customHeight="false" outlineLevel="0" collapsed="false">
      <c r="A263" s="4" t="s">
        <v>567</v>
      </c>
      <c r="B263" s="4" t="s">
        <v>568</v>
      </c>
      <c r="C263" s="4" t="s">
        <v>29</v>
      </c>
      <c r="D263" s="4" t="s">
        <v>18</v>
      </c>
      <c r="E263" s="4"/>
      <c r="F263" s="4" t="n">
        <v>30</v>
      </c>
      <c r="G263" s="4" t="n">
        <v>2356</v>
      </c>
      <c r="L263" s="1" t="str">
        <f aca="false">IF(ISNUMBER(SEARCH("Bundle",C263)),"Bundles",IF(ISNUMBER(SEARCH("Airtime",C263)),"Bundles",IF(ISNUMBER(SEARCH("Merchant",C263)),"Merchant Payment",IF(ISNUMBER(SEARCH("Offnet C2B",C263)),"Merchant Payment",IF(ISNUMBER(SEARCH("Offnet B2C",C263)),"Merchant Payment",IF(ISNUMBER(SEARCH("Customer Payment to Small",C263)),"Merchant Payment",IF(ISNUMBER(SEARCH("Payment to Small Business",C263)),"Merchant Payment",IF(ISNUMBER(SEARCH("Sent to",C263)),"Sent to Person",IF(ISNUMBER(SEARCH("Customer Transfer to",C263)),"Sent to Person",IF(ISNUMBER(SEARCH("Business Payment",C263)),"Money In",IF(ISNUMBER(SEARCH("Funds Received",C263)),"Money In",IF(ISNUMBER(SEARCH("Receive International",C263)),"Money In",IF(ISNUMBER(SEARCH("Send Money Reversal",C263)),"Money In",IF(ISNUMBER(SEARCH("Pay Utility Reversal",C263)),"Money In",IF(ISNUMBER(SEARCH("Customer Transfer",C263)),"Money In",IF(ISNUMBER(SEARCH("Ziidi",C263)),"Investment",IF(ISNUMBER(SEARCH("Nabo",C263)),"Investment",IF(ISNUMBER(SEARCH("Paybill Online",C263)),"Pay Bill",IF(ISNUMBER(SEARCH("Pay Bill",C263)),"Pay Bill",IF(ISNUMBER(SEARCH("Spotify",C263)),"Pay Bill",IF(ISNUMBER(SEARCH("M-Shwari",C263)),"Mshwari",IF(ISNUMBER(SEARCH("Mshwari",C263)),"Mshwari",IF(ISNUMBER(SEARCH("Withdrawal charge",C263)),"Fees",IF(ISNUMBER(SEARCH("Customer Withdrawal",C263)),"Fees",IF(ISNUMBER(SEARCH("charge",C263)),"Fees","Other")))))))))))))))))))))))))</f>
        <v>Bundles</v>
      </c>
      <c r="R263" s="1" t="str">
        <f aca="false">TEXT(B263,"MMM YYYY")</f>
        <v>Jan 2026</v>
      </c>
    </row>
    <row r="264" customFormat="false" ht="13.8" hidden="false" customHeight="false" outlineLevel="0" collapsed="false">
      <c r="A264" s="4" t="s">
        <v>569</v>
      </c>
      <c r="B264" s="4" t="s">
        <v>570</v>
      </c>
      <c r="C264" s="4" t="s">
        <v>29</v>
      </c>
      <c r="D264" s="4" t="s">
        <v>18</v>
      </c>
      <c r="E264" s="4"/>
      <c r="F264" s="4" t="n">
        <v>10</v>
      </c>
      <c r="G264" s="4" t="n">
        <v>2346</v>
      </c>
      <c r="L264" s="1" t="str">
        <f aca="false">IF(ISNUMBER(SEARCH("Bundle",C264)),"Bundles",IF(ISNUMBER(SEARCH("Airtime",C264)),"Bundles",IF(ISNUMBER(SEARCH("Merchant",C264)),"Merchant Payment",IF(ISNUMBER(SEARCH("Offnet C2B",C264)),"Merchant Payment",IF(ISNUMBER(SEARCH("Offnet B2C",C264)),"Merchant Payment",IF(ISNUMBER(SEARCH("Customer Payment to Small",C264)),"Merchant Payment",IF(ISNUMBER(SEARCH("Payment to Small Business",C264)),"Merchant Payment",IF(ISNUMBER(SEARCH("Sent to",C264)),"Sent to Person",IF(ISNUMBER(SEARCH("Customer Transfer to",C264)),"Sent to Person",IF(ISNUMBER(SEARCH("Business Payment",C264)),"Money In",IF(ISNUMBER(SEARCH("Funds Received",C264)),"Money In",IF(ISNUMBER(SEARCH("Receive International",C264)),"Money In",IF(ISNUMBER(SEARCH("Send Money Reversal",C264)),"Money In",IF(ISNUMBER(SEARCH("Pay Utility Reversal",C264)),"Money In",IF(ISNUMBER(SEARCH("Customer Transfer",C264)),"Money In",IF(ISNUMBER(SEARCH("Ziidi",C264)),"Investment",IF(ISNUMBER(SEARCH("Nabo",C264)),"Investment",IF(ISNUMBER(SEARCH("Paybill Online",C264)),"Pay Bill",IF(ISNUMBER(SEARCH("Pay Bill",C264)),"Pay Bill",IF(ISNUMBER(SEARCH("Spotify",C264)),"Pay Bill",IF(ISNUMBER(SEARCH("M-Shwari",C264)),"Mshwari",IF(ISNUMBER(SEARCH("Mshwari",C264)),"Mshwari",IF(ISNUMBER(SEARCH("Withdrawal charge",C264)),"Fees",IF(ISNUMBER(SEARCH("Customer Withdrawal",C264)),"Fees",IF(ISNUMBER(SEARCH("charge",C264)),"Fees","Other")))))))))))))))))))))))))</f>
        <v>Bundles</v>
      </c>
      <c r="R264" s="1" t="str">
        <f aca="false">TEXT(B264,"MMM YYYY")</f>
        <v>Feb 2026</v>
      </c>
    </row>
    <row r="265" customFormat="false" ht="13.8" hidden="false" customHeight="false" outlineLevel="0" collapsed="false">
      <c r="A265" s="4" t="s">
        <v>571</v>
      </c>
      <c r="B265" s="4" t="s">
        <v>572</v>
      </c>
      <c r="C265" s="4" t="s">
        <v>29</v>
      </c>
      <c r="D265" s="4" t="s">
        <v>18</v>
      </c>
      <c r="E265" s="4"/>
      <c r="F265" s="4" t="n">
        <v>30</v>
      </c>
      <c r="G265" s="4" t="n">
        <v>2316</v>
      </c>
      <c r="L265" s="1" t="str">
        <f aca="false">IF(ISNUMBER(SEARCH("Bundle",C265)),"Bundles",IF(ISNUMBER(SEARCH("Airtime",C265)),"Bundles",IF(ISNUMBER(SEARCH("Merchant",C265)),"Merchant Payment",IF(ISNUMBER(SEARCH("Offnet C2B",C265)),"Merchant Payment",IF(ISNUMBER(SEARCH("Offnet B2C",C265)),"Merchant Payment",IF(ISNUMBER(SEARCH("Customer Payment to Small",C265)),"Merchant Payment",IF(ISNUMBER(SEARCH("Payment to Small Business",C265)),"Merchant Payment",IF(ISNUMBER(SEARCH("Sent to",C265)),"Sent to Person",IF(ISNUMBER(SEARCH("Customer Transfer to",C265)),"Sent to Person",IF(ISNUMBER(SEARCH("Business Payment",C265)),"Money In",IF(ISNUMBER(SEARCH("Funds Received",C265)),"Money In",IF(ISNUMBER(SEARCH("Receive International",C265)),"Money In",IF(ISNUMBER(SEARCH("Send Money Reversal",C265)),"Money In",IF(ISNUMBER(SEARCH("Pay Utility Reversal",C265)),"Money In",IF(ISNUMBER(SEARCH("Customer Transfer",C265)),"Money In",IF(ISNUMBER(SEARCH("Ziidi",C265)),"Investment",IF(ISNUMBER(SEARCH("Nabo",C265)),"Investment",IF(ISNUMBER(SEARCH("Paybill Online",C265)),"Pay Bill",IF(ISNUMBER(SEARCH("Pay Bill",C265)),"Pay Bill",IF(ISNUMBER(SEARCH("Spotify",C265)),"Pay Bill",IF(ISNUMBER(SEARCH("M-Shwari",C265)),"Mshwari",IF(ISNUMBER(SEARCH("Mshwari",C265)),"Mshwari",IF(ISNUMBER(SEARCH("Withdrawal charge",C265)),"Fees",IF(ISNUMBER(SEARCH("Customer Withdrawal",C265)),"Fees",IF(ISNUMBER(SEARCH("charge",C265)),"Fees","Other")))))))))))))))))))))))))</f>
        <v>Bundles</v>
      </c>
      <c r="R265" s="1" t="str">
        <f aca="false">TEXT(B265,"MMM YYYY")</f>
        <v>Feb 2026</v>
      </c>
    </row>
    <row r="266" customFormat="false" ht="13.8" hidden="false" customHeight="false" outlineLevel="0" collapsed="false">
      <c r="A266" s="4" t="s">
        <v>573</v>
      </c>
      <c r="B266" s="4" t="s">
        <v>574</v>
      </c>
      <c r="C266" s="4" t="s">
        <v>445</v>
      </c>
      <c r="D266" s="4" t="s">
        <v>18</v>
      </c>
      <c r="E266" s="4" t="n">
        <v>2000</v>
      </c>
      <c r="F266" s="4"/>
      <c r="G266" s="4" t="n">
        <v>4316</v>
      </c>
      <c r="L266" s="1" t="str">
        <f aca="false">IF(ISNUMBER(SEARCH("Bundle",C266)),"Bundles",IF(ISNUMBER(SEARCH("Airtime",C266)),"Bundles",IF(ISNUMBER(SEARCH("Merchant",C266)),"Merchant Payment",IF(ISNUMBER(SEARCH("Offnet C2B",C266)),"Merchant Payment",IF(ISNUMBER(SEARCH("Offnet B2C",C266)),"Merchant Payment",IF(ISNUMBER(SEARCH("Customer Payment to Small",C266)),"Merchant Payment",IF(ISNUMBER(SEARCH("Payment to Small Business",C266)),"Merchant Payment",IF(ISNUMBER(SEARCH("Sent to",C266)),"Sent to Person",IF(ISNUMBER(SEARCH("Customer Transfer to",C266)),"Sent to Person",IF(ISNUMBER(SEARCH("Business Payment",C266)),"Money In",IF(ISNUMBER(SEARCH("Funds Received",C266)),"Money In",IF(ISNUMBER(SEARCH("Receive International",C266)),"Money In",IF(ISNUMBER(SEARCH("Send Money Reversal",C266)),"Money In",IF(ISNUMBER(SEARCH("Pay Utility Reversal",C266)),"Money In",IF(ISNUMBER(SEARCH("Customer Transfer",C266)),"Money In",IF(ISNUMBER(SEARCH("Ziidi",C266)),"Investment",IF(ISNUMBER(SEARCH("Nabo",C266)),"Investment",IF(ISNUMBER(SEARCH("Paybill Online",C266)),"Pay Bill",IF(ISNUMBER(SEARCH("Pay Bill",C266)),"Pay Bill",IF(ISNUMBER(SEARCH("Spotify",C266)),"Pay Bill",IF(ISNUMBER(SEARCH("M-Shwari",C266)),"Mshwari",IF(ISNUMBER(SEARCH("Mshwari",C266)),"Mshwari",IF(ISNUMBER(SEARCH("Withdrawal charge",C266)),"Fees",IF(ISNUMBER(SEARCH("Customer Withdrawal",C266)),"Fees",IF(ISNUMBER(SEARCH("charge",C266)),"Fees","Other")))))))))))))))))))))))))</f>
        <v>Money In</v>
      </c>
      <c r="R266" s="1" t="str">
        <f aca="false">TEXT(B266,"MMM YYYY")</f>
        <v>Feb 2026</v>
      </c>
    </row>
    <row r="267" customFormat="false" ht="13.8" hidden="false" customHeight="false" outlineLevel="0" collapsed="false">
      <c r="A267" s="4" t="s">
        <v>575</v>
      </c>
      <c r="B267" s="4" t="s">
        <v>576</v>
      </c>
      <c r="C267" s="4" t="s">
        <v>29</v>
      </c>
      <c r="D267" s="4" t="s">
        <v>18</v>
      </c>
      <c r="E267" s="4"/>
      <c r="F267" s="4" t="n">
        <v>10</v>
      </c>
      <c r="G267" s="4" t="n">
        <v>4306</v>
      </c>
      <c r="L267" s="1" t="str">
        <f aca="false">IF(ISNUMBER(SEARCH("Bundle",C267)),"Bundles",IF(ISNUMBER(SEARCH("Airtime",C267)),"Bundles",IF(ISNUMBER(SEARCH("Merchant",C267)),"Merchant Payment",IF(ISNUMBER(SEARCH("Offnet C2B",C267)),"Merchant Payment",IF(ISNUMBER(SEARCH("Offnet B2C",C267)),"Merchant Payment",IF(ISNUMBER(SEARCH("Customer Payment to Small",C267)),"Merchant Payment",IF(ISNUMBER(SEARCH("Payment to Small Business",C267)),"Merchant Payment",IF(ISNUMBER(SEARCH("Sent to",C267)),"Sent to Person",IF(ISNUMBER(SEARCH("Customer Transfer to",C267)),"Sent to Person",IF(ISNUMBER(SEARCH("Business Payment",C267)),"Money In",IF(ISNUMBER(SEARCH("Funds Received",C267)),"Money In",IF(ISNUMBER(SEARCH("Receive International",C267)),"Money In",IF(ISNUMBER(SEARCH("Send Money Reversal",C267)),"Money In",IF(ISNUMBER(SEARCH("Pay Utility Reversal",C267)),"Money In",IF(ISNUMBER(SEARCH("Customer Transfer",C267)),"Money In",IF(ISNUMBER(SEARCH("Ziidi",C267)),"Investment",IF(ISNUMBER(SEARCH("Nabo",C267)),"Investment",IF(ISNUMBER(SEARCH("Paybill Online",C267)),"Pay Bill",IF(ISNUMBER(SEARCH("Pay Bill",C267)),"Pay Bill",IF(ISNUMBER(SEARCH("Spotify",C267)),"Pay Bill",IF(ISNUMBER(SEARCH("M-Shwari",C267)),"Mshwari",IF(ISNUMBER(SEARCH("Mshwari",C267)),"Mshwari",IF(ISNUMBER(SEARCH("Withdrawal charge",C267)),"Fees",IF(ISNUMBER(SEARCH("Customer Withdrawal",C267)),"Fees",IF(ISNUMBER(SEARCH("charge",C267)),"Fees","Other")))))))))))))))))))))))))</f>
        <v>Bundles</v>
      </c>
      <c r="R267" s="1" t="str">
        <f aca="false">TEXT(B267,"MMM YYYY")</f>
        <v>Feb 2026</v>
      </c>
    </row>
    <row r="268" customFormat="false" ht="13.8" hidden="false" customHeight="false" outlineLevel="0" collapsed="false">
      <c r="A268" s="4" t="s">
        <v>577</v>
      </c>
      <c r="B268" s="4" t="s">
        <v>578</v>
      </c>
      <c r="C268" s="4" t="s">
        <v>29</v>
      </c>
      <c r="D268" s="4" t="s">
        <v>18</v>
      </c>
      <c r="E268" s="4"/>
      <c r="F268" s="4" t="n">
        <v>30</v>
      </c>
      <c r="G268" s="4" t="n">
        <v>4276</v>
      </c>
      <c r="L268" s="1" t="str">
        <f aca="false">IF(ISNUMBER(SEARCH("Bundle",C268)),"Bundles",IF(ISNUMBER(SEARCH("Airtime",C268)),"Bundles",IF(ISNUMBER(SEARCH("Merchant",C268)),"Merchant Payment",IF(ISNUMBER(SEARCH("Offnet C2B",C268)),"Merchant Payment",IF(ISNUMBER(SEARCH("Offnet B2C",C268)),"Merchant Payment",IF(ISNUMBER(SEARCH("Customer Payment to Small",C268)),"Merchant Payment",IF(ISNUMBER(SEARCH("Payment to Small Business",C268)),"Merchant Payment",IF(ISNUMBER(SEARCH("Sent to",C268)),"Sent to Person",IF(ISNUMBER(SEARCH("Customer Transfer to",C268)),"Sent to Person",IF(ISNUMBER(SEARCH("Business Payment",C268)),"Money In",IF(ISNUMBER(SEARCH("Funds Received",C268)),"Money In",IF(ISNUMBER(SEARCH("Receive International",C268)),"Money In",IF(ISNUMBER(SEARCH("Send Money Reversal",C268)),"Money In",IF(ISNUMBER(SEARCH("Pay Utility Reversal",C268)),"Money In",IF(ISNUMBER(SEARCH("Customer Transfer",C268)),"Money In",IF(ISNUMBER(SEARCH("Ziidi",C268)),"Investment",IF(ISNUMBER(SEARCH("Nabo",C268)),"Investment",IF(ISNUMBER(SEARCH("Paybill Online",C268)),"Pay Bill",IF(ISNUMBER(SEARCH("Pay Bill",C268)),"Pay Bill",IF(ISNUMBER(SEARCH("Spotify",C268)),"Pay Bill",IF(ISNUMBER(SEARCH("M-Shwari",C268)),"Mshwari",IF(ISNUMBER(SEARCH("Mshwari",C268)),"Mshwari",IF(ISNUMBER(SEARCH("Withdrawal charge",C268)),"Fees",IF(ISNUMBER(SEARCH("Customer Withdrawal",C268)),"Fees",IF(ISNUMBER(SEARCH("charge",C268)),"Fees","Other")))))))))))))))))))))))))</f>
        <v>Bundles</v>
      </c>
      <c r="R268" s="1" t="str">
        <f aca="false">TEXT(B268,"MMM YYYY")</f>
        <v>Feb 2026</v>
      </c>
    </row>
    <row r="269" customFormat="false" ht="13.8" hidden="false" customHeight="false" outlineLevel="0" collapsed="false">
      <c r="A269" s="4" t="s">
        <v>579</v>
      </c>
      <c r="B269" s="4" t="s">
        <v>580</v>
      </c>
      <c r="C269" s="4" t="s">
        <v>17</v>
      </c>
      <c r="D269" s="4" t="s">
        <v>18</v>
      </c>
      <c r="E269" s="4"/>
      <c r="F269" s="4" t="n">
        <v>10</v>
      </c>
      <c r="G269" s="4" t="n">
        <v>4266</v>
      </c>
      <c r="L269" s="1" t="str">
        <f aca="false">IF(ISNUMBER(SEARCH("Bundle",C269)),"Bundles",IF(ISNUMBER(SEARCH("Airtime",C269)),"Bundles",IF(ISNUMBER(SEARCH("Merchant",C269)),"Merchant Payment",IF(ISNUMBER(SEARCH("Offnet C2B",C269)),"Merchant Payment",IF(ISNUMBER(SEARCH("Offnet B2C",C269)),"Merchant Payment",IF(ISNUMBER(SEARCH("Customer Payment to Small",C269)),"Merchant Payment",IF(ISNUMBER(SEARCH("Payment to Small Business",C269)),"Merchant Payment",IF(ISNUMBER(SEARCH("Sent to",C269)),"Sent to Person",IF(ISNUMBER(SEARCH("Customer Transfer to",C269)),"Sent to Person",IF(ISNUMBER(SEARCH("Business Payment",C269)),"Money In",IF(ISNUMBER(SEARCH("Funds Received",C269)),"Money In",IF(ISNUMBER(SEARCH("Receive International",C269)),"Money In",IF(ISNUMBER(SEARCH("Send Money Reversal",C269)),"Money In",IF(ISNUMBER(SEARCH("Pay Utility Reversal",C269)),"Money In",IF(ISNUMBER(SEARCH("Customer Transfer",C269)),"Money In",IF(ISNUMBER(SEARCH("Ziidi",C269)),"Investment",IF(ISNUMBER(SEARCH("Nabo",C269)),"Investment",IF(ISNUMBER(SEARCH("Paybill Online",C269)),"Pay Bill",IF(ISNUMBER(SEARCH("Pay Bill",C269)),"Pay Bill",IF(ISNUMBER(SEARCH("Spotify",C269)),"Pay Bill",IF(ISNUMBER(SEARCH("M-Shwari",C269)),"Mshwari",IF(ISNUMBER(SEARCH("Mshwari",C269)),"Mshwari",IF(ISNUMBER(SEARCH("Withdrawal charge",C269)),"Fees",IF(ISNUMBER(SEARCH("Customer Withdrawal",C269)),"Fees",IF(ISNUMBER(SEARCH("charge",C269)),"Fees","Other")))))))))))))))))))))))))</f>
        <v>Bundles</v>
      </c>
      <c r="R269" s="1" t="str">
        <f aca="false">TEXT(B269,"MMM YYYY")</f>
        <v>Feb 2026</v>
      </c>
    </row>
    <row r="270" customFormat="false" ht="13.8" hidden="false" customHeight="false" outlineLevel="0" collapsed="false">
      <c r="A270" s="4" t="s">
        <v>581</v>
      </c>
      <c r="B270" s="4" t="s">
        <v>582</v>
      </c>
      <c r="C270" s="4" t="s">
        <v>29</v>
      </c>
      <c r="D270" s="4" t="s">
        <v>18</v>
      </c>
      <c r="E270" s="4"/>
      <c r="F270" s="4" t="n">
        <v>30</v>
      </c>
      <c r="G270" s="4" t="n">
        <v>4236</v>
      </c>
      <c r="L270" s="1" t="str">
        <f aca="false">IF(ISNUMBER(SEARCH("Bundle",C270)),"Bundles",IF(ISNUMBER(SEARCH("Airtime",C270)),"Bundles",IF(ISNUMBER(SEARCH("Merchant",C270)),"Merchant Payment",IF(ISNUMBER(SEARCH("Offnet C2B",C270)),"Merchant Payment",IF(ISNUMBER(SEARCH("Offnet B2C",C270)),"Merchant Payment",IF(ISNUMBER(SEARCH("Customer Payment to Small",C270)),"Merchant Payment",IF(ISNUMBER(SEARCH("Payment to Small Business",C270)),"Merchant Payment",IF(ISNUMBER(SEARCH("Sent to",C270)),"Sent to Person",IF(ISNUMBER(SEARCH("Customer Transfer to",C270)),"Sent to Person",IF(ISNUMBER(SEARCH("Business Payment",C270)),"Money In",IF(ISNUMBER(SEARCH("Funds Received",C270)),"Money In",IF(ISNUMBER(SEARCH("Receive International",C270)),"Money In",IF(ISNUMBER(SEARCH("Send Money Reversal",C270)),"Money In",IF(ISNUMBER(SEARCH("Pay Utility Reversal",C270)),"Money In",IF(ISNUMBER(SEARCH("Customer Transfer",C270)),"Money In",IF(ISNUMBER(SEARCH("Ziidi",C270)),"Investment",IF(ISNUMBER(SEARCH("Nabo",C270)),"Investment",IF(ISNUMBER(SEARCH("Paybill Online",C270)),"Pay Bill",IF(ISNUMBER(SEARCH("Pay Bill",C270)),"Pay Bill",IF(ISNUMBER(SEARCH("Spotify",C270)),"Pay Bill",IF(ISNUMBER(SEARCH("M-Shwari",C270)),"Mshwari",IF(ISNUMBER(SEARCH("Mshwari",C270)),"Mshwari",IF(ISNUMBER(SEARCH("Withdrawal charge",C270)),"Fees",IF(ISNUMBER(SEARCH("Customer Withdrawal",C270)),"Fees",IF(ISNUMBER(SEARCH("charge",C270)),"Fees","Other")))))))))))))))))))))))))</f>
        <v>Bundles</v>
      </c>
      <c r="R270" s="1" t="str">
        <f aca="false">TEXT(B270,"MMM YYYY")</f>
        <v>Feb 2026</v>
      </c>
    </row>
    <row r="271" customFormat="false" ht="13.8" hidden="false" customHeight="false" outlineLevel="0" collapsed="false">
      <c r="A271" s="4" t="s">
        <v>583</v>
      </c>
      <c r="B271" s="4" t="s">
        <v>584</v>
      </c>
      <c r="C271" s="4" t="s">
        <v>29</v>
      </c>
      <c r="D271" s="4" t="s">
        <v>18</v>
      </c>
      <c r="E271" s="4"/>
      <c r="F271" s="4" t="n">
        <v>30</v>
      </c>
      <c r="G271" s="4" t="n">
        <v>4206</v>
      </c>
      <c r="L271" s="1" t="str">
        <f aca="false">IF(ISNUMBER(SEARCH("Bundle",C271)),"Bundles",IF(ISNUMBER(SEARCH("Airtime",C271)),"Bundles",IF(ISNUMBER(SEARCH("Merchant",C271)),"Merchant Payment",IF(ISNUMBER(SEARCH("Offnet C2B",C271)),"Merchant Payment",IF(ISNUMBER(SEARCH("Offnet B2C",C271)),"Merchant Payment",IF(ISNUMBER(SEARCH("Customer Payment to Small",C271)),"Merchant Payment",IF(ISNUMBER(SEARCH("Payment to Small Business",C271)),"Merchant Payment",IF(ISNUMBER(SEARCH("Sent to",C271)),"Sent to Person",IF(ISNUMBER(SEARCH("Customer Transfer to",C271)),"Sent to Person",IF(ISNUMBER(SEARCH("Business Payment",C271)),"Money In",IF(ISNUMBER(SEARCH("Funds Received",C271)),"Money In",IF(ISNUMBER(SEARCH("Receive International",C271)),"Money In",IF(ISNUMBER(SEARCH("Send Money Reversal",C271)),"Money In",IF(ISNUMBER(SEARCH("Pay Utility Reversal",C271)),"Money In",IF(ISNUMBER(SEARCH("Customer Transfer",C271)),"Money In",IF(ISNUMBER(SEARCH("Ziidi",C271)),"Investment",IF(ISNUMBER(SEARCH("Nabo",C271)),"Investment",IF(ISNUMBER(SEARCH("Paybill Online",C271)),"Pay Bill",IF(ISNUMBER(SEARCH("Pay Bill",C271)),"Pay Bill",IF(ISNUMBER(SEARCH("Spotify",C271)),"Pay Bill",IF(ISNUMBER(SEARCH("M-Shwari",C271)),"Mshwari",IF(ISNUMBER(SEARCH("Mshwari",C271)),"Mshwari",IF(ISNUMBER(SEARCH("Withdrawal charge",C271)),"Fees",IF(ISNUMBER(SEARCH("Customer Withdrawal",C271)),"Fees",IF(ISNUMBER(SEARCH("charge",C271)),"Fees","Other")))))))))))))))))))))))))</f>
        <v>Bundles</v>
      </c>
      <c r="R271" s="1" t="str">
        <f aca="false">TEXT(B271,"MMM YYYY")</f>
        <v>Feb 2026</v>
      </c>
    </row>
    <row r="272" customFormat="false" ht="13.8" hidden="false" customHeight="false" outlineLevel="0" collapsed="false">
      <c r="A272" s="4" t="s">
        <v>585</v>
      </c>
      <c r="B272" s="4" t="s">
        <v>586</v>
      </c>
      <c r="C272" s="4" t="s">
        <v>316</v>
      </c>
      <c r="D272" s="4" t="s">
        <v>18</v>
      </c>
      <c r="E272" s="4"/>
      <c r="F272" s="4" t="n">
        <v>255</v>
      </c>
      <c r="G272" s="4" t="n">
        <v>3951</v>
      </c>
      <c r="L272" s="1" t="str">
        <f aca="false">IF(ISNUMBER(SEARCH("Bundle",C272)),"Bundles",IF(ISNUMBER(SEARCH("Airtime",C272)),"Bundles",IF(ISNUMBER(SEARCH("Merchant",C272)),"Merchant Payment",IF(ISNUMBER(SEARCH("Offnet C2B",C272)),"Merchant Payment",IF(ISNUMBER(SEARCH("Offnet B2C",C272)),"Merchant Payment",IF(ISNUMBER(SEARCH("Customer Payment to Small",C272)),"Merchant Payment",IF(ISNUMBER(SEARCH("Payment to Small Business",C272)),"Merchant Payment",IF(ISNUMBER(SEARCH("Sent to",C272)),"Sent to Person",IF(ISNUMBER(SEARCH("Customer Transfer to",C272)),"Sent to Person",IF(ISNUMBER(SEARCH("Business Payment",C272)),"Money In",IF(ISNUMBER(SEARCH("Funds Received",C272)),"Money In",IF(ISNUMBER(SEARCH("Receive International",C272)),"Money In",IF(ISNUMBER(SEARCH("Send Money Reversal",C272)),"Money In",IF(ISNUMBER(SEARCH("Pay Utility Reversal",C272)),"Money In",IF(ISNUMBER(SEARCH("Customer Transfer",C272)),"Money In",IF(ISNUMBER(SEARCH("Ziidi",C272)),"Investment",IF(ISNUMBER(SEARCH("Nabo",C272)),"Investment",IF(ISNUMBER(SEARCH("Paybill Online",C272)),"Pay Bill",IF(ISNUMBER(SEARCH("Pay Bill",C272)),"Pay Bill",IF(ISNUMBER(SEARCH("Spotify",C272)),"Pay Bill",IF(ISNUMBER(SEARCH("M-Shwari",C272)),"Mshwari",IF(ISNUMBER(SEARCH("Mshwari",C272)),"Mshwari",IF(ISNUMBER(SEARCH("Withdrawal charge",C272)),"Fees",IF(ISNUMBER(SEARCH("Customer Withdrawal",C272)),"Fees",IF(ISNUMBER(SEARCH("charge",C272)),"Fees","Other")))))))))))))))))))))))))</f>
        <v>Merchant Payment</v>
      </c>
      <c r="R272" s="1" t="str">
        <f aca="false">TEXT(B272,"MMM YYYY")</f>
        <v>Feb 2026</v>
      </c>
    </row>
    <row r="273" customFormat="false" ht="13.8" hidden="false" customHeight="false" outlineLevel="0" collapsed="false">
      <c r="A273" s="4" t="s">
        <v>587</v>
      </c>
      <c r="B273" s="4" t="s">
        <v>588</v>
      </c>
      <c r="C273" s="4" t="s">
        <v>29</v>
      </c>
      <c r="D273" s="4" t="s">
        <v>18</v>
      </c>
      <c r="E273" s="4"/>
      <c r="F273" s="4" t="n">
        <v>10</v>
      </c>
      <c r="G273" s="4" t="n">
        <v>3941</v>
      </c>
      <c r="L273" s="1" t="str">
        <f aca="false">IF(ISNUMBER(SEARCH("Bundle",C273)),"Bundles",IF(ISNUMBER(SEARCH("Airtime",C273)),"Bundles",IF(ISNUMBER(SEARCH("Merchant",C273)),"Merchant Payment",IF(ISNUMBER(SEARCH("Offnet C2B",C273)),"Merchant Payment",IF(ISNUMBER(SEARCH("Offnet B2C",C273)),"Merchant Payment",IF(ISNUMBER(SEARCH("Customer Payment to Small",C273)),"Merchant Payment",IF(ISNUMBER(SEARCH("Payment to Small Business",C273)),"Merchant Payment",IF(ISNUMBER(SEARCH("Sent to",C273)),"Sent to Person",IF(ISNUMBER(SEARCH("Customer Transfer to",C273)),"Sent to Person",IF(ISNUMBER(SEARCH("Business Payment",C273)),"Money In",IF(ISNUMBER(SEARCH("Funds Received",C273)),"Money In",IF(ISNUMBER(SEARCH("Receive International",C273)),"Money In",IF(ISNUMBER(SEARCH("Send Money Reversal",C273)),"Money In",IF(ISNUMBER(SEARCH("Pay Utility Reversal",C273)),"Money In",IF(ISNUMBER(SEARCH("Customer Transfer",C273)),"Money In",IF(ISNUMBER(SEARCH("Ziidi",C273)),"Investment",IF(ISNUMBER(SEARCH("Nabo",C273)),"Investment",IF(ISNUMBER(SEARCH("Paybill Online",C273)),"Pay Bill",IF(ISNUMBER(SEARCH("Pay Bill",C273)),"Pay Bill",IF(ISNUMBER(SEARCH("Spotify",C273)),"Pay Bill",IF(ISNUMBER(SEARCH("M-Shwari",C273)),"Mshwari",IF(ISNUMBER(SEARCH("Mshwari",C273)),"Mshwari",IF(ISNUMBER(SEARCH("Withdrawal charge",C273)),"Fees",IF(ISNUMBER(SEARCH("Customer Withdrawal",C273)),"Fees",IF(ISNUMBER(SEARCH("charge",C273)),"Fees","Other")))))))))))))))))))))))))</f>
        <v>Bundles</v>
      </c>
      <c r="R273" s="1" t="str">
        <f aca="false">TEXT(B273,"MMM YYYY")</f>
        <v>Feb 2026</v>
      </c>
    </row>
    <row r="274" customFormat="false" ht="13.8" hidden="false" customHeight="false" outlineLevel="0" collapsed="false">
      <c r="A274" s="4" t="s">
        <v>589</v>
      </c>
      <c r="B274" s="4" t="s">
        <v>590</v>
      </c>
      <c r="C274" s="4" t="s">
        <v>591</v>
      </c>
      <c r="D274" s="4" t="s">
        <v>18</v>
      </c>
      <c r="E274" s="4"/>
      <c r="F274" s="4" t="n">
        <v>500</v>
      </c>
      <c r="G274" s="4" t="n">
        <v>3441</v>
      </c>
      <c r="L274" s="1" t="str">
        <f aca="false">IF(ISNUMBER(SEARCH("Bundle",C274)),"Bundles",IF(ISNUMBER(SEARCH("Airtime",C274)),"Bundles",IF(ISNUMBER(SEARCH("Merchant",C274)),"Merchant Payment",IF(ISNUMBER(SEARCH("Offnet C2B",C274)),"Merchant Payment",IF(ISNUMBER(SEARCH("Offnet B2C",C274)),"Merchant Payment",IF(ISNUMBER(SEARCH("Customer Payment to Small",C274)),"Merchant Payment",IF(ISNUMBER(SEARCH("Payment to Small Business",C274)),"Merchant Payment",IF(ISNUMBER(SEARCH("Sent to",C274)),"Sent to Person",IF(ISNUMBER(SEARCH("Customer Transfer to",C274)),"Sent to Person",IF(ISNUMBER(SEARCH("Business Payment",C274)),"Money In",IF(ISNUMBER(SEARCH("Funds Received",C274)),"Money In",IF(ISNUMBER(SEARCH("Receive International",C274)),"Money In",IF(ISNUMBER(SEARCH("Send Money Reversal",C274)),"Money In",IF(ISNUMBER(SEARCH("Pay Utility Reversal",C274)),"Money In",IF(ISNUMBER(SEARCH("Customer Transfer",C274)),"Money In",IF(ISNUMBER(SEARCH("Ziidi",C274)),"Investment",IF(ISNUMBER(SEARCH("Nabo",C274)),"Investment",IF(ISNUMBER(SEARCH("Paybill Online",C274)),"Pay Bill",IF(ISNUMBER(SEARCH("Pay Bill",C274)),"Pay Bill",IF(ISNUMBER(SEARCH("Spotify",C274)),"Pay Bill",IF(ISNUMBER(SEARCH("M-Shwari",C274)),"Mshwari",IF(ISNUMBER(SEARCH("Mshwari",C274)),"Mshwari",IF(ISNUMBER(SEARCH("Withdrawal charge",C274)),"Fees",IF(ISNUMBER(SEARCH("Customer Withdrawal",C274)),"Fees",IF(ISNUMBER(SEARCH("charge",C274)),"Fees","Other")))))))))))))))))))))))))</f>
        <v>Merchant Payment</v>
      </c>
      <c r="R274" s="1" t="str">
        <f aca="false">TEXT(B274,"MMM YYYY")</f>
        <v>Feb 2026</v>
      </c>
    </row>
    <row r="275" customFormat="false" ht="13.8" hidden="false" customHeight="false" outlineLevel="0" collapsed="false">
      <c r="A275" s="4" t="s">
        <v>592</v>
      </c>
      <c r="B275" s="4" t="s">
        <v>593</v>
      </c>
      <c r="C275" s="4" t="s">
        <v>594</v>
      </c>
      <c r="D275" s="4" t="s">
        <v>18</v>
      </c>
      <c r="E275" s="4"/>
      <c r="F275" s="4" t="n">
        <v>21</v>
      </c>
      <c r="G275" s="4" t="n">
        <v>3420</v>
      </c>
      <c r="L275" s="1" t="str">
        <f aca="false">IF(ISNUMBER(SEARCH("Bundle",C275)),"Bundles",IF(ISNUMBER(SEARCH("Airtime",C275)),"Bundles",IF(ISNUMBER(SEARCH("Merchant",C275)),"Merchant Payment",IF(ISNUMBER(SEARCH("Offnet C2B",C275)),"Merchant Payment",IF(ISNUMBER(SEARCH("Offnet B2C",C275)),"Merchant Payment",IF(ISNUMBER(SEARCH("Customer Payment to Small",C275)),"Merchant Payment",IF(ISNUMBER(SEARCH("Payment to Small Business",C275)),"Merchant Payment",IF(ISNUMBER(SEARCH("Sent to",C275)),"Sent to Person",IF(ISNUMBER(SEARCH("Customer Transfer to",C275)),"Sent to Person",IF(ISNUMBER(SEARCH("Business Payment",C275)),"Money In",IF(ISNUMBER(SEARCH("Funds Received",C275)),"Money In",IF(ISNUMBER(SEARCH("Receive International",C275)),"Money In",IF(ISNUMBER(SEARCH("Send Money Reversal",C275)),"Money In",IF(ISNUMBER(SEARCH("Pay Utility Reversal",C275)),"Money In",IF(ISNUMBER(SEARCH("Customer Transfer",C275)),"Money In",IF(ISNUMBER(SEARCH("Ziidi",C275)),"Investment",IF(ISNUMBER(SEARCH("Nabo",C275)),"Investment",IF(ISNUMBER(SEARCH("Paybill Online",C275)),"Pay Bill",IF(ISNUMBER(SEARCH("Pay Bill",C275)),"Pay Bill",IF(ISNUMBER(SEARCH("Spotify",C275)),"Pay Bill",IF(ISNUMBER(SEARCH("M-Shwari",C275)),"Mshwari",IF(ISNUMBER(SEARCH("Mshwari",C275)),"Mshwari",IF(ISNUMBER(SEARCH("Withdrawal charge",C275)),"Fees",IF(ISNUMBER(SEARCH("Customer Withdrawal",C275)),"Fees",IF(ISNUMBER(SEARCH("charge",C275)),"Fees","Other")))))))))))))))))))))))))</f>
        <v>Pay Bill</v>
      </c>
      <c r="R275" s="1" t="str">
        <f aca="false">TEXT(B275,"MMM YYYY")</f>
        <v>Feb 2026</v>
      </c>
    </row>
    <row r="276" customFormat="false" ht="13.8" hidden="false" customHeight="false" outlineLevel="0" collapsed="false">
      <c r="A276" s="4" t="s">
        <v>595</v>
      </c>
      <c r="B276" s="4" t="s">
        <v>596</v>
      </c>
      <c r="C276" s="4" t="s">
        <v>29</v>
      </c>
      <c r="D276" s="4" t="s">
        <v>18</v>
      </c>
      <c r="E276" s="4"/>
      <c r="F276" s="4" t="n">
        <v>10</v>
      </c>
      <c r="G276" s="4" t="n">
        <v>3410</v>
      </c>
      <c r="L276" s="1" t="str">
        <f aca="false">IF(ISNUMBER(SEARCH("Bundle",C276)),"Bundles",IF(ISNUMBER(SEARCH("Airtime",C276)),"Bundles",IF(ISNUMBER(SEARCH("Merchant",C276)),"Merchant Payment",IF(ISNUMBER(SEARCH("Offnet C2B",C276)),"Merchant Payment",IF(ISNUMBER(SEARCH("Offnet B2C",C276)),"Merchant Payment",IF(ISNUMBER(SEARCH("Customer Payment to Small",C276)),"Merchant Payment",IF(ISNUMBER(SEARCH("Payment to Small Business",C276)),"Merchant Payment",IF(ISNUMBER(SEARCH("Sent to",C276)),"Sent to Person",IF(ISNUMBER(SEARCH("Customer Transfer to",C276)),"Sent to Person",IF(ISNUMBER(SEARCH("Business Payment",C276)),"Money In",IF(ISNUMBER(SEARCH("Funds Received",C276)),"Money In",IF(ISNUMBER(SEARCH("Receive International",C276)),"Money In",IF(ISNUMBER(SEARCH("Send Money Reversal",C276)),"Money In",IF(ISNUMBER(SEARCH("Pay Utility Reversal",C276)),"Money In",IF(ISNUMBER(SEARCH("Customer Transfer",C276)),"Money In",IF(ISNUMBER(SEARCH("Ziidi",C276)),"Investment",IF(ISNUMBER(SEARCH("Nabo",C276)),"Investment",IF(ISNUMBER(SEARCH("Paybill Online",C276)),"Pay Bill",IF(ISNUMBER(SEARCH("Pay Bill",C276)),"Pay Bill",IF(ISNUMBER(SEARCH("Spotify",C276)),"Pay Bill",IF(ISNUMBER(SEARCH("M-Shwari",C276)),"Mshwari",IF(ISNUMBER(SEARCH("Mshwari",C276)),"Mshwari",IF(ISNUMBER(SEARCH("Withdrawal charge",C276)),"Fees",IF(ISNUMBER(SEARCH("Customer Withdrawal",C276)),"Fees",IF(ISNUMBER(SEARCH("charge",C276)),"Fees","Other")))))))))))))))))))))))))</f>
        <v>Bundles</v>
      </c>
      <c r="R276" s="1" t="str">
        <f aca="false">TEXT(B276,"MMM YYYY")</f>
        <v>Feb 2026</v>
      </c>
    </row>
    <row r="277" customFormat="false" ht="13.8" hidden="false" customHeight="false" outlineLevel="0" collapsed="false">
      <c r="A277" s="4" t="s">
        <v>597</v>
      </c>
      <c r="B277" s="4" t="s">
        <v>598</v>
      </c>
      <c r="C277" s="4" t="s">
        <v>17</v>
      </c>
      <c r="D277" s="4" t="s">
        <v>18</v>
      </c>
      <c r="E277" s="4"/>
      <c r="F277" s="4" t="n">
        <v>20</v>
      </c>
      <c r="G277" s="4" t="n">
        <v>3390</v>
      </c>
      <c r="L277" s="1" t="str">
        <f aca="false">IF(ISNUMBER(SEARCH("Bundle",C277)),"Bundles",IF(ISNUMBER(SEARCH("Airtime",C277)),"Bundles",IF(ISNUMBER(SEARCH("Merchant",C277)),"Merchant Payment",IF(ISNUMBER(SEARCH("Offnet C2B",C277)),"Merchant Payment",IF(ISNUMBER(SEARCH("Offnet B2C",C277)),"Merchant Payment",IF(ISNUMBER(SEARCH("Customer Payment to Small",C277)),"Merchant Payment",IF(ISNUMBER(SEARCH("Payment to Small Business",C277)),"Merchant Payment",IF(ISNUMBER(SEARCH("Sent to",C277)),"Sent to Person",IF(ISNUMBER(SEARCH("Customer Transfer to",C277)),"Sent to Person",IF(ISNUMBER(SEARCH("Business Payment",C277)),"Money In",IF(ISNUMBER(SEARCH("Funds Received",C277)),"Money In",IF(ISNUMBER(SEARCH("Receive International",C277)),"Money In",IF(ISNUMBER(SEARCH("Send Money Reversal",C277)),"Money In",IF(ISNUMBER(SEARCH("Pay Utility Reversal",C277)),"Money In",IF(ISNUMBER(SEARCH("Customer Transfer",C277)),"Money In",IF(ISNUMBER(SEARCH("Ziidi",C277)),"Investment",IF(ISNUMBER(SEARCH("Nabo",C277)),"Investment",IF(ISNUMBER(SEARCH("Paybill Online",C277)),"Pay Bill",IF(ISNUMBER(SEARCH("Pay Bill",C277)),"Pay Bill",IF(ISNUMBER(SEARCH("Spotify",C277)),"Pay Bill",IF(ISNUMBER(SEARCH("M-Shwari",C277)),"Mshwari",IF(ISNUMBER(SEARCH("Mshwari",C277)),"Mshwari",IF(ISNUMBER(SEARCH("Withdrawal charge",C277)),"Fees",IF(ISNUMBER(SEARCH("Customer Withdrawal",C277)),"Fees",IF(ISNUMBER(SEARCH("charge",C277)),"Fees","Other")))))))))))))))))))))))))</f>
        <v>Bundles</v>
      </c>
      <c r="R277" s="1" t="str">
        <f aca="false">TEXT(B277,"MMM YYYY")</f>
        <v>Feb 2026</v>
      </c>
    </row>
    <row r="278" customFormat="false" ht="13.8" hidden="false" customHeight="false" outlineLevel="0" collapsed="false">
      <c r="A278" s="4" t="s">
        <v>599</v>
      </c>
      <c r="B278" s="4" t="s">
        <v>600</v>
      </c>
      <c r="C278" s="4" t="s">
        <v>29</v>
      </c>
      <c r="D278" s="4" t="s">
        <v>18</v>
      </c>
      <c r="E278" s="4"/>
      <c r="F278" s="4" t="n">
        <v>10</v>
      </c>
      <c r="G278" s="4" t="n">
        <v>3380</v>
      </c>
      <c r="L278" s="1" t="str">
        <f aca="false">IF(ISNUMBER(SEARCH("Bundle",C278)),"Bundles",IF(ISNUMBER(SEARCH("Airtime",C278)),"Bundles",IF(ISNUMBER(SEARCH("Merchant",C278)),"Merchant Payment",IF(ISNUMBER(SEARCH("Offnet C2B",C278)),"Merchant Payment",IF(ISNUMBER(SEARCH("Offnet B2C",C278)),"Merchant Payment",IF(ISNUMBER(SEARCH("Customer Payment to Small",C278)),"Merchant Payment",IF(ISNUMBER(SEARCH("Payment to Small Business",C278)),"Merchant Payment",IF(ISNUMBER(SEARCH("Sent to",C278)),"Sent to Person",IF(ISNUMBER(SEARCH("Customer Transfer to",C278)),"Sent to Person",IF(ISNUMBER(SEARCH("Business Payment",C278)),"Money In",IF(ISNUMBER(SEARCH("Funds Received",C278)),"Money In",IF(ISNUMBER(SEARCH("Receive International",C278)),"Money In",IF(ISNUMBER(SEARCH("Send Money Reversal",C278)),"Money In",IF(ISNUMBER(SEARCH("Pay Utility Reversal",C278)),"Money In",IF(ISNUMBER(SEARCH("Customer Transfer",C278)),"Money In",IF(ISNUMBER(SEARCH("Ziidi",C278)),"Investment",IF(ISNUMBER(SEARCH("Nabo",C278)),"Investment",IF(ISNUMBER(SEARCH("Paybill Online",C278)),"Pay Bill",IF(ISNUMBER(SEARCH("Pay Bill",C278)),"Pay Bill",IF(ISNUMBER(SEARCH("Spotify",C278)),"Pay Bill",IF(ISNUMBER(SEARCH("M-Shwari",C278)),"Mshwari",IF(ISNUMBER(SEARCH("Mshwari",C278)),"Mshwari",IF(ISNUMBER(SEARCH("Withdrawal charge",C278)),"Fees",IF(ISNUMBER(SEARCH("Customer Withdrawal",C278)),"Fees",IF(ISNUMBER(SEARCH("charge",C278)),"Fees","Other")))))))))))))))))))))))))</f>
        <v>Bundles</v>
      </c>
      <c r="R278" s="1" t="str">
        <f aca="false">TEXT(B278,"MMM YYYY")</f>
        <v>Feb 2026</v>
      </c>
    </row>
    <row r="279" customFormat="false" ht="13.8" hidden="false" customHeight="false" outlineLevel="0" collapsed="false">
      <c r="A279" s="4" t="s">
        <v>601</v>
      </c>
      <c r="B279" s="4" t="s">
        <v>602</v>
      </c>
      <c r="C279" s="4" t="s">
        <v>17</v>
      </c>
      <c r="D279" s="4" t="s">
        <v>18</v>
      </c>
      <c r="E279" s="4"/>
      <c r="F279" s="4" t="n">
        <v>20</v>
      </c>
      <c r="G279" s="4" t="n">
        <v>3360</v>
      </c>
      <c r="L279" s="1" t="str">
        <f aca="false">IF(ISNUMBER(SEARCH("Bundle",C279)),"Bundles",IF(ISNUMBER(SEARCH("Airtime",C279)),"Bundles",IF(ISNUMBER(SEARCH("Merchant",C279)),"Merchant Payment",IF(ISNUMBER(SEARCH("Offnet C2B",C279)),"Merchant Payment",IF(ISNUMBER(SEARCH("Offnet B2C",C279)),"Merchant Payment",IF(ISNUMBER(SEARCH("Customer Payment to Small",C279)),"Merchant Payment",IF(ISNUMBER(SEARCH("Payment to Small Business",C279)),"Merchant Payment",IF(ISNUMBER(SEARCH("Sent to",C279)),"Sent to Person",IF(ISNUMBER(SEARCH("Customer Transfer to",C279)),"Sent to Person",IF(ISNUMBER(SEARCH("Business Payment",C279)),"Money In",IF(ISNUMBER(SEARCH("Funds Received",C279)),"Money In",IF(ISNUMBER(SEARCH("Receive International",C279)),"Money In",IF(ISNUMBER(SEARCH("Send Money Reversal",C279)),"Money In",IF(ISNUMBER(SEARCH("Pay Utility Reversal",C279)),"Money In",IF(ISNUMBER(SEARCH("Customer Transfer",C279)),"Money In",IF(ISNUMBER(SEARCH("Ziidi",C279)),"Investment",IF(ISNUMBER(SEARCH("Nabo",C279)),"Investment",IF(ISNUMBER(SEARCH("Paybill Online",C279)),"Pay Bill",IF(ISNUMBER(SEARCH("Pay Bill",C279)),"Pay Bill",IF(ISNUMBER(SEARCH("Spotify",C279)),"Pay Bill",IF(ISNUMBER(SEARCH("M-Shwari",C279)),"Mshwari",IF(ISNUMBER(SEARCH("Mshwari",C279)),"Mshwari",IF(ISNUMBER(SEARCH("Withdrawal charge",C279)),"Fees",IF(ISNUMBER(SEARCH("Customer Withdrawal",C279)),"Fees",IF(ISNUMBER(SEARCH("charge",C279)),"Fees","Other")))))))))))))))))))))))))</f>
        <v>Bundles</v>
      </c>
      <c r="R279" s="1" t="str">
        <f aca="false">TEXT(B279,"MMM YYYY")</f>
        <v>Feb 2026</v>
      </c>
    </row>
    <row r="280" customFormat="false" ht="13.8" hidden="false" customHeight="false" outlineLevel="0" collapsed="false">
      <c r="A280" s="4" t="s">
        <v>603</v>
      </c>
      <c r="B280" s="4" t="s">
        <v>604</v>
      </c>
      <c r="C280" s="4" t="s">
        <v>29</v>
      </c>
      <c r="D280" s="4" t="s">
        <v>18</v>
      </c>
      <c r="E280" s="4"/>
      <c r="F280" s="4" t="n">
        <v>10</v>
      </c>
      <c r="G280" s="4" t="n">
        <v>3350</v>
      </c>
      <c r="L280" s="1" t="str">
        <f aca="false">IF(ISNUMBER(SEARCH("Bundle",C280)),"Bundles",IF(ISNUMBER(SEARCH("Airtime",C280)),"Bundles",IF(ISNUMBER(SEARCH("Merchant",C280)),"Merchant Payment",IF(ISNUMBER(SEARCH("Offnet C2B",C280)),"Merchant Payment",IF(ISNUMBER(SEARCH("Offnet B2C",C280)),"Merchant Payment",IF(ISNUMBER(SEARCH("Customer Payment to Small",C280)),"Merchant Payment",IF(ISNUMBER(SEARCH("Payment to Small Business",C280)),"Merchant Payment",IF(ISNUMBER(SEARCH("Sent to",C280)),"Sent to Person",IF(ISNUMBER(SEARCH("Customer Transfer to",C280)),"Sent to Person",IF(ISNUMBER(SEARCH("Business Payment",C280)),"Money In",IF(ISNUMBER(SEARCH("Funds Received",C280)),"Money In",IF(ISNUMBER(SEARCH("Receive International",C280)),"Money In",IF(ISNUMBER(SEARCH("Send Money Reversal",C280)),"Money In",IF(ISNUMBER(SEARCH("Pay Utility Reversal",C280)),"Money In",IF(ISNUMBER(SEARCH("Customer Transfer",C280)),"Money In",IF(ISNUMBER(SEARCH("Ziidi",C280)),"Investment",IF(ISNUMBER(SEARCH("Nabo",C280)),"Investment",IF(ISNUMBER(SEARCH("Paybill Online",C280)),"Pay Bill",IF(ISNUMBER(SEARCH("Pay Bill",C280)),"Pay Bill",IF(ISNUMBER(SEARCH("Spotify",C280)),"Pay Bill",IF(ISNUMBER(SEARCH("M-Shwari",C280)),"Mshwari",IF(ISNUMBER(SEARCH("Mshwari",C280)),"Mshwari",IF(ISNUMBER(SEARCH("Withdrawal charge",C280)),"Fees",IF(ISNUMBER(SEARCH("Customer Withdrawal",C280)),"Fees",IF(ISNUMBER(SEARCH("charge",C280)),"Fees","Other")))))))))))))))))))))))))</f>
        <v>Bundles</v>
      </c>
      <c r="R280" s="1" t="str">
        <f aca="false">TEXT(B280,"MMM YYYY")</f>
        <v>Feb 2026</v>
      </c>
    </row>
    <row r="281" customFormat="false" ht="13.8" hidden="false" customHeight="false" outlineLevel="0" collapsed="false">
      <c r="A281" s="4" t="s">
        <v>605</v>
      </c>
      <c r="B281" s="4" t="s">
        <v>606</v>
      </c>
      <c r="C281" s="4" t="s">
        <v>239</v>
      </c>
      <c r="D281" s="4" t="s">
        <v>18</v>
      </c>
      <c r="E281" s="4"/>
      <c r="F281" s="4" t="n">
        <v>7</v>
      </c>
      <c r="G281" s="4" t="n">
        <v>3083</v>
      </c>
      <c r="L281" s="1" t="str">
        <f aca="false">IF(ISNUMBER(SEARCH("Bundle",C281)),"Bundles",IF(ISNUMBER(SEARCH("Airtime",C281)),"Bundles",IF(ISNUMBER(SEARCH("Merchant",C281)),"Merchant Payment",IF(ISNUMBER(SEARCH("Offnet C2B",C281)),"Merchant Payment",IF(ISNUMBER(SEARCH("Offnet B2C",C281)),"Merchant Payment",IF(ISNUMBER(SEARCH("Customer Payment to Small",C281)),"Merchant Payment",IF(ISNUMBER(SEARCH("Payment to Small Business",C281)),"Merchant Payment",IF(ISNUMBER(SEARCH("Sent to",C281)),"Sent to Person",IF(ISNUMBER(SEARCH("Customer Transfer to",C281)),"Sent to Person",IF(ISNUMBER(SEARCH("Business Payment",C281)),"Money In",IF(ISNUMBER(SEARCH("Funds Received",C281)),"Money In",IF(ISNUMBER(SEARCH("Receive International",C281)),"Money In",IF(ISNUMBER(SEARCH("Send Money Reversal",C281)),"Money In",IF(ISNUMBER(SEARCH("Pay Utility Reversal",C281)),"Money In",IF(ISNUMBER(SEARCH("Customer Transfer",C281)),"Money In",IF(ISNUMBER(SEARCH("Ziidi",C281)),"Investment",IF(ISNUMBER(SEARCH("Nabo",C281)),"Investment",IF(ISNUMBER(SEARCH("Paybill Online",C281)),"Pay Bill",IF(ISNUMBER(SEARCH("Pay Bill",C281)),"Pay Bill",IF(ISNUMBER(SEARCH("Spotify",C281)),"Pay Bill",IF(ISNUMBER(SEARCH("M-Shwari",C281)),"Mshwari",IF(ISNUMBER(SEARCH("Mshwari",C281)),"Mshwari",IF(ISNUMBER(SEARCH("Withdrawal charge",C281)),"Fees",IF(ISNUMBER(SEARCH("Customer Withdrawal",C281)),"Fees",IF(ISNUMBER(SEARCH("charge",C281)),"Fees","Other")))))))))))))))))))))))))</f>
        <v>Money In</v>
      </c>
      <c r="R281" s="1" t="str">
        <f aca="false">TEXT(B281,"MMM YYYY")</f>
        <v>Feb 2026</v>
      </c>
    </row>
    <row r="282" customFormat="false" ht="13.8" hidden="false" customHeight="false" outlineLevel="0" collapsed="false">
      <c r="A282" s="4" t="s">
        <v>605</v>
      </c>
      <c r="B282" s="4" t="s">
        <v>606</v>
      </c>
      <c r="C282" s="4" t="s">
        <v>246</v>
      </c>
      <c r="D282" s="4" t="s">
        <v>18</v>
      </c>
      <c r="E282" s="4"/>
      <c r="F282" s="4" t="n">
        <v>260</v>
      </c>
      <c r="G282" s="4" t="n">
        <v>3090</v>
      </c>
      <c r="L282" s="1" t="str">
        <f aca="false">IF(ISNUMBER(SEARCH("Bundle",C282)),"Bundles",IF(ISNUMBER(SEARCH("Airtime",C282)),"Bundles",IF(ISNUMBER(SEARCH("Merchant",C282)),"Merchant Payment",IF(ISNUMBER(SEARCH("Offnet C2B",C282)),"Merchant Payment",IF(ISNUMBER(SEARCH("Offnet B2C",C282)),"Merchant Payment",IF(ISNUMBER(SEARCH("Customer Payment to Small",C282)),"Merchant Payment",IF(ISNUMBER(SEARCH("Payment to Small Business",C282)),"Merchant Payment",IF(ISNUMBER(SEARCH("Sent to",C282)),"Sent to Person",IF(ISNUMBER(SEARCH("Customer Transfer to",C282)),"Sent to Person",IF(ISNUMBER(SEARCH("Business Payment",C282)),"Money In",IF(ISNUMBER(SEARCH("Funds Received",C282)),"Money In",IF(ISNUMBER(SEARCH("Receive International",C282)),"Money In",IF(ISNUMBER(SEARCH("Send Money Reversal",C282)),"Money In",IF(ISNUMBER(SEARCH("Pay Utility Reversal",C282)),"Money In",IF(ISNUMBER(SEARCH("Customer Transfer",C282)),"Money In",IF(ISNUMBER(SEARCH("Ziidi",C282)),"Investment",IF(ISNUMBER(SEARCH("Nabo",C282)),"Investment",IF(ISNUMBER(SEARCH("Paybill Online",C282)),"Pay Bill",IF(ISNUMBER(SEARCH("Pay Bill",C282)),"Pay Bill",IF(ISNUMBER(SEARCH("Spotify",C282)),"Pay Bill",IF(ISNUMBER(SEARCH("M-Shwari",C282)),"Mshwari",IF(ISNUMBER(SEARCH("Mshwari",C282)),"Mshwari",IF(ISNUMBER(SEARCH("Withdrawal charge",C282)),"Fees",IF(ISNUMBER(SEARCH("Customer Withdrawal",C282)),"Fees",IF(ISNUMBER(SEARCH("charge",C282)),"Fees","Other")))))))))))))))))))))))))</f>
        <v>Merchant Payment</v>
      </c>
      <c r="R282" s="1" t="str">
        <f aca="false">TEXT(B282,"MMM YYYY")</f>
        <v>Feb 2026</v>
      </c>
    </row>
    <row r="283" customFormat="false" ht="13.8" hidden="false" customHeight="false" outlineLevel="0" collapsed="false">
      <c r="A283" s="4" t="s">
        <v>607</v>
      </c>
      <c r="B283" s="4" t="s">
        <v>608</v>
      </c>
      <c r="C283" s="4" t="s">
        <v>243</v>
      </c>
      <c r="D283" s="4" t="s">
        <v>18</v>
      </c>
      <c r="E283" s="4"/>
      <c r="F283" s="4" t="n">
        <v>70</v>
      </c>
      <c r="G283" s="4" t="n">
        <v>3013</v>
      </c>
      <c r="L283" s="1" t="str">
        <f aca="false">IF(ISNUMBER(SEARCH("Bundle",C283)),"Bundles",IF(ISNUMBER(SEARCH("Airtime",C283)),"Bundles",IF(ISNUMBER(SEARCH("Merchant",C283)),"Merchant Payment",IF(ISNUMBER(SEARCH("Offnet C2B",C283)),"Merchant Payment",IF(ISNUMBER(SEARCH("Offnet B2C",C283)),"Merchant Payment",IF(ISNUMBER(SEARCH("Customer Payment to Small",C283)),"Merchant Payment",IF(ISNUMBER(SEARCH("Payment to Small Business",C283)),"Merchant Payment",IF(ISNUMBER(SEARCH("Sent to",C283)),"Sent to Person",IF(ISNUMBER(SEARCH("Customer Transfer to",C283)),"Sent to Person",IF(ISNUMBER(SEARCH("Business Payment",C283)),"Money In",IF(ISNUMBER(SEARCH("Funds Received",C283)),"Money In",IF(ISNUMBER(SEARCH("Receive International",C283)),"Money In",IF(ISNUMBER(SEARCH("Send Money Reversal",C283)),"Money In",IF(ISNUMBER(SEARCH("Pay Utility Reversal",C283)),"Money In",IF(ISNUMBER(SEARCH("Customer Transfer",C283)),"Money In",IF(ISNUMBER(SEARCH("Ziidi",C283)),"Investment",IF(ISNUMBER(SEARCH("Nabo",C283)),"Investment",IF(ISNUMBER(SEARCH("Paybill Online",C283)),"Pay Bill",IF(ISNUMBER(SEARCH("Pay Bill",C283)),"Pay Bill",IF(ISNUMBER(SEARCH("Spotify",C283)),"Pay Bill",IF(ISNUMBER(SEARCH("M-Shwari",C283)),"Mshwari",IF(ISNUMBER(SEARCH("Mshwari",C283)),"Mshwari",IF(ISNUMBER(SEARCH("Withdrawal charge",C283)),"Fees",IF(ISNUMBER(SEARCH("Customer Withdrawal",C283)),"Fees",IF(ISNUMBER(SEARCH("charge",C283)),"Fees","Other")))))))))))))))))))))))))</f>
        <v>Merchant Payment</v>
      </c>
      <c r="R283" s="1" t="str">
        <f aca="false">TEXT(B283,"MMM YYYY")</f>
        <v>Feb 2026</v>
      </c>
    </row>
    <row r="284" customFormat="false" ht="13.8" hidden="false" customHeight="false" outlineLevel="0" collapsed="false">
      <c r="A284" s="4" t="s">
        <v>609</v>
      </c>
      <c r="B284" s="4" t="s">
        <v>610</v>
      </c>
      <c r="C284" s="4" t="s">
        <v>316</v>
      </c>
      <c r="D284" s="4" t="s">
        <v>18</v>
      </c>
      <c r="E284" s="4"/>
      <c r="F284" s="4" t="n">
        <v>280</v>
      </c>
      <c r="G284" s="4" t="n">
        <v>2733</v>
      </c>
      <c r="L284" s="1" t="str">
        <f aca="false">IF(ISNUMBER(SEARCH("Bundle",C284)),"Bundles",IF(ISNUMBER(SEARCH("Airtime",C284)),"Bundles",IF(ISNUMBER(SEARCH("Merchant",C284)),"Merchant Payment",IF(ISNUMBER(SEARCH("Offnet C2B",C284)),"Merchant Payment",IF(ISNUMBER(SEARCH("Offnet B2C",C284)),"Merchant Payment",IF(ISNUMBER(SEARCH("Customer Payment to Small",C284)),"Merchant Payment",IF(ISNUMBER(SEARCH("Payment to Small Business",C284)),"Merchant Payment",IF(ISNUMBER(SEARCH("Sent to",C284)),"Sent to Person",IF(ISNUMBER(SEARCH("Customer Transfer to",C284)),"Sent to Person",IF(ISNUMBER(SEARCH("Business Payment",C284)),"Money In",IF(ISNUMBER(SEARCH("Funds Received",C284)),"Money In",IF(ISNUMBER(SEARCH("Receive International",C284)),"Money In",IF(ISNUMBER(SEARCH("Send Money Reversal",C284)),"Money In",IF(ISNUMBER(SEARCH("Pay Utility Reversal",C284)),"Money In",IF(ISNUMBER(SEARCH("Customer Transfer",C284)),"Money In",IF(ISNUMBER(SEARCH("Ziidi",C284)),"Investment",IF(ISNUMBER(SEARCH("Nabo",C284)),"Investment",IF(ISNUMBER(SEARCH("Paybill Online",C284)),"Pay Bill",IF(ISNUMBER(SEARCH("Pay Bill",C284)),"Pay Bill",IF(ISNUMBER(SEARCH("Spotify",C284)),"Pay Bill",IF(ISNUMBER(SEARCH("M-Shwari",C284)),"Mshwari",IF(ISNUMBER(SEARCH("Mshwari",C284)),"Mshwari",IF(ISNUMBER(SEARCH("Withdrawal charge",C284)),"Fees",IF(ISNUMBER(SEARCH("Customer Withdrawal",C284)),"Fees",IF(ISNUMBER(SEARCH("charge",C284)),"Fees","Other")))))))))))))))))))))))))</f>
        <v>Merchant Payment</v>
      </c>
      <c r="R284" s="1" t="str">
        <f aca="false">TEXT(B284,"MMM YYYY")</f>
        <v>Feb 2026</v>
      </c>
    </row>
    <row r="285" customFormat="false" ht="13.8" hidden="false" customHeight="false" outlineLevel="0" collapsed="false">
      <c r="A285" s="4" t="s">
        <v>611</v>
      </c>
      <c r="B285" s="4" t="s">
        <v>612</v>
      </c>
      <c r="C285" s="4" t="s">
        <v>613</v>
      </c>
      <c r="D285" s="4" t="s">
        <v>18</v>
      </c>
      <c r="E285" s="4"/>
      <c r="F285" s="4" t="n">
        <v>100</v>
      </c>
      <c r="G285" s="4" t="n">
        <v>2633</v>
      </c>
      <c r="L285" s="1" t="str">
        <f aca="false">IF(ISNUMBER(SEARCH("Bundle",C285)),"Bundles",IF(ISNUMBER(SEARCH("Airtime",C285)),"Bundles",IF(ISNUMBER(SEARCH("Merchant",C285)),"Merchant Payment",IF(ISNUMBER(SEARCH("Offnet C2B",C285)),"Merchant Payment",IF(ISNUMBER(SEARCH("Offnet B2C",C285)),"Merchant Payment",IF(ISNUMBER(SEARCH("Customer Payment to Small",C285)),"Merchant Payment",IF(ISNUMBER(SEARCH("Payment to Small Business",C285)),"Merchant Payment",IF(ISNUMBER(SEARCH("Sent to",C285)),"Sent to Person",IF(ISNUMBER(SEARCH("Customer Transfer to",C285)),"Sent to Person",IF(ISNUMBER(SEARCH("Business Payment",C285)),"Money In",IF(ISNUMBER(SEARCH("Funds Received",C285)),"Money In",IF(ISNUMBER(SEARCH("Receive International",C285)),"Money In",IF(ISNUMBER(SEARCH("Send Money Reversal",C285)),"Money In",IF(ISNUMBER(SEARCH("Pay Utility Reversal",C285)),"Money In",IF(ISNUMBER(SEARCH("Customer Transfer",C285)),"Money In",IF(ISNUMBER(SEARCH("Ziidi",C285)),"Investment",IF(ISNUMBER(SEARCH("Nabo",C285)),"Investment",IF(ISNUMBER(SEARCH("Paybill Online",C285)),"Pay Bill",IF(ISNUMBER(SEARCH("Pay Bill",C285)),"Pay Bill",IF(ISNUMBER(SEARCH("Spotify",C285)),"Pay Bill",IF(ISNUMBER(SEARCH("M-Shwari",C285)),"Mshwari",IF(ISNUMBER(SEARCH("Mshwari",C285)),"Mshwari",IF(ISNUMBER(SEARCH("Withdrawal charge",C285)),"Fees",IF(ISNUMBER(SEARCH("Customer Withdrawal",C285)),"Fees",IF(ISNUMBER(SEARCH("charge",C285)),"Fees","Other")))))))))))))))))))))))))</f>
        <v>Merchant Payment</v>
      </c>
      <c r="R285" s="1" t="str">
        <f aca="false">TEXT(B285,"MMM YYYY")</f>
        <v>Feb 2026</v>
      </c>
    </row>
    <row r="286" customFormat="false" ht="13.8" hidden="false" customHeight="false" outlineLevel="0" collapsed="false">
      <c r="A286" s="4" t="s">
        <v>614</v>
      </c>
      <c r="B286" s="4" t="s">
        <v>615</v>
      </c>
      <c r="C286" s="4" t="s">
        <v>29</v>
      </c>
      <c r="D286" s="4" t="s">
        <v>18</v>
      </c>
      <c r="E286" s="4"/>
      <c r="F286" s="4" t="n">
        <v>30</v>
      </c>
      <c r="G286" s="4" t="n">
        <v>2603</v>
      </c>
      <c r="L286" s="1" t="str">
        <f aca="false">IF(ISNUMBER(SEARCH("Bundle",C286)),"Bundles",IF(ISNUMBER(SEARCH("Airtime",C286)),"Bundles",IF(ISNUMBER(SEARCH("Merchant",C286)),"Merchant Payment",IF(ISNUMBER(SEARCH("Offnet C2B",C286)),"Merchant Payment",IF(ISNUMBER(SEARCH("Offnet B2C",C286)),"Merchant Payment",IF(ISNUMBER(SEARCH("Customer Payment to Small",C286)),"Merchant Payment",IF(ISNUMBER(SEARCH("Payment to Small Business",C286)),"Merchant Payment",IF(ISNUMBER(SEARCH("Sent to",C286)),"Sent to Person",IF(ISNUMBER(SEARCH("Customer Transfer to",C286)),"Sent to Person",IF(ISNUMBER(SEARCH("Business Payment",C286)),"Money In",IF(ISNUMBER(SEARCH("Funds Received",C286)),"Money In",IF(ISNUMBER(SEARCH("Receive International",C286)),"Money In",IF(ISNUMBER(SEARCH("Send Money Reversal",C286)),"Money In",IF(ISNUMBER(SEARCH("Pay Utility Reversal",C286)),"Money In",IF(ISNUMBER(SEARCH("Customer Transfer",C286)),"Money In",IF(ISNUMBER(SEARCH("Ziidi",C286)),"Investment",IF(ISNUMBER(SEARCH("Nabo",C286)),"Investment",IF(ISNUMBER(SEARCH("Paybill Online",C286)),"Pay Bill",IF(ISNUMBER(SEARCH("Pay Bill",C286)),"Pay Bill",IF(ISNUMBER(SEARCH("Spotify",C286)),"Pay Bill",IF(ISNUMBER(SEARCH("M-Shwari",C286)),"Mshwari",IF(ISNUMBER(SEARCH("Mshwari",C286)),"Mshwari",IF(ISNUMBER(SEARCH("Withdrawal charge",C286)),"Fees",IF(ISNUMBER(SEARCH("Customer Withdrawal",C286)),"Fees",IF(ISNUMBER(SEARCH("charge",C286)),"Fees","Other")))))))))))))))))))))))))</f>
        <v>Bundles</v>
      </c>
      <c r="R286" s="1" t="str">
        <f aca="false">TEXT(B286,"MMM YYYY")</f>
        <v>Feb 2026</v>
      </c>
    </row>
    <row r="287" customFormat="false" ht="13.8" hidden="false" customHeight="false" outlineLevel="0" collapsed="false">
      <c r="A287" s="4" t="s">
        <v>616</v>
      </c>
      <c r="B287" s="4" t="s">
        <v>617</v>
      </c>
      <c r="C287" s="4" t="s">
        <v>618</v>
      </c>
      <c r="D287" s="4" t="s">
        <v>18</v>
      </c>
      <c r="E287" s="4" t="n">
        <v>3000</v>
      </c>
      <c r="F287" s="4"/>
      <c r="G287" s="4" t="n">
        <v>5603</v>
      </c>
      <c r="L287" s="1" t="str">
        <f aca="false">IF(ISNUMBER(SEARCH("Bundle",C287)),"Bundles",IF(ISNUMBER(SEARCH("Airtime",C287)),"Bundles",IF(ISNUMBER(SEARCH("Merchant",C287)),"Merchant Payment",IF(ISNUMBER(SEARCH("Offnet C2B",C287)),"Merchant Payment",IF(ISNUMBER(SEARCH("Offnet B2C",C287)),"Merchant Payment",IF(ISNUMBER(SEARCH("Customer Payment to Small",C287)),"Merchant Payment",IF(ISNUMBER(SEARCH("Payment to Small Business",C287)),"Merchant Payment",IF(ISNUMBER(SEARCH("Sent to",C287)),"Sent to Person",IF(ISNUMBER(SEARCH("Customer Transfer to",C287)),"Sent to Person",IF(ISNUMBER(SEARCH("Business Payment",C287)),"Money In",IF(ISNUMBER(SEARCH("Funds Received",C287)),"Money In",IF(ISNUMBER(SEARCH("Receive International",C287)),"Money In",IF(ISNUMBER(SEARCH("Send Money Reversal",C287)),"Money In",IF(ISNUMBER(SEARCH("Pay Utility Reversal",C287)),"Money In",IF(ISNUMBER(SEARCH("Customer Transfer",C287)),"Money In",IF(ISNUMBER(SEARCH("Ziidi",C287)),"Investment",IF(ISNUMBER(SEARCH("Nabo",C287)),"Investment",IF(ISNUMBER(SEARCH("Paybill Online",C287)),"Pay Bill",IF(ISNUMBER(SEARCH("Pay Bill",C287)),"Pay Bill",IF(ISNUMBER(SEARCH("Spotify",C287)),"Pay Bill",IF(ISNUMBER(SEARCH("M-Shwari",C287)),"Mshwari",IF(ISNUMBER(SEARCH("Mshwari",C287)),"Mshwari",IF(ISNUMBER(SEARCH("Withdrawal charge",C287)),"Fees",IF(ISNUMBER(SEARCH("Customer Withdrawal",C287)),"Fees",IF(ISNUMBER(SEARCH("charge",C287)),"Fees","Other")))))))))))))))))))))))))</f>
        <v>Money In</v>
      </c>
      <c r="R287" s="1" t="str">
        <f aca="false">TEXT(B287,"MMM YYYY")</f>
        <v>Feb 2026</v>
      </c>
    </row>
    <row r="288" customFormat="false" ht="13.8" hidden="false" customHeight="false" outlineLevel="0" collapsed="false">
      <c r="A288" s="4" t="s">
        <v>619</v>
      </c>
      <c r="B288" s="4" t="s">
        <v>620</v>
      </c>
      <c r="C288" s="4" t="s">
        <v>621</v>
      </c>
      <c r="D288" s="4" t="s">
        <v>18</v>
      </c>
      <c r="E288" s="4"/>
      <c r="F288" s="4" t="n">
        <v>3000</v>
      </c>
      <c r="G288" s="4" t="n">
        <v>2603</v>
      </c>
      <c r="L288" s="1" t="str">
        <f aca="false">IF(ISNUMBER(SEARCH("Bundle",C288)),"Bundles",IF(ISNUMBER(SEARCH("Airtime",C288)),"Bundles",IF(ISNUMBER(SEARCH("Merchant",C288)),"Merchant Payment",IF(ISNUMBER(SEARCH("Offnet C2B",C288)),"Merchant Payment",IF(ISNUMBER(SEARCH("Offnet B2C",C288)),"Merchant Payment",IF(ISNUMBER(SEARCH("Customer Payment to Small",C288)),"Merchant Payment",IF(ISNUMBER(SEARCH("Payment to Small Business",C288)),"Merchant Payment",IF(ISNUMBER(SEARCH("Sent to",C288)),"Sent to Person",IF(ISNUMBER(SEARCH("Customer Transfer to",C288)),"Sent to Person",IF(ISNUMBER(SEARCH("Business Payment",C288)),"Money In",IF(ISNUMBER(SEARCH("Funds Received",C288)),"Money In",IF(ISNUMBER(SEARCH("Receive International",C288)),"Money In",IF(ISNUMBER(SEARCH("Send Money Reversal",C288)),"Money In",IF(ISNUMBER(SEARCH("Pay Utility Reversal",C288)),"Money In",IF(ISNUMBER(SEARCH("Customer Transfer",C288)),"Money In",IF(ISNUMBER(SEARCH("Ziidi",C288)),"Investment",IF(ISNUMBER(SEARCH("Nabo",C288)),"Investment",IF(ISNUMBER(SEARCH("Paybill Online",C288)),"Pay Bill",IF(ISNUMBER(SEARCH("Pay Bill",C288)),"Pay Bill",IF(ISNUMBER(SEARCH("Spotify",C288)),"Pay Bill",IF(ISNUMBER(SEARCH("M-Shwari",C288)),"Mshwari",IF(ISNUMBER(SEARCH("Mshwari",C288)),"Mshwari",IF(ISNUMBER(SEARCH("Withdrawal charge",C288)),"Fees",IF(ISNUMBER(SEARCH("Customer Withdrawal",C288)),"Fees",IF(ISNUMBER(SEARCH("charge",C288)),"Fees","Other")))))))))))))))))))))))))</f>
        <v>Mshwari</v>
      </c>
      <c r="R288" s="1" t="str">
        <f aca="false">TEXT(B288,"MMM YYYY")</f>
        <v>Feb 2026</v>
      </c>
    </row>
    <row r="289" customFormat="false" ht="13.8" hidden="false" customHeight="false" outlineLevel="0" collapsed="false">
      <c r="A289" s="4" t="s">
        <v>622</v>
      </c>
      <c r="B289" s="4" t="s">
        <v>623</v>
      </c>
      <c r="C289" s="4" t="s">
        <v>17</v>
      </c>
      <c r="D289" s="4" t="s">
        <v>18</v>
      </c>
      <c r="E289" s="4"/>
      <c r="F289" s="4" t="n">
        <v>20</v>
      </c>
      <c r="G289" s="4" t="n">
        <v>2583</v>
      </c>
      <c r="L289" s="1" t="str">
        <f aca="false">IF(ISNUMBER(SEARCH("Bundle",C289)),"Bundles",IF(ISNUMBER(SEARCH("Airtime",C289)),"Bundles",IF(ISNUMBER(SEARCH("Merchant",C289)),"Merchant Payment",IF(ISNUMBER(SEARCH("Offnet C2B",C289)),"Merchant Payment",IF(ISNUMBER(SEARCH("Offnet B2C",C289)),"Merchant Payment",IF(ISNUMBER(SEARCH("Customer Payment to Small",C289)),"Merchant Payment",IF(ISNUMBER(SEARCH("Payment to Small Business",C289)),"Merchant Payment",IF(ISNUMBER(SEARCH("Sent to",C289)),"Sent to Person",IF(ISNUMBER(SEARCH("Customer Transfer to",C289)),"Sent to Person",IF(ISNUMBER(SEARCH("Business Payment",C289)),"Money In",IF(ISNUMBER(SEARCH("Funds Received",C289)),"Money In",IF(ISNUMBER(SEARCH("Receive International",C289)),"Money In",IF(ISNUMBER(SEARCH("Send Money Reversal",C289)),"Money In",IF(ISNUMBER(SEARCH("Pay Utility Reversal",C289)),"Money In",IF(ISNUMBER(SEARCH("Customer Transfer",C289)),"Money In",IF(ISNUMBER(SEARCH("Ziidi",C289)),"Investment",IF(ISNUMBER(SEARCH("Nabo",C289)),"Investment",IF(ISNUMBER(SEARCH("Paybill Online",C289)),"Pay Bill",IF(ISNUMBER(SEARCH("Pay Bill",C289)),"Pay Bill",IF(ISNUMBER(SEARCH("Spotify",C289)),"Pay Bill",IF(ISNUMBER(SEARCH("M-Shwari",C289)),"Mshwari",IF(ISNUMBER(SEARCH("Mshwari",C289)),"Mshwari",IF(ISNUMBER(SEARCH("Withdrawal charge",C289)),"Fees",IF(ISNUMBER(SEARCH("Customer Withdrawal",C289)),"Fees",IF(ISNUMBER(SEARCH("charge",C289)),"Fees","Other")))))))))))))))))))))))))</f>
        <v>Bundles</v>
      </c>
      <c r="R289" s="1" t="str">
        <f aca="false">TEXT(B289,"MMM YYYY")</f>
        <v>Feb 2026</v>
      </c>
    </row>
    <row r="290" customFormat="false" ht="13.8" hidden="false" customHeight="false" outlineLevel="0" collapsed="false">
      <c r="A290" s="4" t="s">
        <v>624</v>
      </c>
      <c r="B290" s="4" t="s">
        <v>625</v>
      </c>
      <c r="C290" s="4" t="s">
        <v>29</v>
      </c>
      <c r="D290" s="4" t="s">
        <v>18</v>
      </c>
      <c r="E290" s="4"/>
      <c r="F290" s="4" t="n">
        <v>10</v>
      </c>
      <c r="G290" s="4" t="n">
        <v>2573</v>
      </c>
      <c r="L290" s="1" t="str">
        <f aca="false">IF(ISNUMBER(SEARCH("Bundle",C290)),"Bundles",IF(ISNUMBER(SEARCH("Airtime",C290)),"Bundles",IF(ISNUMBER(SEARCH("Merchant",C290)),"Merchant Payment",IF(ISNUMBER(SEARCH("Offnet C2B",C290)),"Merchant Payment",IF(ISNUMBER(SEARCH("Offnet B2C",C290)),"Merchant Payment",IF(ISNUMBER(SEARCH("Customer Payment to Small",C290)),"Merchant Payment",IF(ISNUMBER(SEARCH("Payment to Small Business",C290)),"Merchant Payment",IF(ISNUMBER(SEARCH("Sent to",C290)),"Sent to Person",IF(ISNUMBER(SEARCH("Customer Transfer to",C290)),"Sent to Person",IF(ISNUMBER(SEARCH("Business Payment",C290)),"Money In",IF(ISNUMBER(SEARCH("Funds Received",C290)),"Money In",IF(ISNUMBER(SEARCH("Receive International",C290)),"Money In",IF(ISNUMBER(SEARCH("Send Money Reversal",C290)),"Money In",IF(ISNUMBER(SEARCH("Pay Utility Reversal",C290)),"Money In",IF(ISNUMBER(SEARCH("Customer Transfer",C290)),"Money In",IF(ISNUMBER(SEARCH("Ziidi",C290)),"Investment",IF(ISNUMBER(SEARCH("Nabo",C290)),"Investment",IF(ISNUMBER(SEARCH("Paybill Online",C290)),"Pay Bill",IF(ISNUMBER(SEARCH("Pay Bill",C290)),"Pay Bill",IF(ISNUMBER(SEARCH("Spotify",C290)),"Pay Bill",IF(ISNUMBER(SEARCH("M-Shwari",C290)),"Mshwari",IF(ISNUMBER(SEARCH("Mshwari",C290)),"Mshwari",IF(ISNUMBER(SEARCH("Withdrawal charge",C290)),"Fees",IF(ISNUMBER(SEARCH("Customer Withdrawal",C290)),"Fees",IF(ISNUMBER(SEARCH("charge",C290)),"Fees","Other")))))))))))))))))))))))))</f>
        <v>Bundles</v>
      </c>
      <c r="R290" s="1" t="str">
        <f aca="false">TEXT(B290,"MMM YYYY")</f>
        <v>Feb 2026</v>
      </c>
    </row>
    <row r="291" customFormat="false" ht="13.8" hidden="false" customHeight="false" outlineLevel="0" collapsed="false">
      <c r="A291" s="4" t="s">
        <v>626</v>
      </c>
      <c r="B291" s="4" t="s">
        <v>627</v>
      </c>
      <c r="C291" s="4" t="s">
        <v>628</v>
      </c>
      <c r="D291" s="4" t="s">
        <v>18</v>
      </c>
      <c r="E291" s="4"/>
      <c r="F291" s="4" t="n">
        <v>500</v>
      </c>
      <c r="G291" s="4" t="n">
        <v>2073</v>
      </c>
      <c r="L291" s="1" t="str">
        <f aca="false">IF(ISNUMBER(SEARCH("Bundle",C291)),"Bundles",IF(ISNUMBER(SEARCH("Airtime",C291)),"Bundles",IF(ISNUMBER(SEARCH("Merchant",C291)),"Merchant Payment",IF(ISNUMBER(SEARCH("Offnet C2B",C291)),"Merchant Payment",IF(ISNUMBER(SEARCH("Offnet B2C",C291)),"Merchant Payment",IF(ISNUMBER(SEARCH("Customer Payment to Small",C291)),"Merchant Payment",IF(ISNUMBER(SEARCH("Payment to Small Business",C291)),"Merchant Payment",IF(ISNUMBER(SEARCH("Sent to",C291)),"Sent to Person",IF(ISNUMBER(SEARCH("Customer Transfer to",C291)),"Sent to Person",IF(ISNUMBER(SEARCH("Business Payment",C291)),"Money In",IF(ISNUMBER(SEARCH("Funds Received",C291)),"Money In",IF(ISNUMBER(SEARCH("Receive International",C291)),"Money In",IF(ISNUMBER(SEARCH("Send Money Reversal",C291)),"Money In",IF(ISNUMBER(SEARCH("Pay Utility Reversal",C291)),"Money In",IF(ISNUMBER(SEARCH("Customer Transfer",C291)),"Money In",IF(ISNUMBER(SEARCH("Ziidi",C291)),"Investment",IF(ISNUMBER(SEARCH("Nabo",C291)),"Investment",IF(ISNUMBER(SEARCH("Paybill Online",C291)),"Pay Bill",IF(ISNUMBER(SEARCH("Pay Bill",C291)),"Pay Bill",IF(ISNUMBER(SEARCH("Spotify",C291)),"Pay Bill",IF(ISNUMBER(SEARCH("M-Shwari",C291)),"Mshwari",IF(ISNUMBER(SEARCH("Mshwari",C291)),"Mshwari",IF(ISNUMBER(SEARCH("Withdrawal charge",C291)),"Fees",IF(ISNUMBER(SEARCH("Customer Withdrawal",C291)),"Fees",IF(ISNUMBER(SEARCH("charge",C291)),"Fees","Other")))))))))))))))))))))))))</f>
        <v>Investment</v>
      </c>
      <c r="R291" s="1" t="str">
        <f aca="false">TEXT(B291,"MMM YYYY")</f>
        <v>Feb 2026</v>
      </c>
    </row>
    <row r="292" customFormat="false" ht="13.8" hidden="false" customHeight="false" outlineLevel="0" collapsed="false">
      <c r="A292" s="4" t="s">
        <v>626</v>
      </c>
      <c r="B292" s="4" t="s">
        <v>627</v>
      </c>
      <c r="C292" s="4" t="s">
        <v>182</v>
      </c>
      <c r="D292" s="4" t="s">
        <v>18</v>
      </c>
      <c r="E292" s="4"/>
      <c r="F292" s="4" t="n">
        <v>5</v>
      </c>
      <c r="G292" s="4" t="n">
        <v>2068</v>
      </c>
      <c r="L292" s="1" t="str">
        <f aca="false">IF(ISNUMBER(SEARCH("Bundle",C292)),"Bundles",IF(ISNUMBER(SEARCH("Airtime",C292)),"Bundles",IF(ISNUMBER(SEARCH("Merchant",C292)),"Merchant Payment",IF(ISNUMBER(SEARCH("Offnet C2B",C292)),"Merchant Payment",IF(ISNUMBER(SEARCH("Offnet B2C",C292)),"Merchant Payment",IF(ISNUMBER(SEARCH("Customer Payment to Small",C292)),"Merchant Payment",IF(ISNUMBER(SEARCH("Payment to Small Business",C292)),"Merchant Payment",IF(ISNUMBER(SEARCH("Sent to",C292)),"Sent to Person",IF(ISNUMBER(SEARCH("Customer Transfer to",C292)),"Sent to Person",IF(ISNUMBER(SEARCH("Business Payment",C292)),"Money In",IF(ISNUMBER(SEARCH("Funds Received",C292)),"Money In",IF(ISNUMBER(SEARCH("Receive International",C292)),"Money In",IF(ISNUMBER(SEARCH("Send Money Reversal",C292)),"Money In",IF(ISNUMBER(SEARCH("Pay Utility Reversal",C292)),"Money In",IF(ISNUMBER(SEARCH("Customer Transfer",C292)),"Money In",IF(ISNUMBER(SEARCH("Ziidi",C292)),"Investment",IF(ISNUMBER(SEARCH("Nabo",C292)),"Investment",IF(ISNUMBER(SEARCH("Paybill Online",C292)),"Pay Bill",IF(ISNUMBER(SEARCH("Pay Bill",C292)),"Pay Bill",IF(ISNUMBER(SEARCH("Spotify",C292)),"Pay Bill",IF(ISNUMBER(SEARCH("M-Shwari",C292)),"Mshwari",IF(ISNUMBER(SEARCH("Mshwari",C292)),"Mshwari",IF(ISNUMBER(SEARCH("Withdrawal charge",C292)),"Fees",IF(ISNUMBER(SEARCH("Customer Withdrawal",C292)),"Fees",IF(ISNUMBER(SEARCH("charge",C292)),"Fees","Other")))))))))))))))))))))))))</f>
        <v>Pay Bill</v>
      </c>
      <c r="R292" s="1" t="str">
        <f aca="false">TEXT(B292,"MMM YYYY")</f>
        <v>Feb 2026</v>
      </c>
    </row>
    <row r="293" customFormat="false" ht="13.8" hidden="false" customHeight="false" outlineLevel="0" collapsed="false">
      <c r="A293" s="4" t="s">
        <v>629</v>
      </c>
      <c r="B293" s="4" t="s">
        <v>630</v>
      </c>
      <c r="C293" s="4" t="s">
        <v>17</v>
      </c>
      <c r="D293" s="4" t="s">
        <v>18</v>
      </c>
      <c r="E293" s="4"/>
      <c r="F293" s="4" t="n">
        <v>20</v>
      </c>
      <c r="G293" s="4" t="n">
        <v>2048</v>
      </c>
      <c r="L293" s="1" t="str">
        <f aca="false">IF(ISNUMBER(SEARCH("Bundle",C293)),"Bundles",IF(ISNUMBER(SEARCH("Airtime",C293)),"Bundles",IF(ISNUMBER(SEARCH("Merchant",C293)),"Merchant Payment",IF(ISNUMBER(SEARCH("Offnet C2B",C293)),"Merchant Payment",IF(ISNUMBER(SEARCH("Offnet B2C",C293)),"Merchant Payment",IF(ISNUMBER(SEARCH("Customer Payment to Small",C293)),"Merchant Payment",IF(ISNUMBER(SEARCH("Payment to Small Business",C293)),"Merchant Payment",IF(ISNUMBER(SEARCH("Sent to",C293)),"Sent to Person",IF(ISNUMBER(SEARCH("Customer Transfer to",C293)),"Sent to Person",IF(ISNUMBER(SEARCH("Business Payment",C293)),"Money In",IF(ISNUMBER(SEARCH("Funds Received",C293)),"Money In",IF(ISNUMBER(SEARCH("Receive International",C293)),"Money In",IF(ISNUMBER(SEARCH("Send Money Reversal",C293)),"Money In",IF(ISNUMBER(SEARCH("Pay Utility Reversal",C293)),"Money In",IF(ISNUMBER(SEARCH("Customer Transfer",C293)),"Money In",IF(ISNUMBER(SEARCH("Ziidi",C293)),"Investment",IF(ISNUMBER(SEARCH("Nabo",C293)),"Investment",IF(ISNUMBER(SEARCH("Paybill Online",C293)),"Pay Bill",IF(ISNUMBER(SEARCH("Pay Bill",C293)),"Pay Bill",IF(ISNUMBER(SEARCH("Spotify",C293)),"Pay Bill",IF(ISNUMBER(SEARCH("M-Shwari",C293)),"Mshwari",IF(ISNUMBER(SEARCH("Mshwari",C293)),"Mshwari",IF(ISNUMBER(SEARCH("Withdrawal charge",C293)),"Fees",IF(ISNUMBER(SEARCH("Customer Withdrawal",C293)),"Fees",IF(ISNUMBER(SEARCH("charge",C293)),"Fees","Other")))))))))))))))))))))))))</f>
        <v>Bundles</v>
      </c>
      <c r="R293" s="1" t="str">
        <f aca="false">TEXT(B293,"MMM YYYY")</f>
        <v>Feb 2026</v>
      </c>
    </row>
    <row r="294" customFormat="false" ht="13.8" hidden="false" customHeight="false" outlineLevel="0" collapsed="false">
      <c r="A294" s="4" t="s">
        <v>631</v>
      </c>
      <c r="B294" s="4" t="s">
        <v>632</v>
      </c>
      <c r="C294" s="4" t="s">
        <v>29</v>
      </c>
      <c r="D294" s="4" t="s">
        <v>18</v>
      </c>
      <c r="E294" s="4"/>
      <c r="F294" s="4" t="n">
        <v>250</v>
      </c>
      <c r="G294" s="4" t="n">
        <v>1798</v>
      </c>
      <c r="L294" s="1" t="str">
        <f aca="false">IF(ISNUMBER(SEARCH("Bundle",C294)),"Bundles",IF(ISNUMBER(SEARCH("Airtime",C294)),"Bundles",IF(ISNUMBER(SEARCH("Merchant",C294)),"Merchant Payment",IF(ISNUMBER(SEARCH("Offnet C2B",C294)),"Merchant Payment",IF(ISNUMBER(SEARCH("Offnet B2C",C294)),"Merchant Payment",IF(ISNUMBER(SEARCH("Customer Payment to Small",C294)),"Merchant Payment",IF(ISNUMBER(SEARCH("Payment to Small Business",C294)),"Merchant Payment",IF(ISNUMBER(SEARCH("Sent to",C294)),"Sent to Person",IF(ISNUMBER(SEARCH("Customer Transfer to",C294)),"Sent to Person",IF(ISNUMBER(SEARCH("Business Payment",C294)),"Money In",IF(ISNUMBER(SEARCH("Funds Received",C294)),"Money In",IF(ISNUMBER(SEARCH("Receive International",C294)),"Money In",IF(ISNUMBER(SEARCH("Send Money Reversal",C294)),"Money In",IF(ISNUMBER(SEARCH("Pay Utility Reversal",C294)),"Money In",IF(ISNUMBER(SEARCH("Customer Transfer",C294)),"Money In",IF(ISNUMBER(SEARCH("Ziidi",C294)),"Investment",IF(ISNUMBER(SEARCH("Nabo",C294)),"Investment",IF(ISNUMBER(SEARCH("Paybill Online",C294)),"Pay Bill",IF(ISNUMBER(SEARCH("Pay Bill",C294)),"Pay Bill",IF(ISNUMBER(SEARCH("Spotify",C294)),"Pay Bill",IF(ISNUMBER(SEARCH("M-Shwari",C294)),"Mshwari",IF(ISNUMBER(SEARCH("Mshwari",C294)),"Mshwari",IF(ISNUMBER(SEARCH("Withdrawal charge",C294)),"Fees",IF(ISNUMBER(SEARCH("Customer Withdrawal",C294)),"Fees",IF(ISNUMBER(SEARCH("charge",C294)),"Fees","Other")))))))))))))))))))))))))</f>
        <v>Bundles</v>
      </c>
      <c r="R294" s="1" t="str">
        <f aca="false">TEXT(B294,"MMM YYYY")</f>
        <v>Feb 2026</v>
      </c>
    </row>
    <row r="295" customFormat="false" ht="13.8" hidden="false" customHeight="false" outlineLevel="0" collapsed="false">
      <c r="A295" s="4" t="s">
        <v>633</v>
      </c>
      <c r="B295" s="4" t="s">
        <v>634</v>
      </c>
      <c r="C295" s="4" t="s">
        <v>635</v>
      </c>
      <c r="D295" s="4" t="s">
        <v>18</v>
      </c>
      <c r="E295" s="4"/>
      <c r="F295" s="4" t="n">
        <v>40</v>
      </c>
      <c r="G295" s="4" t="n">
        <v>1758</v>
      </c>
      <c r="L295" s="1" t="str">
        <f aca="false">IF(ISNUMBER(SEARCH("Bundle",C295)),"Bundles",IF(ISNUMBER(SEARCH("Airtime",C295)),"Bundles",IF(ISNUMBER(SEARCH("Merchant",C295)),"Merchant Payment",IF(ISNUMBER(SEARCH("Offnet C2B",C295)),"Merchant Payment",IF(ISNUMBER(SEARCH("Offnet B2C",C295)),"Merchant Payment",IF(ISNUMBER(SEARCH("Customer Payment to Small",C295)),"Merchant Payment",IF(ISNUMBER(SEARCH("Payment to Small Business",C295)),"Merchant Payment",IF(ISNUMBER(SEARCH("Sent to",C295)),"Sent to Person",IF(ISNUMBER(SEARCH("Customer Transfer to",C295)),"Sent to Person",IF(ISNUMBER(SEARCH("Business Payment",C295)),"Money In",IF(ISNUMBER(SEARCH("Funds Received",C295)),"Money In",IF(ISNUMBER(SEARCH("Receive International",C295)),"Money In",IF(ISNUMBER(SEARCH("Send Money Reversal",C295)),"Money In",IF(ISNUMBER(SEARCH("Pay Utility Reversal",C295)),"Money In",IF(ISNUMBER(SEARCH("Customer Transfer",C295)),"Money In",IF(ISNUMBER(SEARCH("Ziidi",C295)),"Investment",IF(ISNUMBER(SEARCH("Nabo",C295)),"Investment",IF(ISNUMBER(SEARCH("Paybill Online",C295)),"Pay Bill",IF(ISNUMBER(SEARCH("Pay Bill",C295)),"Pay Bill",IF(ISNUMBER(SEARCH("Spotify",C295)),"Pay Bill",IF(ISNUMBER(SEARCH("M-Shwari",C295)),"Mshwari",IF(ISNUMBER(SEARCH("Mshwari",C295)),"Mshwari",IF(ISNUMBER(SEARCH("Withdrawal charge",C295)),"Fees",IF(ISNUMBER(SEARCH("Customer Withdrawal",C295)),"Fees",IF(ISNUMBER(SEARCH("charge",C295)),"Fees","Other")))))))))))))))))))))))))</f>
        <v>Merchant Payment</v>
      </c>
      <c r="R295" s="1" t="str">
        <f aca="false">TEXT(B295,"MMM YYYY")</f>
        <v>Feb 2026</v>
      </c>
    </row>
    <row r="296" customFormat="false" ht="13.8" hidden="false" customHeight="false" outlineLevel="0" collapsed="false">
      <c r="A296" s="4" t="s">
        <v>636</v>
      </c>
      <c r="B296" s="4" t="s">
        <v>637</v>
      </c>
      <c r="C296" s="4" t="s">
        <v>153</v>
      </c>
      <c r="D296" s="4" t="s">
        <v>18</v>
      </c>
      <c r="E296" s="4"/>
      <c r="F296" s="4" t="n">
        <v>100</v>
      </c>
      <c r="G296" s="4" t="n">
        <v>1658</v>
      </c>
      <c r="L296" s="1" t="str">
        <f aca="false">IF(ISNUMBER(SEARCH("Bundle",C296)),"Bundles",IF(ISNUMBER(SEARCH("Airtime",C296)),"Bundles",IF(ISNUMBER(SEARCH("Merchant",C296)),"Merchant Payment",IF(ISNUMBER(SEARCH("Offnet C2B",C296)),"Merchant Payment",IF(ISNUMBER(SEARCH("Offnet B2C",C296)),"Merchant Payment",IF(ISNUMBER(SEARCH("Customer Payment to Small",C296)),"Merchant Payment",IF(ISNUMBER(SEARCH("Payment to Small Business",C296)),"Merchant Payment",IF(ISNUMBER(SEARCH("Sent to",C296)),"Sent to Person",IF(ISNUMBER(SEARCH("Customer Transfer to",C296)),"Sent to Person",IF(ISNUMBER(SEARCH("Business Payment",C296)),"Money In",IF(ISNUMBER(SEARCH("Funds Received",C296)),"Money In",IF(ISNUMBER(SEARCH("Receive International",C296)),"Money In",IF(ISNUMBER(SEARCH("Send Money Reversal",C296)),"Money In",IF(ISNUMBER(SEARCH("Pay Utility Reversal",C296)),"Money In",IF(ISNUMBER(SEARCH("Customer Transfer",C296)),"Money In",IF(ISNUMBER(SEARCH("Ziidi",C296)),"Investment",IF(ISNUMBER(SEARCH("Nabo",C296)),"Investment",IF(ISNUMBER(SEARCH("Paybill Online",C296)),"Pay Bill",IF(ISNUMBER(SEARCH("Pay Bill",C296)),"Pay Bill",IF(ISNUMBER(SEARCH("Spotify",C296)),"Pay Bill",IF(ISNUMBER(SEARCH("M-Shwari",C296)),"Mshwari",IF(ISNUMBER(SEARCH("Mshwari",C296)),"Mshwari",IF(ISNUMBER(SEARCH("Withdrawal charge",C296)),"Fees",IF(ISNUMBER(SEARCH("Customer Withdrawal",C296)),"Fees",IF(ISNUMBER(SEARCH("charge",C296)),"Fees","Other")))))))))))))))))))))))))</f>
        <v>Bundles</v>
      </c>
      <c r="R296" s="1" t="str">
        <f aca="false">TEXT(B296,"MMM YYYY")</f>
        <v>Feb 2026</v>
      </c>
    </row>
    <row r="297" customFormat="false" ht="13.8" hidden="false" customHeight="false" outlineLevel="0" collapsed="false">
      <c r="A297" s="4" t="s">
        <v>638</v>
      </c>
      <c r="B297" s="4" t="s">
        <v>639</v>
      </c>
      <c r="C297" s="4" t="s">
        <v>640</v>
      </c>
      <c r="D297" s="4" t="s">
        <v>18</v>
      </c>
      <c r="E297" s="4" t="n">
        <v>26600</v>
      </c>
      <c r="F297" s="4"/>
      <c r="G297" s="4" t="n">
        <v>28258</v>
      </c>
      <c r="L297" s="1" t="str">
        <f aca="false">IF(ISNUMBER(SEARCH("Bundle",C297)),"Bundles",IF(ISNUMBER(SEARCH("Airtime",C297)),"Bundles",IF(ISNUMBER(SEARCH("Merchant",C297)),"Merchant Payment",IF(ISNUMBER(SEARCH("Offnet C2B",C297)),"Merchant Payment",IF(ISNUMBER(SEARCH("Offnet B2C",C297)),"Merchant Payment",IF(ISNUMBER(SEARCH("Customer Payment to Small",C297)),"Merchant Payment",IF(ISNUMBER(SEARCH("Payment to Small Business",C297)),"Merchant Payment",IF(ISNUMBER(SEARCH("Sent to",C297)),"Sent to Person",IF(ISNUMBER(SEARCH("Customer Transfer to",C297)),"Sent to Person",IF(ISNUMBER(SEARCH("Business Payment",C297)),"Money In",IF(ISNUMBER(SEARCH("Funds Received",C297)),"Money In",IF(ISNUMBER(SEARCH("Receive International",C297)),"Money In",IF(ISNUMBER(SEARCH("Send Money Reversal",C297)),"Money In",IF(ISNUMBER(SEARCH("Pay Utility Reversal",C297)),"Money In",IF(ISNUMBER(SEARCH("Customer Transfer",C297)),"Money In",IF(ISNUMBER(SEARCH("Ziidi",C297)),"Investment",IF(ISNUMBER(SEARCH("Nabo",C297)),"Investment",IF(ISNUMBER(SEARCH("Paybill Online",C297)),"Pay Bill",IF(ISNUMBER(SEARCH("Pay Bill",C297)),"Pay Bill",IF(ISNUMBER(SEARCH("Spotify",C297)),"Pay Bill",IF(ISNUMBER(SEARCH("M-Shwari",C297)),"Mshwari",IF(ISNUMBER(SEARCH("Mshwari",C297)),"Mshwari",IF(ISNUMBER(SEARCH("Withdrawal charge",C297)),"Fees",IF(ISNUMBER(SEARCH("Customer Withdrawal",C297)),"Fees",IF(ISNUMBER(SEARCH("charge",C297)),"Fees","Other")))))))))))))))))))))))))</f>
        <v>Money In</v>
      </c>
      <c r="R297" s="1" t="str">
        <f aca="false">TEXT(B297,"MMM YYYY")</f>
        <v>Feb 2026</v>
      </c>
    </row>
    <row r="298" customFormat="false" ht="13.8" hidden="false" customHeight="false" outlineLevel="0" collapsed="false">
      <c r="A298" s="4" t="s">
        <v>319</v>
      </c>
      <c r="B298" s="4" t="s">
        <v>320</v>
      </c>
      <c r="C298" s="4" t="s">
        <v>641</v>
      </c>
      <c r="D298" s="4" t="s">
        <v>18</v>
      </c>
      <c r="E298" s="4"/>
      <c r="F298" s="4" t="n">
        <v>3000</v>
      </c>
      <c r="G298" s="4" t="n">
        <v>25258</v>
      </c>
      <c r="L298" s="1" t="str">
        <f aca="false">IF(ISNUMBER(SEARCH("Bundle",C298)),"Bundles",IF(ISNUMBER(SEARCH("Airtime",C298)),"Bundles",IF(ISNUMBER(SEARCH("Merchant",C298)),"Merchant Payment",IF(ISNUMBER(SEARCH("Offnet C2B",C298)),"Merchant Payment",IF(ISNUMBER(SEARCH("Offnet B2C",C298)),"Merchant Payment",IF(ISNUMBER(SEARCH("Customer Payment to Small",C298)),"Merchant Payment",IF(ISNUMBER(SEARCH("Payment to Small Business",C298)),"Merchant Payment",IF(ISNUMBER(SEARCH("Sent to",C298)),"Sent to Person",IF(ISNUMBER(SEARCH("Customer Transfer to",C298)),"Sent to Person",IF(ISNUMBER(SEARCH("Business Payment",C298)),"Money In",IF(ISNUMBER(SEARCH("Funds Received",C298)),"Money In",IF(ISNUMBER(SEARCH("Receive International",C298)),"Money In",IF(ISNUMBER(SEARCH("Send Money Reversal",C298)),"Money In",IF(ISNUMBER(SEARCH("Pay Utility Reversal",C298)),"Money In",IF(ISNUMBER(SEARCH("Customer Transfer",C298)),"Money In",IF(ISNUMBER(SEARCH("Ziidi",C298)),"Investment",IF(ISNUMBER(SEARCH("Nabo",C298)),"Investment",IF(ISNUMBER(SEARCH("Paybill Online",C298)),"Pay Bill",IF(ISNUMBER(SEARCH("Pay Bill",C298)),"Pay Bill",IF(ISNUMBER(SEARCH("Spotify",C298)),"Pay Bill",IF(ISNUMBER(SEARCH("M-Shwari",C298)),"Mshwari",IF(ISNUMBER(SEARCH("Mshwari",C298)),"Mshwari",IF(ISNUMBER(SEARCH("Withdrawal charge",C298)),"Fees",IF(ISNUMBER(SEARCH("Customer Withdrawal",C298)),"Fees",IF(ISNUMBER(SEARCH("charge",C298)),"Fees","Other")))))))))))))))))))))))))</f>
        <v>Sent to Person</v>
      </c>
      <c r="R298" s="1" t="str">
        <f aca="false">TEXT(B298,"MMM YYYY")</f>
        <v>Feb 2026</v>
      </c>
    </row>
    <row r="299" customFormat="false" ht="13.8" hidden="false" customHeight="false" outlineLevel="0" collapsed="false">
      <c r="A299" s="4" t="s">
        <v>642</v>
      </c>
      <c r="B299" s="4" t="s">
        <v>643</v>
      </c>
      <c r="C299" s="4" t="s">
        <v>29</v>
      </c>
      <c r="D299" s="4" t="s">
        <v>18</v>
      </c>
      <c r="E299" s="4"/>
      <c r="F299" s="4" t="n">
        <v>10</v>
      </c>
      <c r="G299" s="4" t="n">
        <v>575</v>
      </c>
      <c r="L299" s="1" t="str">
        <f aca="false">IF(ISNUMBER(SEARCH("Bundle",C299)),"Bundles",IF(ISNUMBER(SEARCH("Airtime",C299)),"Bundles",IF(ISNUMBER(SEARCH("Merchant",C299)),"Merchant Payment",IF(ISNUMBER(SEARCH("Offnet C2B",C299)),"Merchant Payment",IF(ISNUMBER(SEARCH("Offnet B2C",C299)),"Merchant Payment",IF(ISNUMBER(SEARCH("Customer Payment to Small",C299)),"Merchant Payment",IF(ISNUMBER(SEARCH("Payment to Small Business",C299)),"Merchant Payment",IF(ISNUMBER(SEARCH("Sent to",C299)),"Sent to Person",IF(ISNUMBER(SEARCH("Customer Transfer to",C299)),"Sent to Person",IF(ISNUMBER(SEARCH("Business Payment",C299)),"Money In",IF(ISNUMBER(SEARCH("Funds Received",C299)),"Money In",IF(ISNUMBER(SEARCH("Receive International",C299)),"Money In",IF(ISNUMBER(SEARCH("Send Money Reversal",C299)),"Money In",IF(ISNUMBER(SEARCH("Pay Utility Reversal",C299)),"Money In",IF(ISNUMBER(SEARCH("Customer Transfer",C299)),"Money In",IF(ISNUMBER(SEARCH("Ziidi",C299)),"Investment",IF(ISNUMBER(SEARCH("Nabo",C299)),"Investment",IF(ISNUMBER(SEARCH("Paybill Online",C299)),"Pay Bill",IF(ISNUMBER(SEARCH("Pay Bill",C299)),"Pay Bill",IF(ISNUMBER(SEARCH("Spotify",C299)),"Pay Bill",IF(ISNUMBER(SEARCH("M-Shwari",C299)),"Mshwari",IF(ISNUMBER(SEARCH("Mshwari",C299)),"Mshwari",IF(ISNUMBER(SEARCH("Withdrawal charge",C299)),"Fees",IF(ISNUMBER(SEARCH("Customer Withdrawal",C299)),"Fees",IF(ISNUMBER(SEARCH("charge",C299)),"Fees","Other")))))))))))))))))))))))))</f>
        <v>Bundles</v>
      </c>
      <c r="R299" s="1" t="str">
        <f aca="false">TEXT(B299,"MMM YYYY")</f>
        <v>Feb 2026</v>
      </c>
    </row>
    <row r="300" customFormat="false" ht="13.8" hidden="false" customHeight="false" outlineLevel="0" collapsed="false">
      <c r="A300" s="4" t="s">
        <v>644</v>
      </c>
      <c r="B300" s="4" t="s">
        <v>645</v>
      </c>
      <c r="C300" s="4" t="s">
        <v>646</v>
      </c>
      <c r="D300" s="4" t="s">
        <v>18</v>
      </c>
      <c r="E300" s="4"/>
      <c r="F300" s="4" t="n">
        <v>100</v>
      </c>
      <c r="G300" s="4" t="n">
        <v>475</v>
      </c>
      <c r="L300" s="1" t="str">
        <f aca="false">IF(ISNUMBER(SEARCH("Bundle",C300)),"Bundles",IF(ISNUMBER(SEARCH("Airtime",C300)),"Bundles",IF(ISNUMBER(SEARCH("Merchant",C300)),"Merchant Payment",IF(ISNUMBER(SEARCH("Offnet C2B",C300)),"Merchant Payment",IF(ISNUMBER(SEARCH("Offnet B2C",C300)),"Merchant Payment",IF(ISNUMBER(SEARCH("Customer Payment to Small",C300)),"Merchant Payment",IF(ISNUMBER(SEARCH("Payment to Small Business",C300)),"Merchant Payment",IF(ISNUMBER(SEARCH("Sent to",C300)),"Sent to Person",IF(ISNUMBER(SEARCH("Customer Transfer to",C300)),"Sent to Person",IF(ISNUMBER(SEARCH("Business Payment",C300)),"Money In",IF(ISNUMBER(SEARCH("Funds Received",C300)),"Money In",IF(ISNUMBER(SEARCH("Receive International",C300)),"Money In",IF(ISNUMBER(SEARCH("Send Money Reversal",C300)),"Money In",IF(ISNUMBER(SEARCH("Pay Utility Reversal",C300)),"Money In",IF(ISNUMBER(SEARCH("Customer Transfer",C300)),"Money In",IF(ISNUMBER(SEARCH("Ziidi",C300)),"Investment",IF(ISNUMBER(SEARCH("Nabo",C300)),"Investment",IF(ISNUMBER(SEARCH("Paybill Online",C300)),"Pay Bill",IF(ISNUMBER(SEARCH("Pay Bill",C300)),"Pay Bill",IF(ISNUMBER(SEARCH("Spotify",C300)),"Pay Bill",IF(ISNUMBER(SEARCH("M-Shwari",C300)),"Mshwari",IF(ISNUMBER(SEARCH("Mshwari",C300)),"Mshwari",IF(ISNUMBER(SEARCH("Withdrawal charge",C300)),"Fees",IF(ISNUMBER(SEARCH("Customer Withdrawal",C300)),"Fees",IF(ISNUMBER(SEARCH("charge",C300)),"Fees","Other")))))))))))))))))))))))))</f>
        <v>Merchant Payment</v>
      </c>
      <c r="R300" s="1" t="str">
        <f aca="false">TEXT(B300,"MMM YYYY")</f>
        <v>Feb 2026</v>
      </c>
    </row>
    <row r="301" customFormat="false" ht="13.8" hidden="false" customHeight="false" outlineLevel="0" collapsed="false">
      <c r="A301" s="4" t="s">
        <v>647</v>
      </c>
      <c r="B301" s="4" t="s">
        <v>648</v>
      </c>
      <c r="C301" s="4" t="s">
        <v>29</v>
      </c>
      <c r="D301" s="4" t="s">
        <v>18</v>
      </c>
      <c r="E301" s="4"/>
      <c r="F301" s="4" t="n">
        <v>10</v>
      </c>
      <c r="G301" s="4" t="n">
        <v>465</v>
      </c>
      <c r="L301" s="1" t="str">
        <f aca="false">IF(ISNUMBER(SEARCH("Bundle",C301)),"Bundles",IF(ISNUMBER(SEARCH("Airtime",C301)),"Bundles",IF(ISNUMBER(SEARCH("Merchant",C301)),"Merchant Payment",IF(ISNUMBER(SEARCH("Offnet C2B",C301)),"Merchant Payment",IF(ISNUMBER(SEARCH("Offnet B2C",C301)),"Merchant Payment",IF(ISNUMBER(SEARCH("Customer Payment to Small",C301)),"Merchant Payment",IF(ISNUMBER(SEARCH("Payment to Small Business",C301)),"Merchant Payment",IF(ISNUMBER(SEARCH("Sent to",C301)),"Sent to Person",IF(ISNUMBER(SEARCH("Customer Transfer to",C301)),"Sent to Person",IF(ISNUMBER(SEARCH("Business Payment",C301)),"Money In",IF(ISNUMBER(SEARCH("Funds Received",C301)),"Money In",IF(ISNUMBER(SEARCH("Receive International",C301)),"Money In",IF(ISNUMBER(SEARCH("Send Money Reversal",C301)),"Money In",IF(ISNUMBER(SEARCH("Pay Utility Reversal",C301)),"Money In",IF(ISNUMBER(SEARCH("Customer Transfer",C301)),"Money In",IF(ISNUMBER(SEARCH("Ziidi",C301)),"Investment",IF(ISNUMBER(SEARCH("Nabo",C301)),"Investment",IF(ISNUMBER(SEARCH("Paybill Online",C301)),"Pay Bill",IF(ISNUMBER(SEARCH("Pay Bill",C301)),"Pay Bill",IF(ISNUMBER(SEARCH("Spotify",C301)),"Pay Bill",IF(ISNUMBER(SEARCH("M-Shwari",C301)),"Mshwari",IF(ISNUMBER(SEARCH("Mshwari",C301)),"Mshwari",IF(ISNUMBER(SEARCH("Withdrawal charge",C301)),"Fees",IF(ISNUMBER(SEARCH("Customer Withdrawal",C301)),"Fees",IF(ISNUMBER(SEARCH("charge",C301)),"Fees","Other")))))))))))))))))))))))))</f>
        <v>Bundles</v>
      </c>
      <c r="R301" s="1" t="str">
        <f aca="false">TEXT(B301,"MMM YYYY")</f>
        <v>Feb 2026</v>
      </c>
    </row>
    <row r="302" customFormat="false" ht="13.8" hidden="false" customHeight="false" outlineLevel="0" collapsed="false">
      <c r="A302" s="4" t="s">
        <v>649</v>
      </c>
      <c r="B302" s="4" t="s">
        <v>650</v>
      </c>
      <c r="C302" s="4" t="s">
        <v>243</v>
      </c>
      <c r="D302" s="4" t="s">
        <v>18</v>
      </c>
      <c r="E302" s="4"/>
      <c r="F302" s="4" t="n">
        <v>70</v>
      </c>
      <c r="G302" s="4" t="n">
        <v>395</v>
      </c>
      <c r="L302" s="1" t="str">
        <f aca="false">IF(ISNUMBER(SEARCH("Bundle",C302)),"Bundles",IF(ISNUMBER(SEARCH("Airtime",C302)),"Bundles",IF(ISNUMBER(SEARCH("Merchant",C302)),"Merchant Payment",IF(ISNUMBER(SEARCH("Offnet C2B",C302)),"Merchant Payment",IF(ISNUMBER(SEARCH("Offnet B2C",C302)),"Merchant Payment",IF(ISNUMBER(SEARCH("Customer Payment to Small",C302)),"Merchant Payment",IF(ISNUMBER(SEARCH("Payment to Small Business",C302)),"Merchant Payment",IF(ISNUMBER(SEARCH("Sent to",C302)),"Sent to Person",IF(ISNUMBER(SEARCH("Customer Transfer to",C302)),"Sent to Person",IF(ISNUMBER(SEARCH("Business Payment",C302)),"Money In",IF(ISNUMBER(SEARCH("Funds Received",C302)),"Money In",IF(ISNUMBER(SEARCH("Receive International",C302)),"Money In",IF(ISNUMBER(SEARCH("Send Money Reversal",C302)),"Money In",IF(ISNUMBER(SEARCH("Pay Utility Reversal",C302)),"Money In",IF(ISNUMBER(SEARCH("Customer Transfer",C302)),"Money In",IF(ISNUMBER(SEARCH("Ziidi",C302)),"Investment",IF(ISNUMBER(SEARCH("Nabo",C302)),"Investment",IF(ISNUMBER(SEARCH("Paybill Online",C302)),"Pay Bill",IF(ISNUMBER(SEARCH("Pay Bill",C302)),"Pay Bill",IF(ISNUMBER(SEARCH("Spotify",C302)),"Pay Bill",IF(ISNUMBER(SEARCH("M-Shwari",C302)),"Mshwari",IF(ISNUMBER(SEARCH("Mshwari",C302)),"Mshwari",IF(ISNUMBER(SEARCH("Withdrawal charge",C302)),"Fees",IF(ISNUMBER(SEARCH("Customer Withdrawal",C302)),"Fees",IF(ISNUMBER(SEARCH("charge",C302)),"Fees","Other")))))))))))))))))))))))))</f>
        <v>Merchant Payment</v>
      </c>
      <c r="R302" s="1" t="str">
        <f aca="false">TEXT(B302,"MMM YYYY")</f>
        <v>Feb 2026</v>
      </c>
    </row>
    <row r="303" customFormat="false" ht="13.8" hidden="false" customHeight="false" outlineLevel="0" collapsed="false">
      <c r="A303" s="4" t="s">
        <v>651</v>
      </c>
      <c r="B303" s="4" t="s">
        <v>652</v>
      </c>
      <c r="C303" s="4" t="s">
        <v>17</v>
      </c>
      <c r="D303" s="4" t="s">
        <v>18</v>
      </c>
      <c r="E303" s="4"/>
      <c r="F303" s="4" t="n">
        <v>20</v>
      </c>
      <c r="G303" s="4" t="n">
        <v>375</v>
      </c>
      <c r="L303" s="1" t="str">
        <f aca="false">IF(ISNUMBER(SEARCH("Bundle",C303)),"Bundles",IF(ISNUMBER(SEARCH("Airtime",C303)),"Bundles",IF(ISNUMBER(SEARCH("Merchant",C303)),"Merchant Payment",IF(ISNUMBER(SEARCH("Offnet C2B",C303)),"Merchant Payment",IF(ISNUMBER(SEARCH("Offnet B2C",C303)),"Merchant Payment",IF(ISNUMBER(SEARCH("Customer Payment to Small",C303)),"Merchant Payment",IF(ISNUMBER(SEARCH("Payment to Small Business",C303)),"Merchant Payment",IF(ISNUMBER(SEARCH("Sent to",C303)),"Sent to Person",IF(ISNUMBER(SEARCH("Customer Transfer to",C303)),"Sent to Person",IF(ISNUMBER(SEARCH("Business Payment",C303)),"Money In",IF(ISNUMBER(SEARCH("Funds Received",C303)),"Money In",IF(ISNUMBER(SEARCH("Receive International",C303)),"Money In",IF(ISNUMBER(SEARCH("Send Money Reversal",C303)),"Money In",IF(ISNUMBER(SEARCH("Pay Utility Reversal",C303)),"Money In",IF(ISNUMBER(SEARCH("Customer Transfer",C303)),"Money In",IF(ISNUMBER(SEARCH("Ziidi",C303)),"Investment",IF(ISNUMBER(SEARCH("Nabo",C303)),"Investment",IF(ISNUMBER(SEARCH("Paybill Online",C303)),"Pay Bill",IF(ISNUMBER(SEARCH("Pay Bill",C303)),"Pay Bill",IF(ISNUMBER(SEARCH("Spotify",C303)),"Pay Bill",IF(ISNUMBER(SEARCH("M-Shwari",C303)),"Mshwari",IF(ISNUMBER(SEARCH("Mshwari",C303)),"Mshwari",IF(ISNUMBER(SEARCH("Withdrawal charge",C303)),"Fees",IF(ISNUMBER(SEARCH("Customer Withdrawal",C303)),"Fees",IF(ISNUMBER(SEARCH("charge",C303)),"Fees","Other")))))))))))))))))))))))))</f>
        <v>Bundles</v>
      </c>
      <c r="R303" s="1" t="str">
        <f aca="false">TEXT(B303,"MMM YYYY")</f>
        <v>Feb 2026</v>
      </c>
    </row>
    <row r="304" customFormat="false" ht="13.8" hidden="false" customHeight="false" outlineLevel="0" collapsed="false">
      <c r="A304" s="4" t="s">
        <v>653</v>
      </c>
      <c r="B304" s="4" t="s">
        <v>654</v>
      </c>
      <c r="C304" s="4" t="s">
        <v>29</v>
      </c>
      <c r="D304" s="4" t="s">
        <v>18</v>
      </c>
      <c r="E304" s="4"/>
      <c r="F304" s="4" t="n">
        <v>10</v>
      </c>
      <c r="G304" s="4" t="n">
        <v>365</v>
      </c>
      <c r="L304" s="1" t="str">
        <f aca="false">IF(ISNUMBER(SEARCH("Bundle",C304)),"Bundles",IF(ISNUMBER(SEARCH("Airtime",C304)),"Bundles",IF(ISNUMBER(SEARCH("Merchant",C304)),"Merchant Payment",IF(ISNUMBER(SEARCH("Offnet C2B",C304)),"Merchant Payment",IF(ISNUMBER(SEARCH("Offnet B2C",C304)),"Merchant Payment",IF(ISNUMBER(SEARCH("Customer Payment to Small",C304)),"Merchant Payment",IF(ISNUMBER(SEARCH("Payment to Small Business",C304)),"Merchant Payment",IF(ISNUMBER(SEARCH("Sent to",C304)),"Sent to Person",IF(ISNUMBER(SEARCH("Customer Transfer to",C304)),"Sent to Person",IF(ISNUMBER(SEARCH("Business Payment",C304)),"Money In",IF(ISNUMBER(SEARCH("Funds Received",C304)),"Money In",IF(ISNUMBER(SEARCH("Receive International",C304)),"Money In",IF(ISNUMBER(SEARCH("Send Money Reversal",C304)),"Money In",IF(ISNUMBER(SEARCH("Pay Utility Reversal",C304)),"Money In",IF(ISNUMBER(SEARCH("Customer Transfer",C304)),"Money In",IF(ISNUMBER(SEARCH("Ziidi",C304)),"Investment",IF(ISNUMBER(SEARCH("Nabo",C304)),"Investment",IF(ISNUMBER(SEARCH("Paybill Online",C304)),"Pay Bill",IF(ISNUMBER(SEARCH("Pay Bill",C304)),"Pay Bill",IF(ISNUMBER(SEARCH("Spotify",C304)),"Pay Bill",IF(ISNUMBER(SEARCH("M-Shwari",C304)),"Mshwari",IF(ISNUMBER(SEARCH("Mshwari",C304)),"Mshwari",IF(ISNUMBER(SEARCH("Withdrawal charge",C304)),"Fees",IF(ISNUMBER(SEARCH("Customer Withdrawal",C304)),"Fees",IF(ISNUMBER(SEARCH("charge",C304)),"Fees","Other")))))))))))))))))))))))))</f>
        <v>Bundles</v>
      </c>
      <c r="R304" s="1" t="str">
        <f aca="false">TEXT(B304,"MMM YYYY")</f>
        <v>Feb 2026</v>
      </c>
    </row>
    <row r="305" customFormat="false" ht="13.8" hidden="false" customHeight="false" outlineLevel="0" collapsed="false">
      <c r="A305" s="4" t="s">
        <v>655</v>
      </c>
      <c r="B305" s="4" t="s">
        <v>656</v>
      </c>
      <c r="C305" s="4" t="s">
        <v>17</v>
      </c>
      <c r="D305" s="4" t="s">
        <v>18</v>
      </c>
      <c r="E305" s="4"/>
      <c r="F305" s="4" t="n">
        <v>20</v>
      </c>
      <c r="G305" s="4" t="n">
        <v>345</v>
      </c>
      <c r="L305" s="1" t="str">
        <f aca="false">IF(ISNUMBER(SEARCH("Bundle",C305)),"Bundles",IF(ISNUMBER(SEARCH("Airtime",C305)),"Bundles",IF(ISNUMBER(SEARCH("Merchant",C305)),"Merchant Payment",IF(ISNUMBER(SEARCH("Offnet C2B",C305)),"Merchant Payment",IF(ISNUMBER(SEARCH("Offnet B2C",C305)),"Merchant Payment",IF(ISNUMBER(SEARCH("Customer Payment to Small",C305)),"Merchant Payment",IF(ISNUMBER(SEARCH("Payment to Small Business",C305)),"Merchant Payment",IF(ISNUMBER(SEARCH("Sent to",C305)),"Sent to Person",IF(ISNUMBER(SEARCH("Customer Transfer to",C305)),"Sent to Person",IF(ISNUMBER(SEARCH("Business Payment",C305)),"Money In",IF(ISNUMBER(SEARCH("Funds Received",C305)),"Money In",IF(ISNUMBER(SEARCH("Receive International",C305)),"Money In",IF(ISNUMBER(SEARCH("Send Money Reversal",C305)),"Money In",IF(ISNUMBER(SEARCH("Pay Utility Reversal",C305)),"Money In",IF(ISNUMBER(SEARCH("Customer Transfer",C305)),"Money In",IF(ISNUMBER(SEARCH("Ziidi",C305)),"Investment",IF(ISNUMBER(SEARCH("Nabo",C305)),"Investment",IF(ISNUMBER(SEARCH("Paybill Online",C305)),"Pay Bill",IF(ISNUMBER(SEARCH("Pay Bill",C305)),"Pay Bill",IF(ISNUMBER(SEARCH("Spotify",C305)),"Pay Bill",IF(ISNUMBER(SEARCH("M-Shwari",C305)),"Mshwari",IF(ISNUMBER(SEARCH("Mshwari",C305)),"Mshwari",IF(ISNUMBER(SEARCH("Withdrawal charge",C305)),"Fees",IF(ISNUMBER(SEARCH("Customer Withdrawal",C305)),"Fees",IF(ISNUMBER(SEARCH("charge",C305)),"Fees","Other")))))))))))))))))))))))))</f>
        <v>Bundles</v>
      </c>
      <c r="R305" s="1" t="str">
        <f aca="false">TEXT(B305,"MMM YYYY")</f>
        <v>Feb 2026</v>
      </c>
    </row>
    <row r="306" customFormat="false" ht="13.8" hidden="false" customHeight="false" outlineLevel="0" collapsed="false">
      <c r="A306" s="4" t="s">
        <v>657</v>
      </c>
      <c r="B306" s="4" t="s">
        <v>658</v>
      </c>
      <c r="C306" s="4" t="s">
        <v>29</v>
      </c>
      <c r="D306" s="4" t="s">
        <v>18</v>
      </c>
      <c r="E306" s="4"/>
      <c r="F306" s="4" t="n">
        <v>10</v>
      </c>
      <c r="G306" s="4" t="n">
        <v>335</v>
      </c>
      <c r="L306" s="1" t="str">
        <f aca="false">IF(ISNUMBER(SEARCH("Bundle",C306)),"Bundles",IF(ISNUMBER(SEARCH("Airtime",C306)),"Bundles",IF(ISNUMBER(SEARCH("Merchant",C306)),"Merchant Payment",IF(ISNUMBER(SEARCH("Offnet C2B",C306)),"Merchant Payment",IF(ISNUMBER(SEARCH("Offnet B2C",C306)),"Merchant Payment",IF(ISNUMBER(SEARCH("Customer Payment to Small",C306)),"Merchant Payment",IF(ISNUMBER(SEARCH("Payment to Small Business",C306)),"Merchant Payment",IF(ISNUMBER(SEARCH("Sent to",C306)),"Sent to Person",IF(ISNUMBER(SEARCH("Customer Transfer to",C306)),"Sent to Person",IF(ISNUMBER(SEARCH("Business Payment",C306)),"Money In",IF(ISNUMBER(SEARCH("Funds Received",C306)),"Money In",IF(ISNUMBER(SEARCH("Receive International",C306)),"Money In",IF(ISNUMBER(SEARCH("Send Money Reversal",C306)),"Money In",IF(ISNUMBER(SEARCH("Pay Utility Reversal",C306)),"Money In",IF(ISNUMBER(SEARCH("Customer Transfer",C306)),"Money In",IF(ISNUMBER(SEARCH("Ziidi",C306)),"Investment",IF(ISNUMBER(SEARCH("Nabo",C306)),"Investment",IF(ISNUMBER(SEARCH("Paybill Online",C306)),"Pay Bill",IF(ISNUMBER(SEARCH("Pay Bill",C306)),"Pay Bill",IF(ISNUMBER(SEARCH("Spotify",C306)),"Pay Bill",IF(ISNUMBER(SEARCH("M-Shwari",C306)),"Mshwari",IF(ISNUMBER(SEARCH("Mshwari",C306)),"Mshwari",IF(ISNUMBER(SEARCH("Withdrawal charge",C306)),"Fees",IF(ISNUMBER(SEARCH("Customer Withdrawal",C306)),"Fees",IF(ISNUMBER(SEARCH("charge",C306)),"Fees","Other")))))))))))))))))))))))))</f>
        <v>Bundles</v>
      </c>
      <c r="R306" s="1" t="str">
        <f aca="false">TEXT(B306,"MMM YYYY")</f>
        <v>Feb 2026</v>
      </c>
    </row>
    <row r="307" customFormat="false" ht="13.8" hidden="false" customHeight="false" outlineLevel="0" collapsed="false">
      <c r="A307" s="4" t="s">
        <v>659</v>
      </c>
      <c r="B307" s="4" t="s">
        <v>660</v>
      </c>
      <c r="C307" s="4" t="s">
        <v>661</v>
      </c>
      <c r="D307" s="4" t="s">
        <v>18</v>
      </c>
      <c r="E307" s="4"/>
      <c r="F307" s="4" t="n">
        <v>100</v>
      </c>
      <c r="G307" s="4" t="n">
        <v>235</v>
      </c>
      <c r="L307" s="1" t="str">
        <f aca="false">IF(ISNUMBER(SEARCH("Bundle",C307)),"Bundles",IF(ISNUMBER(SEARCH("Airtime",C307)),"Bundles",IF(ISNUMBER(SEARCH("Merchant",C307)),"Merchant Payment",IF(ISNUMBER(SEARCH("Offnet C2B",C307)),"Merchant Payment",IF(ISNUMBER(SEARCH("Offnet B2C",C307)),"Merchant Payment",IF(ISNUMBER(SEARCH("Customer Payment to Small",C307)),"Merchant Payment",IF(ISNUMBER(SEARCH("Payment to Small Business",C307)),"Merchant Payment",IF(ISNUMBER(SEARCH("Sent to",C307)),"Sent to Person",IF(ISNUMBER(SEARCH("Customer Transfer to",C307)),"Sent to Person",IF(ISNUMBER(SEARCH("Business Payment",C307)),"Money In",IF(ISNUMBER(SEARCH("Funds Received",C307)),"Money In",IF(ISNUMBER(SEARCH("Receive International",C307)),"Money In",IF(ISNUMBER(SEARCH("Send Money Reversal",C307)),"Money In",IF(ISNUMBER(SEARCH("Pay Utility Reversal",C307)),"Money In",IF(ISNUMBER(SEARCH("Customer Transfer",C307)),"Money In",IF(ISNUMBER(SEARCH("Ziidi",C307)),"Investment",IF(ISNUMBER(SEARCH("Nabo",C307)),"Investment",IF(ISNUMBER(SEARCH("Paybill Online",C307)),"Pay Bill",IF(ISNUMBER(SEARCH("Pay Bill",C307)),"Pay Bill",IF(ISNUMBER(SEARCH("Spotify",C307)),"Pay Bill",IF(ISNUMBER(SEARCH("M-Shwari",C307)),"Mshwari",IF(ISNUMBER(SEARCH("Mshwari",C307)),"Mshwari",IF(ISNUMBER(SEARCH("Withdrawal charge",C307)),"Fees",IF(ISNUMBER(SEARCH("Customer Withdrawal",C307)),"Fees",IF(ISNUMBER(SEARCH("charge",C307)),"Fees","Other")))))))))))))))))))))))))</f>
        <v>Merchant Payment</v>
      </c>
      <c r="R307" s="1" t="str">
        <f aca="false">TEXT(B307,"MMM YYYY")</f>
        <v>Feb 2026</v>
      </c>
    </row>
    <row r="308" customFormat="false" ht="13.8" hidden="false" customHeight="false" outlineLevel="0" collapsed="false">
      <c r="A308" s="4" t="s">
        <v>662</v>
      </c>
      <c r="B308" s="4" t="s">
        <v>663</v>
      </c>
      <c r="C308" s="4" t="s">
        <v>435</v>
      </c>
      <c r="D308" s="4" t="s">
        <v>18</v>
      </c>
      <c r="E308" s="4"/>
      <c r="F308" s="4" t="n">
        <v>80</v>
      </c>
      <c r="G308" s="4" t="n">
        <v>155</v>
      </c>
      <c r="L308" s="1" t="str">
        <f aca="false">IF(ISNUMBER(SEARCH("Bundle",C308)),"Bundles",IF(ISNUMBER(SEARCH("Airtime",C308)),"Bundles",IF(ISNUMBER(SEARCH("Merchant",C308)),"Merchant Payment",IF(ISNUMBER(SEARCH("Offnet C2B",C308)),"Merchant Payment",IF(ISNUMBER(SEARCH("Offnet B2C",C308)),"Merchant Payment",IF(ISNUMBER(SEARCH("Customer Payment to Small",C308)),"Merchant Payment",IF(ISNUMBER(SEARCH("Payment to Small Business",C308)),"Merchant Payment",IF(ISNUMBER(SEARCH("Sent to",C308)),"Sent to Person",IF(ISNUMBER(SEARCH("Customer Transfer to",C308)),"Sent to Person",IF(ISNUMBER(SEARCH("Business Payment",C308)),"Money In",IF(ISNUMBER(SEARCH("Funds Received",C308)),"Money In",IF(ISNUMBER(SEARCH("Receive International",C308)),"Money In",IF(ISNUMBER(SEARCH("Send Money Reversal",C308)),"Money In",IF(ISNUMBER(SEARCH("Pay Utility Reversal",C308)),"Money In",IF(ISNUMBER(SEARCH("Customer Transfer",C308)),"Money In",IF(ISNUMBER(SEARCH("Ziidi",C308)),"Investment",IF(ISNUMBER(SEARCH("Nabo",C308)),"Investment",IF(ISNUMBER(SEARCH("Paybill Online",C308)),"Pay Bill",IF(ISNUMBER(SEARCH("Pay Bill",C308)),"Pay Bill",IF(ISNUMBER(SEARCH("Spotify",C308)),"Pay Bill",IF(ISNUMBER(SEARCH("M-Shwari",C308)),"Mshwari",IF(ISNUMBER(SEARCH("Mshwari",C308)),"Mshwari",IF(ISNUMBER(SEARCH("Withdrawal charge",C308)),"Fees",IF(ISNUMBER(SEARCH("Customer Withdrawal",C308)),"Fees",IF(ISNUMBER(SEARCH("charge",C308)),"Fees","Other")))))))))))))))))))))))))</f>
        <v>Merchant Payment</v>
      </c>
      <c r="R308" s="1" t="str">
        <f aca="false">TEXT(B308,"MMM YYYY")</f>
        <v>Feb 2026</v>
      </c>
    </row>
    <row r="309" customFormat="false" ht="13.8" hidden="false" customHeight="false" outlineLevel="0" collapsed="false">
      <c r="A309" s="4" t="s">
        <v>664</v>
      </c>
      <c r="B309" s="4" t="s">
        <v>665</v>
      </c>
      <c r="C309" s="4" t="s">
        <v>666</v>
      </c>
      <c r="D309" s="4" t="s">
        <v>18</v>
      </c>
      <c r="E309" s="4"/>
      <c r="F309" s="4" t="n">
        <v>40</v>
      </c>
      <c r="G309" s="4" t="n">
        <v>115</v>
      </c>
      <c r="L309" s="1" t="str">
        <f aca="false">IF(ISNUMBER(SEARCH("Bundle",C309)),"Bundles",IF(ISNUMBER(SEARCH("Airtime",C309)),"Bundles",IF(ISNUMBER(SEARCH("Merchant",C309)),"Merchant Payment",IF(ISNUMBER(SEARCH("Offnet C2B",C309)),"Merchant Payment",IF(ISNUMBER(SEARCH("Offnet B2C",C309)),"Merchant Payment",IF(ISNUMBER(SEARCH("Customer Payment to Small",C309)),"Merchant Payment",IF(ISNUMBER(SEARCH("Payment to Small Business",C309)),"Merchant Payment",IF(ISNUMBER(SEARCH("Sent to",C309)),"Sent to Person",IF(ISNUMBER(SEARCH("Customer Transfer to",C309)),"Sent to Person",IF(ISNUMBER(SEARCH("Business Payment",C309)),"Money In",IF(ISNUMBER(SEARCH("Funds Received",C309)),"Money In",IF(ISNUMBER(SEARCH("Receive International",C309)),"Money In",IF(ISNUMBER(SEARCH("Send Money Reversal",C309)),"Money In",IF(ISNUMBER(SEARCH("Pay Utility Reversal",C309)),"Money In",IF(ISNUMBER(SEARCH("Customer Transfer",C309)),"Money In",IF(ISNUMBER(SEARCH("Ziidi",C309)),"Investment",IF(ISNUMBER(SEARCH("Nabo",C309)),"Investment",IF(ISNUMBER(SEARCH("Paybill Online",C309)),"Pay Bill",IF(ISNUMBER(SEARCH("Pay Bill",C309)),"Pay Bill",IF(ISNUMBER(SEARCH("Spotify",C309)),"Pay Bill",IF(ISNUMBER(SEARCH("M-Shwari",C309)),"Mshwari",IF(ISNUMBER(SEARCH("Mshwari",C309)),"Mshwari",IF(ISNUMBER(SEARCH("Withdrawal charge",C309)),"Fees",IF(ISNUMBER(SEARCH("Customer Withdrawal",C309)),"Fees",IF(ISNUMBER(SEARCH("charge",C309)),"Fees","Other")))))))))))))))))))))))))</f>
        <v>Merchant Payment</v>
      </c>
      <c r="R309" s="1" t="str">
        <f aca="false">TEXT(B309,"MMM YYYY")</f>
        <v>Feb 2026</v>
      </c>
    </row>
    <row r="310" customFormat="false" ht="13.8" hidden="false" customHeight="false" outlineLevel="0" collapsed="false">
      <c r="A310" s="4" t="s">
        <v>667</v>
      </c>
      <c r="B310" s="4" t="s">
        <v>668</v>
      </c>
      <c r="C310" s="4" t="s">
        <v>666</v>
      </c>
      <c r="D310" s="4" t="s">
        <v>18</v>
      </c>
      <c r="E310" s="4"/>
      <c r="F310" s="4" t="n">
        <v>40</v>
      </c>
      <c r="G310" s="4" t="n">
        <v>75</v>
      </c>
      <c r="L310" s="1" t="str">
        <f aca="false">IF(ISNUMBER(SEARCH("Bundle",C310)),"Bundles",IF(ISNUMBER(SEARCH("Airtime",C310)),"Bundles",IF(ISNUMBER(SEARCH("Merchant",C310)),"Merchant Payment",IF(ISNUMBER(SEARCH("Offnet C2B",C310)),"Merchant Payment",IF(ISNUMBER(SEARCH("Offnet B2C",C310)),"Merchant Payment",IF(ISNUMBER(SEARCH("Customer Payment to Small",C310)),"Merchant Payment",IF(ISNUMBER(SEARCH("Payment to Small Business",C310)),"Merchant Payment",IF(ISNUMBER(SEARCH("Sent to",C310)),"Sent to Person",IF(ISNUMBER(SEARCH("Customer Transfer to",C310)),"Sent to Person",IF(ISNUMBER(SEARCH("Business Payment",C310)),"Money In",IF(ISNUMBER(SEARCH("Funds Received",C310)),"Money In",IF(ISNUMBER(SEARCH("Receive International",C310)),"Money In",IF(ISNUMBER(SEARCH("Send Money Reversal",C310)),"Money In",IF(ISNUMBER(SEARCH("Pay Utility Reversal",C310)),"Money In",IF(ISNUMBER(SEARCH("Customer Transfer",C310)),"Money In",IF(ISNUMBER(SEARCH("Ziidi",C310)),"Investment",IF(ISNUMBER(SEARCH("Nabo",C310)),"Investment",IF(ISNUMBER(SEARCH("Paybill Online",C310)),"Pay Bill",IF(ISNUMBER(SEARCH("Pay Bill",C310)),"Pay Bill",IF(ISNUMBER(SEARCH("Spotify",C310)),"Pay Bill",IF(ISNUMBER(SEARCH("M-Shwari",C310)),"Mshwari",IF(ISNUMBER(SEARCH("Mshwari",C310)),"Mshwari",IF(ISNUMBER(SEARCH("Withdrawal charge",C310)),"Fees",IF(ISNUMBER(SEARCH("Customer Withdrawal",C310)),"Fees",IF(ISNUMBER(SEARCH("charge",C310)),"Fees","Other")))))))))))))))))))))))))</f>
        <v>Merchant Payment</v>
      </c>
      <c r="R310" s="1" t="str">
        <f aca="false">TEXT(B310,"MMM YYYY")</f>
        <v>Feb 2026</v>
      </c>
    </row>
    <row r="311" customFormat="false" ht="13.8" hidden="false" customHeight="false" outlineLevel="0" collapsed="false">
      <c r="A311" s="4" t="s">
        <v>669</v>
      </c>
      <c r="B311" s="4" t="s">
        <v>670</v>
      </c>
      <c r="C311" s="4" t="s">
        <v>29</v>
      </c>
      <c r="D311" s="4" t="s">
        <v>18</v>
      </c>
      <c r="E311" s="4"/>
      <c r="F311" s="4" t="n">
        <v>10</v>
      </c>
      <c r="G311" s="4" t="n">
        <v>65</v>
      </c>
      <c r="L311" s="1" t="str">
        <f aca="false">IF(ISNUMBER(SEARCH("Bundle",C311)),"Bundles",IF(ISNUMBER(SEARCH("Airtime",C311)),"Bundles",IF(ISNUMBER(SEARCH("Merchant",C311)),"Merchant Payment",IF(ISNUMBER(SEARCH("Offnet C2B",C311)),"Merchant Payment",IF(ISNUMBER(SEARCH("Offnet B2C",C311)),"Merchant Payment",IF(ISNUMBER(SEARCH("Customer Payment to Small",C311)),"Merchant Payment",IF(ISNUMBER(SEARCH("Payment to Small Business",C311)),"Merchant Payment",IF(ISNUMBER(SEARCH("Sent to",C311)),"Sent to Person",IF(ISNUMBER(SEARCH("Customer Transfer to",C311)),"Sent to Person",IF(ISNUMBER(SEARCH("Business Payment",C311)),"Money In",IF(ISNUMBER(SEARCH("Funds Received",C311)),"Money In",IF(ISNUMBER(SEARCH("Receive International",C311)),"Money In",IF(ISNUMBER(SEARCH("Send Money Reversal",C311)),"Money In",IF(ISNUMBER(SEARCH("Pay Utility Reversal",C311)),"Money In",IF(ISNUMBER(SEARCH("Customer Transfer",C311)),"Money In",IF(ISNUMBER(SEARCH("Ziidi",C311)),"Investment",IF(ISNUMBER(SEARCH("Nabo",C311)),"Investment",IF(ISNUMBER(SEARCH("Paybill Online",C311)),"Pay Bill",IF(ISNUMBER(SEARCH("Pay Bill",C311)),"Pay Bill",IF(ISNUMBER(SEARCH("Spotify",C311)),"Pay Bill",IF(ISNUMBER(SEARCH("M-Shwari",C311)),"Mshwari",IF(ISNUMBER(SEARCH("Mshwari",C311)),"Mshwari",IF(ISNUMBER(SEARCH("Withdrawal charge",C311)),"Fees",IF(ISNUMBER(SEARCH("Customer Withdrawal",C311)),"Fees",IF(ISNUMBER(SEARCH("charge",C311)),"Fees","Other")))))))))))))))))))))))))</f>
        <v>Bundles</v>
      </c>
      <c r="R311" s="1" t="str">
        <f aca="false">TEXT(B311,"MMM YYYY")</f>
        <v>Feb 2026</v>
      </c>
    </row>
    <row r="312" customFormat="false" ht="13.8" hidden="false" customHeight="false" outlineLevel="0" collapsed="false">
      <c r="A312" s="4" t="s">
        <v>671</v>
      </c>
      <c r="B312" s="4" t="s">
        <v>672</v>
      </c>
      <c r="C312" s="4" t="s">
        <v>29</v>
      </c>
      <c r="D312" s="4" t="s">
        <v>18</v>
      </c>
      <c r="E312" s="4"/>
      <c r="F312" s="4" t="n">
        <v>10</v>
      </c>
      <c r="G312" s="4" t="n">
        <v>55</v>
      </c>
      <c r="L312" s="1" t="str">
        <f aca="false">IF(ISNUMBER(SEARCH("Bundle",C312)),"Bundles",IF(ISNUMBER(SEARCH("Airtime",C312)),"Bundles",IF(ISNUMBER(SEARCH("Merchant",C312)),"Merchant Payment",IF(ISNUMBER(SEARCH("Offnet C2B",C312)),"Merchant Payment",IF(ISNUMBER(SEARCH("Offnet B2C",C312)),"Merchant Payment",IF(ISNUMBER(SEARCH("Customer Payment to Small",C312)),"Merchant Payment",IF(ISNUMBER(SEARCH("Payment to Small Business",C312)),"Merchant Payment",IF(ISNUMBER(SEARCH("Sent to",C312)),"Sent to Person",IF(ISNUMBER(SEARCH("Customer Transfer to",C312)),"Sent to Person",IF(ISNUMBER(SEARCH("Business Payment",C312)),"Money In",IF(ISNUMBER(SEARCH("Funds Received",C312)),"Money In",IF(ISNUMBER(SEARCH("Receive International",C312)),"Money In",IF(ISNUMBER(SEARCH("Send Money Reversal",C312)),"Money In",IF(ISNUMBER(SEARCH("Pay Utility Reversal",C312)),"Money In",IF(ISNUMBER(SEARCH("Customer Transfer",C312)),"Money In",IF(ISNUMBER(SEARCH("Ziidi",C312)),"Investment",IF(ISNUMBER(SEARCH("Nabo",C312)),"Investment",IF(ISNUMBER(SEARCH("Paybill Online",C312)),"Pay Bill",IF(ISNUMBER(SEARCH("Pay Bill",C312)),"Pay Bill",IF(ISNUMBER(SEARCH("Spotify",C312)),"Pay Bill",IF(ISNUMBER(SEARCH("M-Shwari",C312)),"Mshwari",IF(ISNUMBER(SEARCH("Mshwari",C312)),"Mshwari",IF(ISNUMBER(SEARCH("Withdrawal charge",C312)),"Fees",IF(ISNUMBER(SEARCH("Customer Withdrawal",C312)),"Fees",IF(ISNUMBER(SEARCH("charge",C312)),"Fees","Other")))))))))))))))))))))))))</f>
        <v>Bundles</v>
      </c>
      <c r="R312" s="1" t="str">
        <f aca="false">TEXT(B312,"MMM YYYY")</f>
        <v>Feb 2026</v>
      </c>
    </row>
    <row r="313" customFormat="false" ht="13.8" hidden="false" customHeight="false" outlineLevel="0" collapsed="false">
      <c r="A313" s="4" t="s">
        <v>673</v>
      </c>
      <c r="B313" s="4" t="s">
        <v>674</v>
      </c>
      <c r="C313" s="4" t="s">
        <v>675</v>
      </c>
      <c r="D313" s="4" t="s">
        <v>18</v>
      </c>
      <c r="E313" s="4"/>
      <c r="F313" s="4" t="n">
        <v>50</v>
      </c>
      <c r="G313" s="4" t="n">
        <v>5</v>
      </c>
      <c r="L313" s="1" t="str">
        <f aca="false">IF(ISNUMBER(SEARCH("Bundle",C313)),"Bundles",IF(ISNUMBER(SEARCH("Airtime",C313)),"Bundles",IF(ISNUMBER(SEARCH("Merchant",C313)),"Merchant Payment",IF(ISNUMBER(SEARCH("Offnet C2B",C313)),"Merchant Payment",IF(ISNUMBER(SEARCH("Offnet B2C",C313)),"Merchant Payment",IF(ISNUMBER(SEARCH("Customer Payment to Small",C313)),"Merchant Payment",IF(ISNUMBER(SEARCH("Payment to Small Business",C313)),"Merchant Payment",IF(ISNUMBER(SEARCH("Sent to",C313)),"Sent to Person",IF(ISNUMBER(SEARCH("Customer Transfer to",C313)),"Sent to Person",IF(ISNUMBER(SEARCH("Business Payment",C313)),"Money In",IF(ISNUMBER(SEARCH("Funds Received",C313)),"Money In",IF(ISNUMBER(SEARCH("Receive International",C313)),"Money In",IF(ISNUMBER(SEARCH("Send Money Reversal",C313)),"Money In",IF(ISNUMBER(SEARCH("Pay Utility Reversal",C313)),"Money In",IF(ISNUMBER(SEARCH("Customer Transfer",C313)),"Money In",IF(ISNUMBER(SEARCH("Ziidi",C313)),"Investment",IF(ISNUMBER(SEARCH("Nabo",C313)),"Investment",IF(ISNUMBER(SEARCH("Paybill Online",C313)),"Pay Bill",IF(ISNUMBER(SEARCH("Pay Bill",C313)),"Pay Bill",IF(ISNUMBER(SEARCH("Spotify",C313)),"Pay Bill",IF(ISNUMBER(SEARCH("M-Shwari",C313)),"Mshwari",IF(ISNUMBER(SEARCH("Mshwari",C313)),"Mshwari",IF(ISNUMBER(SEARCH("Withdrawal charge",C313)),"Fees",IF(ISNUMBER(SEARCH("Customer Withdrawal",C313)),"Fees",IF(ISNUMBER(SEARCH("charge",C313)),"Fees","Other")))))))))))))))))))))))))</f>
        <v>Merchant Payment</v>
      </c>
      <c r="R313" s="1" t="str">
        <f aca="false">TEXT(B313,"MMM YYYY")</f>
        <v>Feb 2026</v>
      </c>
    </row>
    <row r="314" customFormat="false" ht="13.8" hidden="false" customHeight="false" outlineLevel="0" collapsed="false">
      <c r="A314" s="4" t="s">
        <v>676</v>
      </c>
      <c r="B314" s="4" t="s">
        <v>677</v>
      </c>
      <c r="C314" s="4" t="s">
        <v>192</v>
      </c>
      <c r="D314" s="4" t="s">
        <v>18</v>
      </c>
      <c r="E314" s="4" t="n">
        <v>300</v>
      </c>
      <c r="F314" s="4"/>
      <c r="G314" s="4" t="n">
        <v>305</v>
      </c>
      <c r="L314" s="1" t="str">
        <f aca="false">IF(ISNUMBER(SEARCH("Bundle",C314)),"Bundles",IF(ISNUMBER(SEARCH("Airtime",C314)),"Bundles",IF(ISNUMBER(SEARCH("Merchant",C314)),"Merchant Payment",IF(ISNUMBER(SEARCH("Offnet C2B",C314)),"Merchant Payment",IF(ISNUMBER(SEARCH("Offnet B2C",C314)),"Merchant Payment",IF(ISNUMBER(SEARCH("Customer Payment to Small",C314)),"Merchant Payment",IF(ISNUMBER(SEARCH("Payment to Small Business",C314)),"Merchant Payment",IF(ISNUMBER(SEARCH("Sent to",C314)),"Sent to Person",IF(ISNUMBER(SEARCH("Customer Transfer to",C314)),"Sent to Person",IF(ISNUMBER(SEARCH("Business Payment",C314)),"Money In",IF(ISNUMBER(SEARCH("Funds Received",C314)),"Money In",IF(ISNUMBER(SEARCH("Receive International",C314)),"Money In",IF(ISNUMBER(SEARCH("Send Money Reversal",C314)),"Money In",IF(ISNUMBER(SEARCH("Pay Utility Reversal",C314)),"Money In",IF(ISNUMBER(SEARCH("Customer Transfer",C314)),"Money In",IF(ISNUMBER(SEARCH("Ziidi",C314)),"Investment",IF(ISNUMBER(SEARCH("Nabo",C314)),"Investment",IF(ISNUMBER(SEARCH("Paybill Online",C314)),"Pay Bill",IF(ISNUMBER(SEARCH("Pay Bill",C314)),"Pay Bill",IF(ISNUMBER(SEARCH("Spotify",C314)),"Pay Bill",IF(ISNUMBER(SEARCH("M-Shwari",C314)),"Mshwari",IF(ISNUMBER(SEARCH("Mshwari",C314)),"Mshwari",IF(ISNUMBER(SEARCH("Withdrawal charge",C314)),"Fees",IF(ISNUMBER(SEARCH("Customer Withdrawal",C314)),"Fees",IF(ISNUMBER(SEARCH("charge",C314)),"Fees","Other")))))))))))))))))))))))))</f>
        <v>Mshwari</v>
      </c>
      <c r="R314" s="1" t="str">
        <f aca="false">TEXT(B314,"MMM YYYY")</f>
        <v>Feb 2026</v>
      </c>
    </row>
    <row r="315" customFormat="false" ht="13.8" hidden="false" customHeight="false" outlineLevel="0" collapsed="false">
      <c r="A315" s="4" t="s">
        <v>678</v>
      </c>
      <c r="B315" s="4" t="s">
        <v>679</v>
      </c>
      <c r="C315" s="4" t="s">
        <v>29</v>
      </c>
      <c r="D315" s="4" t="s">
        <v>18</v>
      </c>
      <c r="E315" s="4"/>
      <c r="F315" s="4" t="n">
        <v>10</v>
      </c>
      <c r="G315" s="4" t="n">
        <v>295</v>
      </c>
      <c r="L315" s="1" t="str">
        <f aca="false">IF(ISNUMBER(SEARCH("Bundle",C315)),"Bundles",IF(ISNUMBER(SEARCH("Airtime",C315)),"Bundles",IF(ISNUMBER(SEARCH("Merchant",C315)),"Merchant Payment",IF(ISNUMBER(SEARCH("Offnet C2B",C315)),"Merchant Payment",IF(ISNUMBER(SEARCH("Offnet B2C",C315)),"Merchant Payment",IF(ISNUMBER(SEARCH("Customer Payment to Small",C315)),"Merchant Payment",IF(ISNUMBER(SEARCH("Payment to Small Business",C315)),"Merchant Payment",IF(ISNUMBER(SEARCH("Sent to",C315)),"Sent to Person",IF(ISNUMBER(SEARCH("Customer Transfer to",C315)),"Sent to Person",IF(ISNUMBER(SEARCH("Business Payment",C315)),"Money In",IF(ISNUMBER(SEARCH("Funds Received",C315)),"Money In",IF(ISNUMBER(SEARCH("Receive International",C315)),"Money In",IF(ISNUMBER(SEARCH("Send Money Reversal",C315)),"Money In",IF(ISNUMBER(SEARCH("Pay Utility Reversal",C315)),"Money In",IF(ISNUMBER(SEARCH("Customer Transfer",C315)),"Money In",IF(ISNUMBER(SEARCH("Ziidi",C315)),"Investment",IF(ISNUMBER(SEARCH("Nabo",C315)),"Investment",IF(ISNUMBER(SEARCH("Paybill Online",C315)),"Pay Bill",IF(ISNUMBER(SEARCH("Pay Bill",C315)),"Pay Bill",IF(ISNUMBER(SEARCH("Spotify",C315)),"Pay Bill",IF(ISNUMBER(SEARCH("M-Shwari",C315)),"Mshwari",IF(ISNUMBER(SEARCH("Mshwari",C315)),"Mshwari",IF(ISNUMBER(SEARCH("Withdrawal charge",C315)),"Fees",IF(ISNUMBER(SEARCH("Customer Withdrawal",C315)),"Fees",IF(ISNUMBER(SEARCH("charge",C315)),"Fees","Other")))))))))))))))))))))))))</f>
        <v>Bundles</v>
      </c>
      <c r="R315" s="1" t="str">
        <f aca="false">TEXT(B315,"MMM YYYY")</f>
        <v>Feb 2026</v>
      </c>
    </row>
    <row r="316" customFormat="false" ht="13.8" hidden="false" customHeight="false" outlineLevel="0" collapsed="false">
      <c r="A316" s="4" t="s">
        <v>680</v>
      </c>
      <c r="B316" s="4" t="s">
        <v>681</v>
      </c>
      <c r="C316" s="4" t="s">
        <v>17</v>
      </c>
      <c r="D316" s="4" t="s">
        <v>18</v>
      </c>
      <c r="E316" s="4"/>
      <c r="F316" s="4" t="n">
        <v>20</v>
      </c>
      <c r="G316" s="4" t="n">
        <v>275</v>
      </c>
      <c r="L316" s="1" t="str">
        <f aca="false">IF(ISNUMBER(SEARCH("Bundle",C316)),"Bundles",IF(ISNUMBER(SEARCH("Airtime",C316)),"Bundles",IF(ISNUMBER(SEARCH("Merchant",C316)),"Merchant Payment",IF(ISNUMBER(SEARCH("Offnet C2B",C316)),"Merchant Payment",IF(ISNUMBER(SEARCH("Offnet B2C",C316)),"Merchant Payment",IF(ISNUMBER(SEARCH("Customer Payment to Small",C316)),"Merchant Payment",IF(ISNUMBER(SEARCH("Payment to Small Business",C316)),"Merchant Payment",IF(ISNUMBER(SEARCH("Sent to",C316)),"Sent to Person",IF(ISNUMBER(SEARCH("Customer Transfer to",C316)),"Sent to Person",IF(ISNUMBER(SEARCH("Business Payment",C316)),"Money In",IF(ISNUMBER(SEARCH("Funds Received",C316)),"Money In",IF(ISNUMBER(SEARCH("Receive International",C316)),"Money In",IF(ISNUMBER(SEARCH("Send Money Reversal",C316)),"Money In",IF(ISNUMBER(SEARCH("Pay Utility Reversal",C316)),"Money In",IF(ISNUMBER(SEARCH("Customer Transfer",C316)),"Money In",IF(ISNUMBER(SEARCH("Ziidi",C316)),"Investment",IF(ISNUMBER(SEARCH("Nabo",C316)),"Investment",IF(ISNUMBER(SEARCH("Paybill Online",C316)),"Pay Bill",IF(ISNUMBER(SEARCH("Pay Bill",C316)),"Pay Bill",IF(ISNUMBER(SEARCH("Spotify",C316)),"Pay Bill",IF(ISNUMBER(SEARCH("M-Shwari",C316)),"Mshwari",IF(ISNUMBER(SEARCH("Mshwari",C316)),"Mshwari",IF(ISNUMBER(SEARCH("Withdrawal charge",C316)),"Fees",IF(ISNUMBER(SEARCH("Customer Withdrawal",C316)),"Fees",IF(ISNUMBER(SEARCH("charge",C316)),"Fees","Other")))))))))))))))))))))))))</f>
        <v>Bundles</v>
      </c>
      <c r="R316" s="1" t="str">
        <f aca="false">TEXT(B316,"MMM YYYY")</f>
        <v>Feb 2026</v>
      </c>
    </row>
    <row r="317" customFormat="false" ht="13.8" hidden="false" customHeight="false" outlineLevel="0" collapsed="false">
      <c r="A317" s="4" t="s">
        <v>682</v>
      </c>
      <c r="B317" s="4" t="s">
        <v>683</v>
      </c>
      <c r="C317" s="4" t="s">
        <v>29</v>
      </c>
      <c r="D317" s="4" t="s">
        <v>18</v>
      </c>
      <c r="E317" s="4"/>
      <c r="F317" s="4" t="n">
        <v>10</v>
      </c>
      <c r="G317" s="4" t="n">
        <v>265</v>
      </c>
      <c r="L317" s="1" t="str">
        <f aca="false">IF(ISNUMBER(SEARCH("Bundle",C317)),"Bundles",IF(ISNUMBER(SEARCH("Airtime",C317)),"Bundles",IF(ISNUMBER(SEARCH("Merchant",C317)),"Merchant Payment",IF(ISNUMBER(SEARCH("Offnet C2B",C317)),"Merchant Payment",IF(ISNUMBER(SEARCH("Offnet B2C",C317)),"Merchant Payment",IF(ISNUMBER(SEARCH("Customer Payment to Small",C317)),"Merchant Payment",IF(ISNUMBER(SEARCH("Payment to Small Business",C317)),"Merchant Payment",IF(ISNUMBER(SEARCH("Sent to",C317)),"Sent to Person",IF(ISNUMBER(SEARCH("Customer Transfer to",C317)),"Sent to Person",IF(ISNUMBER(SEARCH("Business Payment",C317)),"Money In",IF(ISNUMBER(SEARCH("Funds Received",C317)),"Money In",IF(ISNUMBER(SEARCH("Receive International",C317)),"Money In",IF(ISNUMBER(SEARCH("Send Money Reversal",C317)),"Money In",IF(ISNUMBER(SEARCH("Pay Utility Reversal",C317)),"Money In",IF(ISNUMBER(SEARCH("Customer Transfer",C317)),"Money In",IF(ISNUMBER(SEARCH("Ziidi",C317)),"Investment",IF(ISNUMBER(SEARCH("Nabo",C317)),"Investment",IF(ISNUMBER(SEARCH("Paybill Online",C317)),"Pay Bill",IF(ISNUMBER(SEARCH("Pay Bill",C317)),"Pay Bill",IF(ISNUMBER(SEARCH("Spotify",C317)),"Pay Bill",IF(ISNUMBER(SEARCH("M-Shwari",C317)),"Mshwari",IF(ISNUMBER(SEARCH("Mshwari",C317)),"Mshwari",IF(ISNUMBER(SEARCH("Withdrawal charge",C317)),"Fees",IF(ISNUMBER(SEARCH("Customer Withdrawal",C317)),"Fees",IF(ISNUMBER(SEARCH("charge",C317)),"Fees","Other")))))))))))))))))))))))))</f>
        <v>Bundles</v>
      </c>
      <c r="R317" s="1" t="str">
        <f aca="false">TEXT(B317,"MMM YYYY")</f>
        <v>Feb 2026</v>
      </c>
    </row>
    <row r="318" customFormat="false" ht="13.8" hidden="false" customHeight="false" outlineLevel="0" collapsed="false">
      <c r="A318" s="4" t="s">
        <v>684</v>
      </c>
      <c r="B318" s="4" t="s">
        <v>685</v>
      </c>
      <c r="C318" s="4" t="s">
        <v>686</v>
      </c>
      <c r="D318" s="4" t="s">
        <v>18</v>
      </c>
      <c r="E318" s="4"/>
      <c r="F318" s="4" t="n">
        <v>100</v>
      </c>
      <c r="G318" s="4" t="n">
        <v>165</v>
      </c>
      <c r="L318" s="1" t="str">
        <f aca="false">IF(ISNUMBER(SEARCH("Bundle",C318)),"Bundles",IF(ISNUMBER(SEARCH("Airtime",C318)),"Bundles",IF(ISNUMBER(SEARCH("Merchant",C318)),"Merchant Payment",IF(ISNUMBER(SEARCH("Offnet C2B",C318)),"Merchant Payment",IF(ISNUMBER(SEARCH("Offnet B2C",C318)),"Merchant Payment",IF(ISNUMBER(SEARCH("Customer Payment to Small",C318)),"Merchant Payment",IF(ISNUMBER(SEARCH("Payment to Small Business",C318)),"Merchant Payment",IF(ISNUMBER(SEARCH("Sent to",C318)),"Sent to Person",IF(ISNUMBER(SEARCH("Customer Transfer to",C318)),"Sent to Person",IF(ISNUMBER(SEARCH("Business Payment",C318)),"Money In",IF(ISNUMBER(SEARCH("Funds Received",C318)),"Money In",IF(ISNUMBER(SEARCH("Receive International",C318)),"Money In",IF(ISNUMBER(SEARCH("Send Money Reversal",C318)),"Money In",IF(ISNUMBER(SEARCH("Pay Utility Reversal",C318)),"Money In",IF(ISNUMBER(SEARCH("Customer Transfer",C318)),"Money In",IF(ISNUMBER(SEARCH("Ziidi",C318)),"Investment",IF(ISNUMBER(SEARCH("Nabo",C318)),"Investment",IF(ISNUMBER(SEARCH("Paybill Online",C318)),"Pay Bill",IF(ISNUMBER(SEARCH("Pay Bill",C318)),"Pay Bill",IF(ISNUMBER(SEARCH("Spotify",C318)),"Pay Bill",IF(ISNUMBER(SEARCH("M-Shwari",C318)),"Mshwari",IF(ISNUMBER(SEARCH("Mshwari",C318)),"Mshwari",IF(ISNUMBER(SEARCH("Withdrawal charge",C318)),"Fees",IF(ISNUMBER(SEARCH("Customer Withdrawal",C318)),"Fees",IF(ISNUMBER(SEARCH("charge",C318)),"Fees","Other")))))))))))))))))))))))))</f>
        <v>Merchant Payment</v>
      </c>
      <c r="R318" s="1" t="str">
        <f aca="false">TEXT(B318,"MMM YYYY")</f>
        <v>Feb 2026</v>
      </c>
    </row>
    <row r="319" customFormat="false" ht="13.8" hidden="false" customHeight="false" outlineLevel="0" collapsed="false">
      <c r="A319" s="4" t="s">
        <v>687</v>
      </c>
      <c r="B319" s="4" t="s">
        <v>688</v>
      </c>
      <c r="C319" s="4" t="s">
        <v>689</v>
      </c>
      <c r="D319" s="4" t="s">
        <v>18</v>
      </c>
      <c r="E319" s="4"/>
      <c r="F319" s="4" t="n">
        <v>150</v>
      </c>
      <c r="G319" s="4" t="n">
        <v>15</v>
      </c>
      <c r="L319" s="1" t="str">
        <f aca="false">IF(ISNUMBER(SEARCH("Bundle",C319)),"Bundles",IF(ISNUMBER(SEARCH("Airtime",C319)),"Bundles",IF(ISNUMBER(SEARCH("Merchant",C319)),"Merchant Payment",IF(ISNUMBER(SEARCH("Offnet C2B",C319)),"Merchant Payment",IF(ISNUMBER(SEARCH("Offnet B2C",C319)),"Merchant Payment",IF(ISNUMBER(SEARCH("Customer Payment to Small",C319)),"Merchant Payment",IF(ISNUMBER(SEARCH("Payment to Small Business",C319)),"Merchant Payment",IF(ISNUMBER(SEARCH("Sent to",C319)),"Sent to Person",IF(ISNUMBER(SEARCH("Customer Transfer to",C319)),"Sent to Person",IF(ISNUMBER(SEARCH("Business Payment",C319)),"Money In",IF(ISNUMBER(SEARCH("Funds Received",C319)),"Money In",IF(ISNUMBER(SEARCH("Receive International",C319)),"Money In",IF(ISNUMBER(SEARCH("Send Money Reversal",C319)),"Money In",IF(ISNUMBER(SEARCH("Pay Utility Reversal",C319)),"Money In",IF(ISNUMBER(SEARCH("Customer Transfer",C319)),"Money In",IF(ISNUMBER(SEARCH("Ziidi",C319)),"Investment",IF(ISNUMBER(SEARCH("Nabo",C319)),"Investment",IF(ISNUMBER(SEARCH("Paybill Online",C319)),"Pay Bill",IF(ISNUMBER(SEARCH("Pay Bill",C319)),"Pay Bill",IF(ISNUMBER(SEARCH("Spotify",C319)),"Pay Bill",IF(ISNUMBER(SEARCH("M-Shwari",C319)),"Mshwari",IF(ISNUMBER(SEARCH("Mshwari",C319)),"Mshwari",IF(ISNUMBER(SEARCH("Withdrawal charge",C319)),"Fees",IF(ISNUMBER(SEARCH("Customer Withdrawal",C319)),"Fees",IF(ISNUMBER(SEARCH("charge",C319)),"Fees","Other")))))))))))))))))))))))))</f>
        <v>Pay Bill</v>
      </c>
      <c r="R319" s="1" t="str">
        <f aca="false">TEXT(B319,"MMM YYYY")</f>
        <v>Feb 2026</v>
      </c>
    </row>
    <row r="320" customFormat="false" ht="13.8" hidden="false" customHeight="false" outlineLevel="0" collapsed="false">
      <c r="A320" s="4" t="s">
        <v>687</v>
      </c>
      <c r="B320" s="4" t="s">
        <v>688</v>
      </c>
      <c r="C320" s="4" t="s">
        <v>182</v>
      </c>
      <c r="D320" s="4" t="s">
        <v>18</v>
      </c>
      <c r="E320" s="4"/>
      <c r="F320" s="4" t="n">
        <v>5</v>
      </c>
      <c r="G320" s="4" t="n">
        <v>10</v>
      </c>
      <c r="L320" s="1" t="str">
        <f aca="false">IF(ISNUMBER(SEARCH("Bundle",C320)),"Bundles",IF(ISNUMBER(SEARCH("Airtime",C320)),"Bundles",IF(ISNUMBER(SEARCH("Merchant",C320)),"Merchant Payment",IF(ISNUMBER(SEARCH("Offnet C2B",C320)),"Merchant Payment",IF(ISNUMBER(SEARCH("Offnet B2C",C320)),"Merchant Payment",IF(ISNUMBER(SEARCH("Customer Payment to Small",C320)),"Merchant Payment",IF(ISNUMBER(SEARCH("Payment to Small Business",C320)),"Merchant Payment",IF(ISNUMBER(SEARCH("Sent to",C320)),"Sent to Person",IF(ISNUMBER(SEARCH("Customer Transfer to",C320)),"Sent to Person",IF(ISNUMBER(SEARCH("Business Payment",C320)),"Money In",IF(ISNUMBER(SEARCH("Funds Received",C320)),"Money In",IF(ISNUMBER(SEARCH("Receive International",C320)),"Money In",IF(ISNUMBER(SEARCH("Send Money Reversal",C320)),"Money In",IF(ISNUMBER(SEARCH("Pay Utility Reversal",C320)),"Money In",IF(ISNUMBER(SEARCH("Customer Transfer",C320)),"Money In",IF(ISNUMBER(SEARCH("Ziidi",C320)),"Investment",IF(ISNUMBER(SEARCH("Nabo",C320)),"Investment",IF(ISNUMBER(SEARCH("Paybill Online",C320)),"Pay Bill",IF(ISNUMBER(SEARCH("Pay Bill",C320)),"Pay Bill",IF(ISNUMBER(SEARCH("Spotify",C320)),"Pay Bill",IF(ISNUMBER(SEARCH("M-Shwari",C320)),"Mshwari",IF(ISNUMBER(SEARCH("Mshwari",C320)),"Mshwari",IF(ISNUMBER(SEARCH("Withdrawal charge",C320)),"Fees",IF(ISNUMBER(SEARCH("Customer Withdrawal",C320)),"Fees",IF(ISNUMBER(SEARCH("charge",C320)),"Fees","Other")))))))))))))))))))))))))</f>
        <v>Pay Bill</v>
      </c>
      <c r="R320" s="1" t="str">
        <f aca="false">TEXT(B320,"MMM YYYY")</f>
        <v>Feb 2026</v>
      </c>
    </row>
    <row r="321" customFormat="false" ht="13.8" hidden="false" customHeight="false" outlineLevel="0" collapsed="false">
      <c r="A321" s="4" t="s">
        <v>690</v>
      </c>
      <c r="B321" s="4" t="s">
        <v>691</v>
      </c>
      <c r="C321" s="4" t="s">
        <v>192</v>
      </c>
      <c r="D321" s="4" t="s">
        <v>18</v>
      </c>
      <c r="E321" s="4" t="n">
        <v>600</v>
      </c>
      <c r="F321" s="4"/>
      <c r="G321" s="4" t="n">
        <v>610</v>
      </c>
      <c r="L321" s="1" t="str">
        <f aca="false">IF(ISNUMBER(SEARCH("Bundle",C321)),"Bundles",IF(ISNUMBER(SEARCH("Airtime",C321)),"Bundles",IF(ISNUMBER(SEARCH("Merchant",C321)),"Merchant Payment",IF(ISNUMBER(SEARCH("Offnet C2B",C321)),"Merchant Payment",IF(ISNUMBER(SEARCH("Offnet B2C",C321)),"Merchant Payment",IF(ISNUMBER(SEARCH("Customer Payment to Small",C321)),"Merchant Payment",IF(ISNUMBER(SEARCH("Payment to Small Business",C321)),"Merchant Payment",IF(ISNUMBER(SEARCH("Sent to",C321)),"Sent to Person",IF(ISNUMBER(SEARCH("Customer Transfer to",C321)),"Sent to Person",IF(ISNUMBER(SEARCH("Business Payment",C321)),"Money In",IF(ISNUMBER(SEARCH("Funds Received",C321)),"Money In",IF(ISNUMBER(SEARCH("Receive International",C321)),"Money In",IF(ISNUMBER(SEARCH("Send Money Reversal",C321)),"Money In",IF(ISNUMBER(SEARCH("Pay Utility Reversal",C321)),"Money In",IF(ISNUMBER(SEARCH("Customer Transfer",C321)),"Money In",IF(ISNUMBER(SEARCH("Ziidi",C321)),"Investment",IF(ISNUMBER(SEARCH("Nabo",C321)),"Investment",IF(ISNUMBER(SEARCH("Paybill Online",C321)),"Pay Bill",IF(ISNUMBER(SEARCH("Pay Bill",C321)),"Pay Bill",IF(ISNUMBER(SEARCH("Spotify",C321)),"Pay Bill",IF(ISNUMBER(SEARCH("M-Shwari",C321)),"Mshwari",IF(ISNUMBER(SEARCH("Mshwari",C321)),"Mshwari",IF(ISNUMBER(SEARCH("Withdrawal charge",C321)),"Fees",IF(ISNUMBER(SEARCH("Customer Withdrawal",C321)),"Fees",IF(ISNUMBER(SEARCH("charge",C321)),"Fees","Other")))))))))))))))))))))))))</f>
        <v>Mshwari</v>
      </c>
      <c r="R321" s="1" t="str">
        <f aca="false">TEXT(B321,"MMM YYYY")</f>
        <v>Feb 2026</v>
      </c>
    </row>
    <row r="322" customFormat="false" ht="13.8" hidden="false" customHeight="false" outlineLevel="0" collapsed="false">
      <c r="A322" s="4" t="s">
        <v>692</v>
      </c>
      <c r="B322" s="4" t="s">
        <v>693</v>
      </c>
      <c r="C322" s="4" t="s">
        <v>316</v>
      </c>
      <c r="D322" s="4" t="s">
        <v>18</v>
      </c>
      <c r="E322" s="4"/>
      <c r="F322" s="4" t="n">
        <v>355</v>
      </c>
      <c r="G322" s="4" t="n">
        <v>255</v>
      </c>
      <c r="L322" s="1" t="str">
        <f aca="false">IF(ISNUMBER(SEARCH("Bundle",C322)),"Bundles",IF(ISNUMBER(SEARCH("Airtime",C322)),"Bundles",IF(ISNUMBER(SEARCH("Merchant",C322)),"Merchant Payment",IF(ISNUMBER(SEARCH("Offnet C2B",C322)),"Merchant Payment",IF(ISNUMBER(SEARCH("Offnet B2C",C322)),"Merchant Payment",IF(ISNUMBER(SEARCH("Customer Payment to Small",C322)),"Merchant Payment",IF(ISNUMBER(SEARCH("Payment to Small Business",C322)),"Merchant Payment",IF(ISNUMBER(SEARCH("Sent to",C322)),"Sent to Person",IF(ISNUMBER(SEARCH("Customer Transfer to",C322)),"Sent to Person",IF(ISNUMBER(SEARCH("Business Payment",C322)),"Money In",IF(ISNUMBER(SEARCH("Funds Received",C322)),"Money In",IF(ISNUMBER(SEARCH("Receive International",C322)),"Money In",IF(ISNUMBER(SEARCH("Send Money Reversal",C322)),"Money In",IF(ISNUMBER(SEARCH("Pay Utility Reversal",C322)),"Money In",IF(ISNUMBER(SEARCH("Customer Transfer",C322)),"Money In",IF(ISNUMBER(SEARCH("Ziidi",C322)),"Investment",IF(ISNUMBER(SEARCH("Nabo",C322)),"Investment",IF(ISNUMBER(SEARCH("Paybill Online",C322)),"Pay Bill",IF(ISNUMBER(SEARCH("Pay Bill",C322)),"Pay Bill",IF(ISNUMBER(SEARCH("Spotify",C322)),"Pay Bill",IF(ISNUMBER(SEARCH("M-Shwari",C322)),"Mshwari",IF(ISNUMBER(SEARCH("Mshwari",C322)),"Mshwari",IF(ISNUMBER(SEARCH("Withdrawal charge",C322)),"Fees",IF(ISNUMBER(SEARCH("Customer Withdrawal",C322)),"Fees",IF(ISNUMBER(SEARCH("charge",C322)),"Fees","Other")))))))))))))))))))))))))</f>
        <v>Merchant Payment</v>
      </c>
      <c r="R322" s="1" t="str">
        <f aca="false">TEXT(B322,"MMM YYYY")</f>
        <v>Feb 2026</v>
      </c>
    </row>
    <row r="323" customFormat="false" ht="13.8" hidden="false" customHeight="false" outlineLevel="0" collapsed="false">
      <c r="A323" s="4" t="s">
        <v>694</v>
      </c>
      <c r="B323" s="4" t="s">
        <v>695</v>
      </c>
      <c r="C323" s="4" t="s">
        <v>635</v>
      </c>
      <c r="D323" s="4" t="s">
        <v>18</v>
      </c>
      <c r="E323" s="4"/>
      <c r="F323" s="4" t="n">
        <v>40</v>
      </c>
      <c r="G323" s="4" t="n">
        <v>215</v>
      </c>
      <c r="L323" s="1" t="str">
        <f aca="false">IF(ISNUMBER(SEARCH("Bundle",C323)),"Bundles",IF(ISNUMBER(SEARCH("Airtime",C323)),"Bundles",IF(ISNUMBER(SEARCH("Merchant",C323)),"Merchant Payment",IF(ISNUMBER(SEARCH("Offnet C2B",C323)),"Merchant Payment",IF(ISNUMBER(SEARCH("Offnet B2C",C323)),"Merchant Payment",IF(ISNUMBER(SEARCH("Customer Payment to Small",C323)),"Merchant Payment",IF(ISNUMBER(SEARCH("Payment to Small Business",C323)),"Merchant Payment",IF(ISNUMBER(SEARCH("Sent to",C323)),"Sent to Person",IF(ISNUMBER(SEARCH("Customer Transfer to",C323)),"Sent to Person",IF(ISNUMBER(SEARCH("Business Payment",C323)),"Money In",IF(ISNUMBER(SEARCH("Funds Received",C323)),"Money In",IF(ISNUMBER(SEARCH("Receive International",C323)),"Money In",IF(ISNUMBER(SEARCH("Send Money Reversal",C323)),"Money In",IF(ISNUMBER(SEARCH("Pay Utility Reversal",C323)),"Money In",IF(ISNUMBER(SEARCH("Customer Transfer",C323)),"Money In",IF(ISNUMBER(SEARCH("Ziidi",C323)),"Investment",IF(ISNUMBER(SEARCH("Nabo",C323)),"Investment",IF(ISNUMBER(SEARCH("Paybill Online",C323)),"Pay Bill",IF(ISNUMBER(SEARCH("Pay Bill",C323)),"Pay Bill",IF(ISNUMBER(SEARCH("Spotify",C323)),"Pay Bill",IF(ISNUMBER(SEARCH("M-Shwari",C323)),"Mshwari",IF(ISNUMBER(SEARCH("Mshwari",C323)),"Mshwari",IF(ISNUMBER(SEARCH("Withdrawal charge",C323)),"Fees",IF(ISNUMBER(SEARCH("Customer Withdrawal",C323)),"Fees",IF(ISNUMBER(SEARCH("charge",C323)),"Fees","Other")))))))))))))))))))))))))</f>
        <v>Merchant Payment</v>
      </c>
      <c r="R323" s="1" t="str">
        <f aca="false">TEXT(B323,"MMM YYYY")</f>
        <v>Feb 2026</v>
      </c>
    </row>
    <row r="324" customFormat="false" ht="13.8" hidden="false" customHeight="false" outlineLevel="0" collapsed="false">
      <c r="A324" s="4" t="s">
        <v>696</v>
      </c>
      <c r="B324" s="4" t="s">
        <v>697</v>
      </c>
      <c r="C324" s="4" t="s">
        <v>541</v>
      </c>
      <c r="D324" s="4" t="s">
        <v>18</v>
      </c>
      <c r="E324" s="4"/>
      <c r="F324" s="4" t="n">
        <v>100</v>
      </c>
      <c r="G324" s="4" t="n">
        <v>115</v>
      </c>
      <c r="L324" s="1" t="str">
        <f aca="false">IF(ISNUMBER(SEARCH("Bundle",C324)),"Bundles",IF(ISNUMBER(SEARCH("Airtime",C324)),"Bundles",IF(ISNUMBER(SEARCH("Merchant",C324)),"Merchant Payment",IF(ISNUMBER(SEARCH("Offnet C2B",C324)),"Merchant Payment",IF(ISNUMBER(SEARCH("Offnet B2C",C324)),"Merchant Payment",IF(ISNUMBER(SEARCH("Customer Payment to Small",C324)),"Merchant Payment",IF(ISNUMBER(SEARCH("Payment to Small Business",C324)),"Merchant Payment",IF(ISNUMBER(SEARCH("Sent to",C324)),"Sent to Person",IF(ISNUMBER(SEARCH("Customer Transfer to",C324)),"Sent to Person",IF(ISNUMBER(SEARCH("Business Payment",C324)),"Money In",IF(ISNUMBER(SEARCH("Funds Received",C324)),"Money In",IF(ISNUMBER(SEARCH("Receive International",C324)),"Money In",IF(ISNUMBER(SEARCH("Send Money Reversal",C324)),"Money In",IF(ISNUMBER(SEARCH("Pay Utility Reversal",C324)),"Money In",IF(ISNUMBER(SEARCH("Customer Transfer",C324)),"Money In",IF(ISNUMBER(SEARCH("Ziidi",C324)),"Investment",IF(ISNUMBER(SEARCH("Nabo",C324)),"Investment",IF(ISNUMBER(SEARCH("Paybill Online",C324)),"Pay Bill",IF(ISNUMBER(SEARCH("Pay Bill",C324)),"Pay Bill",IF(ISNUMBER(SEARCH("Spotify",C324)),"Pay Bill",IF(ISNUMBER(SEARCH("M-Shwari",C324)),"Mshwari",IF(ISNUMBER(SEARCH("Mshwari",C324)),"Mshwari",IF(ISNUMBER(SEARCH("Withdrawal charge",C324)),"Fees",IF(ISNUMBER(SEARCH("Customer Withdrawal",C324)),"Fees",IF(ISNUMBER(SEARCH("charge",C324)),"Fees","Other")))))))))))))))))))))))))</f>
        <v>Sent to Person</v>
      </c>
      <c r="R324" s="1" t="str">
        <f aca="false">TEXT(B324,"MMM YYYY")</f>
        <v>Feb 2026</v>
      </c>
    </row>
    <row r="325" customFormat="false" ht="13.8" hidden="false" customHeight="false" outlineLevel="0" collapsed="false">
      <c r="A325" s="4" t="s">
        <v>698</v>
      </c>
      <c r="B325" s="4" t="s">
        <v>699</v>
      </c>
      <c r="C325" s="4" t="s">
        <v>541</v>
      </c>
      <c r="D325" s="4" t="s">
        <v>18</v>
      </c>
      <c r="E325" s="4"/>
      <c r="F325" s="4" t="n">
        <v>100</v>
      </c>
      <c r="G325" s="4" t="n">
        <v>15</v>
      </c>
      <c r="L325" s="1" t="str">
        <f aca="false">IF(ISNUMBER(SEARCH("Bundle",C325)),"Bundles",IF(ISNUMBER(SEARCH("Airtime",C325)),"Bundles",IF(ISNUMBER(SEARCH("Merchant",C325)),"Merchant Payment",IF(ISNUMBER(SEARCH("Offnet C2B",C325)),"Merchant Payment",IF(ISNUMBER(SEARCH("Offnet B2C",C325)),"Merchant Payment",IF(ISNUMBER(SEARCH("Customer Payment to Small",C325)),"Merchant Payment",IF(ISNUMBER(SEARCH("Payment to Small Business",C325)),"Merchant Payment",IF(ISNUMBER(SEARCH("Sent to",C325)),"Sent to Person",IF(ISNUMBER(SEARCH("Customer Transfer to",C325)),"Sent to Person",IF(ISNUMBER(SEARCH("Business Payment",C325)),"Money In",IF(ISNUMBER(SEARCH("Funds Received",C325)),"Money In",IF(ISNUMBER(SEARCH("Receive International",C325)),"Money In",IF(ISNUMBER(SEARCH("Send Money Reversal",C325)),"Money In",IF(ISNUMBER(SEARCH("Pay Utility Reversal",C325)),"Money In",IF(ISNUMBER(SEARCH("Customer Transfer",C325)),"Money In",IF(ISNUMBER(SEARCH("Ziidi",C325)),"Investment",IF(ISNUMBER(SEARCH("Nabo",C325)),"Investment",IF(ISNUMBER(SEARCH("Paybill Online",C325)),"Pay Bill",IF(ISNUMBER(SEARCH("Pay Bill",C325)),"Pay Bill",IF(ISNUMBER(SEARCH("Spotify",C325)),"Pay Bill",IF(ISNUMBER(SEARCH("M-Shwari",C325)),"Mshwari",IF(ISNUMBER(SEARCH("Mshwari",C325)),"Mshwari",IF(ISNUMBER(SEARCH("Withdrawal charge",C325)),"Fees",IF(ISNUMBER(SEARCH("Customer Withdrawal",C325)),"Fees",IF(ISNUMBER(SEARCH("charge",C325)),"Fees","Other")))))))))))))))))))))))))</f>
        <v>Sent to Person</v>
      </c>
      <c r="R325" s="1" t="str">
        <f aca="false">TEXT(B325,"MMM YYYY")</f>
        <v>Feb 2026</v>
      </c>
    </row>
    <row r="326" customFormat="false" ht="13.8" hidden="false" customHeight="false" outlineLevel="0" collapsed="false">
      <c r="A326" s="4" t="s">
        <v>700</v>
      </c>
      <c r="B326" s="4" t="s">
        <v>701</v>
      </c>
      <c r="C326" s="4" t="s">
        <v>541</v>
      </c>
      <c r="D326" s="4" t="s">
        <v>18</v>
      </c>
      <c r="E326" s="4"/>
      <c r="F326" s="4" t="n">
        <v>15</v>
      </c>
      <c r="G326" s="4" t="n">
        <v>0</v>
      </c>
      <c r="L326" s="1" t="str">
        <f aca="false">IF(ISNUMBER(SEARCH("Bundle",C326)),"Bundles",IF(ISNUMBER(SEARCH("Airtime",C326)),"Bundles",IF(ISNUMBER(SEARCH("Merchant",C326)),"Merchant Payment",IF(ISNUMBER(SEARCH("Offnet C2B",C326)),"Merchant Payment",IF(ISNUMBER(SEARCH("Offnet B2C",C326)),"Merchant Payment",IF(ISNUMBER(SEARCH("Customer Payment to Small",C326)),"Merchant Payment",IF(ISNUMBER(SEARCH("Payment to Small Business",C326)),"Merchant Payment",IF(ISNUMBER(SEARCH("Sent to",C326)),"Sent to Person",IF(ISNUMBER(SEARCH("Customer Transfer to",C326)),"Sent to Person",IF(ISNUMBER(SEARCH("Business Payment",C326)),"Money In",IF(ISNUMBER(SEARCH("Funds Received",C326)),"Money In",IF(ISNUMBER(SEARCH("Receive International",C326)),"Money In",IF(ISNUMBER(SEARCH("Send Money Reversal",C326)),"Money In",IF(ISNUMBER(SEARCH("Pay Utility Reversal",C326)),"Money In",IF(ISNUMBER(SEARCH("Customer Transfer",C326)),"Money In",IF(ISNUMBER(SEARCH("Ziidi",C326)),"Investment",IF(ISNUMBER(SEARCH("Nabo",C326)),"Investment",IF(ISNUMBER(SEARCH("Paybill Online",C326)),"Pay Bill",IF(ISNUMBER(SEARCH("Pay Bill",C326)),"Pay Bill",IF(ISNUMBER(SEARCH("Spotify",C326)),"Pay Bill",IF(ISNUMBER(SEARCH("M-Shwari",C326)),"Mshwari",IF(ISNUMBER(SEARCH("Mshwari",C326)),"Mshwari",IF(ISNUMBER(SEARCH("Withdrawal charge",C326)),"Fees",IF(ISNUMBER(SEARCH("Customer Withdrawal",C326)),"Fees",IF(ISNUMBER(SEARCH("charge",C326)),"Fees","Other")))))))))))))))))))))))))</f>
        <v>Sent to Person</v>
      </c>
      <c r="R326" s="1" t="str">
        <f aca="false">TEXT(B326,"MMM YYYY")</f>
        <v>Feb 2026</v>
      </c>
    </row>
    <row r="327" customFormat="false" ht="13.8" hidden="false" customHeight="false" outlineLevel="0" collapsed="false">
      <c r="A327" s="4" t="s">
        <v>702</v>
      </c>
      <c r="B327" s="4" t="s">
        <v>703</v>
      </c>
      <c r="C327" s="4" t="s">
        <v>704</v>
      </c>
      <c r="D327" s="4" t="s">
        <v>18</v>
      </c>
      <c r="E327" s="4" t="n">
        <v>481</v>
      </c>
      <c r="F327" s="4"/>
      <c r="G327" s="4" t="n">
        <v>481</v>
      </c>
      <c r="L327" s="1" t="str">
        <f aca="false">IF(ISNUMBER(SEARCH("Bundle",C327)),"Bundles",IF(ISNUMBER(SEARCH("Airtime",C327)),"Bundles",IF(ISNUMBER(SEARCH("Merchant",C327)),"Merchant Payment",IF(ISNUMBER(SEARCH("Offnet C2B",C327)),"Merchant Payment",IF(ISNUMBER(SEARCH("Offnet B2C",C327)),"Merchant Payment",IF(ISNUMBER(SEARCH("Customer Payment to Small",C327)),"Merchant Payment",IF(ISNUMBER(SEARCH("Payment to Small Business",C327)),"Merchant Payment",IF(ISNUMBER(SEARCH("Sent to",C327)),"Sent to Person",IF(ISNUMBER(SEARCH("Customer Transfer to",C327)),"Sent to Person",IF(ISNUMBER(SEARCH("Business Payment",C327)),"Money In",IF(ISNUMBER(SEARCH("Funds Received",C327)),"Money In",IF(ISNUMBER(SEARCH("Receive International",C327)),"Money In",IF(ISNUMBER(SEARCH("Send Money Reversal",C327)),"Money In",IF(ISNUMBER(SEARCH("Pay Utility Reversal",C327)),"Money In",IF(ISNUMBER(SEARCH("Customer Transfer",C327)),"Money In",IF(ISNUMBER(SEARCH("Ziidi",C327)),"Investment",IF(ISNUMBER(SEARCH("Nabo",C327)),"Investment",IF(ISNUMBER(SEARCH("Paybill Online",C327)),"Pay Bill",IF(ISNUMBER(SEARCH("Pay Bill",C327)),"Pay Bill",IF(ISNUMBER(SEARCH("Spotify",C327)),"Pay Bill",IF(ISNUMBER(SEARCH("M-Shwari",C327)),"Mshwari",IF(ISNUMBER(SEARCH("Mshwari",C327)),"Mshwari",IF(ISNUMBER(SEARCH("Withdrawal charge",C327)),"Fees",IF(ISNUMBER(SEARCH("Customer Withdrawal",C327)),"Fees",IF(ISNUMBER(SEARCH("charge",C327)),"Fees","Other")))))))))))))))))))))))))</f>
        <v>Money In</v>
      </c>
      <c r="R327" s="1" t="str">
        <f aca="false">TEXT(B327,"MMM YYYY")</f>
        <v>Feb 2026</v>
      </c>
    </row>
    <row r="328" customFormat="false" ht="13.8" hidden="false" customHeight="false" outlineLevel="0" collapsed="false">
      <c r="A328" s="4" t="s">
        <v>705</v>
      </c>
      <c r="B328" s="4" t="s">
        <v>706</v>
      </c>
      <c r="C328" s="4" t="s">
        <v>707</v>
      </c>
      <c r="D328" s="4" t="s">
        <v>18</v>
      </c>
      <c r="E328" s="4" t="n">
        <v>1000</v>
      </c>
      <c r="F328" s="4"/>
      <c r="G328" s="4" t="n">
        <v>1481</v>
      </c>
      <c r="L328" s="1" t="str">
        <f aca="false">IF(ISNUMBER(SEARCH("Bundle",C328)),"Bundles",IF(ISNUMBER(SEARCH("Airtime",C328)),"Bundles",IF(ISNUMBER(SEARCH("Merchant",C328)),"Merchant Payment",IF(ISNUMBER(SEARCH("Offnet C2B",C328)),"Merchant Payment",IF(ISNUMBER(SEARCH("Offnet B2C",C328)),"Merchant Payment",IF(ISNUMBER(SEARCH("Customer Payment to Small",C328)),"Merchant Payment",IF(ISNUMBER(SEARCH("Payment to Small Business",C328)),"Merchant Payment",IF(ISNUMBER(SEARCH("Sent to",C328)),"Sent to Person",IF(ISNUMBER(SEARCH("Customer Transfer to",C328)),"Sent to Person",IF(ISNUMBER(SEARCH("Business Payment",C328)),"Money In",IF(ISNUMBER(SEARCH("Funds Received",C328)),"Money In",IF(ISNUMBER(SEARCH("Receive International",C328)),"Money In",IF(ISNUMBER(SEARCH("Send Money Reversal",C328)),"Money In",IF(ISNUMBER(SEARCH("Pay Utility Reversal",C328)),"Money In",IF(ISNUMBER(SEARCH("Customer Transfer",C328)),"Money In",IF(ISNUMBER(SEARCH("Ziidi",C328)),"Investment",IF(ISNUMBER(SEARCH("Nabo",C328)),"Investment",IF(ISNUMBER(SEARCH("Paybill Online",C328)),"Pay Bill",IF(ISNUMBER(SEARCH("Pay Bill",C328)),"Pay Bill",IF(ISNUMBER(SEARCH("Spotify",C328)),"Pay Bill",IF(ISNUMBER(SEARCH("M-Shwari",C328)),"Mshwari",IF(ISNUMBER(SEARCH("Mshwari",C328)),"Mshwari",IF(ISNUMBER(SEARCH("Withdrawal charge",C328)),"Fees",IF(ISNUMBER(SEARCH("Customer Withdrawal",C328)),"Fees",IF(ISNUMBER(SEARCH("charge",C328)),"Fees","Other")))))))))))))))))))))))))</f>
        <v>Money In</v>
      </c>
      <c r="R328" s="1" t="str">
        <f aca="false">TEXT(B328,"MMM YYYY")</f>
        <v>Feb 2026</v>
      </c>
    </row>
    <row r="329" customFormat="false" ht="13.8" hidden="false" customHeight="false" outlineLevel="0" collapsed="false">
      <c r="A329" s="4" t="s">
        <v>708</v>
      </c>
      <c r="B329" s="4" t="s">
        <v>709</v>
      </c>
      <c r="C329" s="4" t="s">
        <v>222</v>
      </c>
      <c r="D329" s="4" t="s">
        <v>18</v>
      </c>
      <c r="E329" s="4"/>
      <c r="F329" s="4" t="n">
        <v>100</v>
      </c>
      <c r="G329" s="4" t="n">
        <v>1381</v>
      </c>
      <c r="L329" s="1" t="str">
        <f aca="false">IF(ISNUMBER(SEARCH("Bundle",C329)),"Bundles",IF(ISNUMBER(SEARCH("Airtime",C329)),"Bundles",IF(ISNUMBER(SEARCH("Merchant",C329)),"Merchant Payment",IF(ISNUMBER(SEARCH("Offnet C2B",C329)),"Merchant Payment",IF(ISNUMBER(SEARCH("Offnet B2C",C329)),"Merchant Payment",IF(ISNUMBER(SEARCH("Customer Payment to Small",C329)),"Merchant Payment",IF(ISNUMBER(SEARCH("Payment to Small Business",C329)),"Merchant Payment",IF(ISNUMBER(SEARCH("Sent to",C329)),"Sent to Person",IF(ISNUMBER(SEARCH("Customer Transfer to",C329)),"Sent to Person",IF(ISNUMBER(SEARCH("Business Payment",C329)),"Money In",IF(ISNUMBER(SEARCH("Funds Received",C329)),"Money In",IF(ISNUMBER(SEARCH("Receive International",C329)),"Money In",IF(ISNUMBER(SEARCH("Send Money Reversal",C329)),"Money In",IF(ISNUMBER(SEARCH("Pay Utility Reversal",C329)),"Money In",IF(ISNUMBER(SEARCH("Customer Transfer",C329)),"Money In",IF(ISNUMBER(SEARCH("Ziidi",C329)),"Investment",IF(ISNUMBER(SEARCH("Nabo",C329)),"Investment",IF(ISNUMBER(SEARCH("Paybill Online",C329)),"Pay Bill",IF(ISNUMBER(SEARCH("Pay Bill",C329)),"Pay Bill",IF(ISNUMBER(SEARCH("Spotify",C329)),"Pay Bill",IF(ISNUMBER(SEARCH("M-Shwari",C329)),"Mshwari",IF(ISNUMBER(SEARCH("Mshwari",C329)),"Mshwari",IF(ISNUMBER(SEARCH("Withdrawal charge",C329)),"Fees",IF(ISNUMBER(SEARCH("Customer Withdrawal",C329)),"Fees",IF(ISNUMBER(SEARCH("charge",C329)),"Fees","Other")))))))))))))))))))))))))</f>
        <v>Merchant Payment</v>
      </c>
      <c r="R329" s="1" t="str">
        <f aca="false">TEXT(B329,"MMM YYYY")</f>
        <v>Feb 2026</v>
      </c>
    </row>
    <row r="330" customFormat="false" ht="13.8" hidden="false" customHeight="false" outlineLevel="0" collapsed="false">
      <c r="A330" s="4" t="s">
        <v>710</v>
      </c>
      <c r="B330" s="4" t="s">
        <v>711</v>
      </c>
      <c r="C330" s="4" t="s">
        <v>17</v>
      </c>
      <c r="D330" s="4" t="s">
        <v>18</v>
      </c>
      <c r="E330" s="4"/>
      <c r="F330" s="4" t="n">
        <v>20</v>
      </c>
      <c r="G330" s="4" t="n">
        <v>1361</v>
      </c>
      <c r="L330" s="1" t="str">
        <f aca="false">IF(ISNUMBER(SEARCH("Bundle",C330)),"Bundles",IF(ISNUMBER(SEARCH("Airtime",C330)),"Bundles",IF(ISNUMBER(SEARCH("Merchant",C330)),"Merchant Payment",IF(ISNUMBER(SEARCH("Offnet C2B",C330)),"Merchant Payment",IF(ISNUMBER(SEARCH("Offnet B2C",C330)),"Merchant Payment",IF(ISNUMBER(SEARCH("Customer Payment to Small",C330)),"Merchant Payment",IF(ISNUMBER(SEARCH("Payment to Small Business",C330)),"Merchant Payment",IF(ISNUMBER(SEARCH("Sent to",C330)),"Sent to Person",IF(ISNUMBER(SEARCH("Customer Transfer to",C330)),"Sent to Person",IF(ISNUMBER(SEARCH("Business Payment",C330)),"Money In",IF(ISNUMBER(SEARCH("Funds Received",C330)),"Money In",IF(ISNUMBER(SEARCH("Receive International",C330)),"Money In",IF(ISNUMBER(SEARCH("Send Money Reversal",C330)),"Money In",IF(ISNUMBER(SEARCH("Pay Utility Reversal",C330)),"Money In",IF(ISNUMBER(SEARCH("Customer Transfer",C330)),"Money In",IF(ISNUMBER(SEARCH("Ziidi",C330)),"Investment",IF(ISNUMBER(SEARCH("Nabo",C330)),"Investment",IF(ISNUMBER(SEARCH("Paybill Online",C330)),"Pay Bill",IF(ISNUMBER(SEARCH("Pay Bill",C330)),"Pay Bill",IF(ISNUMBER(SEARCH("Spotify",C330)),"Pay Bill",IF(ISNUMBER(SEARCH("M-Shwari",C330)),"Mshwari",IF(ISNUMBER(SEARCH("Mshwari",C330)),"Mshwari",IF(ISNUMBER(SEARCH("Withdrawal charge",C330)),"Fees",IF(ISNUMBER(SEARCH("Customer Withdrawal",C330)),"Fees",IF(ISNUMBER(SEARCH("charge",C330)),"Fees","Other")))))))))))))))))))))))))</f>
        <v>Bundles</v>
      </c>
      <c r="R330" s="1" t="str">
        <f aca="false">TEXT(B330,"MMM YYYY")</f>
        <v>Feb 2026</v>
      </c>
    </row>
    <row r="331" customFormat="false" ht="13.8" hidden="false" customHeight="false" outlineLevel="0" collapsed="false">
      <c r="A331" s="4" t="s">
        <v>712</v>
      </c>
      <c r="B331" s="4" t="s">
        <v>713</v>
      </c>
      <c r="C331" s="4" t="s">
        <v>29</v>
      </c>
      <c r="D331" s="4" t="s">
        <v>18</v>
      </c>
      <c r="E331" s="4"/>
      <c r="F331" s="4" t="n">
        <v>20</v>
      </c>
      <c r="G331" s="4" t="n">
        <v>1341</v>
      </c>
      <c r="L331" s="1" t="str">
        <f aca="false">IF(ISNUMBER(SEARCH("Bundle",C331)),"Bundles",IF(ISNUMBER(SEARCH("Airtime",C331)),"Bundles",IF(ISNUMBER(SEARCH("Merchant",C331)),"Merchant Payment",IF(ISNUMBER(SEARCH("Offnet C2B",C331)),"Merchant Payment",IF(ISNUMBER(SEARCH("Offnet B2C",C331)),"Merchant Payment",IF(ISNUMBER(SEARCH("Customer Payment to Small",C331)),"Merchant Payment",IF(ISNUMBER(SEARCH("Payment to Small Business",C331)),"Merchant Payment",IF(ISNUMBER(SEARCH("Sent to",C331)),"Sent to Person",IF(ISNUMBER(SEARCH("Customer Transfer to",C331)),"Sent to Person",IF(ISNUMBER(SEARCH("Business Payment",C331)),"Money In",IF(ISNUMBER(SEARCH("Funds Received",C331)),"Money In",IF(ISNUMBER(SEARCH("Receive International",C331)),"Money In",IF(ISNUMBER(SEARCH("Send Money Reversal",C331)),"Money In",IF(ISNUMBER(SEARCH("Pay Utility Reversal",C331)),"Money In",IF(ISNUMBER(SEARCH("Customer Transfer",C331)),"Money In",IF(ISNUMBER(SEARCH("Ziidi",C331)),"Investment",IF(ISNUMBER(SEARCH("Nabo",C331)),"Investment",IF(ISNUMBER(SEARCH("Paybill Online",C331)),"Pay Bill",IF(ISNUMBER(SEARCH("Pay Bill",C331)),"Pay Bill",IF(ISNUMBER(SEARCH("Spotify",C331)),"Pay Bill",IF(ISNUMBER(SEARCH("M-Shwari",C331)),"Mshwari",IF(ISNUMBER(SEARCH("Mshwari",C331)),"Mshwari",IF(ISNUMBER(SEARCH("Withdrawal charge",C331)),"Fees",IF(ISNUMBER(SEARCH("Customer Withdrawal",C331)),"Fees",IF(ISNUMBER(SEARCH("charge",C331)),"Fees","Other")))))))))))))))))))))))))</f>
        <v>Bundles</v>
      </c>
      <c r="R331" s="1" t="str">
        <f aca="false">TEXT(B331,"MMM YYYY")</f>
        <v>Feb 2026</v>
      </c>
    </row>
    <row r="332" customFormat="false" ht="13.8" hidden="false" customHeight="false" outlineLevel="0" collapsed="false">
      <c r="A332" s="4" t="s">
        <v>714</v>
      </c>
      <c r="B332" s="4" t="s">
        <v>715</v>
      </c>
      <c r="C332" s="4" t="s">
        <v>17</v>
      </c>
      <c r="D332" s="4" t="s">
        <v>18</v>
      </c>
      <c r="E332" s="4"/>
      <c r="F332" s="4" t="n">
        <v>20</v>
      </c>
      <c r="G332" s="4" t="n">
        <v>1321</v>
      </c>
      <c r="L332" s="1" t="str">
        <f aca="false">IF(ISNUMBER(SEARCH("Bundle",C332)),"Bundles",IF(ISNUMBER(SEARCH("Airtime",C332)),"Bundles",IF(ISNUMBER(SEARCH("Merchant",C332)),"Merchant Payment",IF(ISNUMBER(SEARCH("Offnet C2B",C332)),"Merchant Payment",IF(ISNUMBER(SEARCH("Offnet B2C",C332)),"Merchant Payment",IF(ISNUMBER(SEARCH("Customer Payment to Small",C332)),"Merchant Payment",IF(ISNUMBER(SEARCH("Payment to Small Business",C332)),"Merchant Payment",IF(ISNUMBER(SEARCH("Sent to",C332)),"Sent to Person",IF(ISNUMBER(SEARCH("Customer Transfer to",C332)),"Sent to Person",IF(ISNUMBER(SEARCH("Business Payment",C332)),"Money In",IF(ISNUMBER(SEARCH("Funds Received",C332)),"Money In",IF(ISNUMBER(SEARCH("Receive International",C332)),"Money In",IF(ISNUMBER(SEARCH("Send Money Reversal",C332)),"Money In",IF(ISNUMBER(SEARCH("Pay Utility Reversal",C332)),"Money In",IF(ISNUMBER(SEARCH("Customer Transfer",C332)),"Money In",IF(ISNUMBER(SEARCH("Ziidi",C332)),"Investment",IF(ISNUMBER(SEARCH("Nabo",C332)),"Investment",IF(ISNUMBER(SEARCH("Paybill Online",C332)),"Pay Bill",IF(ISNUMBER(SEARCH("Pay Bill",C332)),"Pay Bill",IF(ISNUMBER(SEARCH("Spotify",C332)),"Pay Bill",IF(ISNUMBER(SEARCH("M-Shwari",C332)),"Mshwari",IF(ISNUMBER(SEARCH("Mshwari",C332)),"Mshwari",IF(ISNUMBER(SEARCH("Withdrawal charge",C332)),"Fees",IF(ISNUMBER(SEARCH("Customer Withdrawal",C332)),"Fees",IF(ISNUMBER(SEARCH("charge",C332)),"Fees","Other")))))))))))))))))))))))))</f>
        <v>Bundles</v>
      </c>
      <c r="R332" s="1" t="str">
        <f aca="false">TEXT(B332,"MMM YYYY")</f>
        <v>Feb 2026</v>
      </c>
    </row>
    <row r="333" customFormat="false" ht="13.8" hidden="false" customHeight="false" outlineLevel="0" collapsed="false">
      <c r="A333" s="4" t="s">
        <v>716</v>
      </c>
      <c r="B333" s="4" t="s">
        <v>717</v>
      </c>
      <c r="C333" s="4" t="s">
        <v>718</v>
      </c>
      <c r="D333" s="4" t="s">
        <v>18</v>
      </c>
      <c r="E333" s="4"/>
      <c r="F333" s="4" t="n">
        <v>100</v>
      </c>
      <c r="G333" s="4" t="n">
        <v>1221</v>
      </c>
      <c r="L333" s="1" t="str">
        <f aca="false">IF(ISNUMBER(SEARCH("Bundle",C333)),"Bundles",IF(ISNUMBER(SEARCH("Airtime",C333)),"Bundles",IF(ISNUMBER(SEARCH("Merchant",C333)),"Merchant Payment",IF(ISNUMBER(SEARCH("Offnet C2B",C333)),"Merchant Payment",IF(ISNUMBER(SEARCH("Offnet B2C",C333)),"Merchant Payment",IF(ISNUMBER(SEARCH("Customer Payment to Small",C333)),"Merchant Payment",IF(ISNUMBER(SEARCH("Payment to Small Business",C333)),"Merchant Payment",IF(ISNUMBER(SEARCH("Sent to",C333)),"Sent to Person",IF(ISNUMBER(SEARCH("Customer Transfer to",C333)),"Sent to Person",IF(ISNUMBER(SEARCH("Business Payment",C333)),"Money In",IF(ISNUMBER(SEARCH("Funds Received",C333)),"Money In",IF(ISNUMBER(SEARCH("Receive International",C333)),"Money In",IF(ISNUMBER(SEARCH("Send Money Reversal",C333)),"Money In",IF(ISNUMBER(SEARCH("Pay Utility Reversal",C333)),"Money In",IF(ISNUMBER(SEARCH("Customer Transfer",C333)),"Money In",IF(ISNUMBER(SEARCH("Ziidi",C333)),"Investment",IF(ISNUMBER(SEARCH("Nabo",C333)),"Investment",IF(ISNUMBER(SEARCH("Paybill Online",C333)),"Pay Bill",IF(ISNUMBER(SEARCH("Pay Bill",C333)),"Pay Bill",IF(ISNUMBER(SEARCH("Spotify",C333)),"Pay Bill",IF(ISNUMBER(SEARCH("M-Shwari",C333)),"Mshwari",IF(ISNUMBER(SEARCH("Mshwari",C333)),"Mshwari",IF(ISNUMBER(SEARCH("Withdrawal charge",C333)),"Fees",IF(ISNUMBER(SEARCH("Customer Withdrawal",C333)),"Fees",IF(ISNUMBER(SEARCH("charge",C333)),"Fees","Other")))))))))))))))))))))))))</f>
        <v>Sent to Person</v>
      </c>
      <c r="R333" s="1" t="str">
        <f aca="false">TEXT(B333,"MMM YYYY")</f>
        <v>Feb 2026</v>
      </c>
    </row>
    <row r="334" customFormat="false" ht="13.8" hidden="false" customHeight="false" outlineLevel="0" collapsed="false">
      <c r="A334" s="4" t="s">
        <v>719</v>
      </c>
      <c r="B334" s="4" t="s">
        <v>720</v>
      </c>
      <c r="C334" s="4" t="s">
        <v>718</v>
      </c>
      <c r="D334" s="4" t="s">
        <v>18</v>
      </c>
      <c r="E334" s="4"/>
      <c r="F334" s="4" t="n">
        <v>100</v>
      </c>
      <c r="G334" s="4" t="n">
        <v>1121</v>
      </c>
      <c r="L334" s="1" t="str">
        <f aca="false">IF(ISNUMBER(SEARCH("Bundle",C334)),"Bundles",IF(ISNUMBER(SEARCH("Airtime",C334)),"Bundles",IF(ISNUMBER(SEARCH("Merchant",C334)),"Merchant Payment",IF(ISNUMBER(SEARCH("Offnet C2B",C334)),"Merchant Payment",IF(ISNUMBER(SEARCH("Offnet B2C",C334)),"Merchant Payment",IF(ISNUMBER(SEARCH("Customer Payment to Small",C334)),"Merchant Payment",IF(ISNUMBER(SEARCH("Payment to Small Business",C334)),"Merchant Payment",IF(ISNUMBER(SEARCH("Sent to",C334)),"Sent to Person",IF(ISNUMBER(SEARCH("Customer Transfer to",C334)),"Sent to Person",IF(ISNUMBER(SEARCH("Business Payment",C334)),"Money In",IF(ISNUMBER(SEARCH("Funds Received",C334)),"Money In",IF(ISNUMBER(SEARCH("Receive International",C334)),"Money In",IF(ISNUMBER(SEARCH("Send Money Reversal",C334)),"Money In",IF(ISNUMBER(SEARCH("Pay Utility Reversal",C334)),"Money In",IF(ISNUMBER(SEARCH("Customer Transfer",C334)),"Money In",IF(ISNUMBER(SEARCH("Ziidi",C334)),"Investment",IF(ISNUMBER(SEARCH("Nabo",C334)),"Investment",IF(ISNUMBER(SEARCH("Paybill Online",C334)),"Pay Bill",IF(ISNUMBER(SEARCH("Pay Bill",C334)),"Pay Bill",IF(ISNUMBER(SEARCH("Spotify",C334)),"Pay Bill",IF(ISNUMBER(SEARCH("M-Shwari",C334)),"Mshwari",IF(ISNUMBER(SEARCH("Mshwari",C334)),"Mshwari",IF(ISNUMBER(SEARCH("Withdrawal charge",C334)),"Fees",IF(ISNUMBER(SEARCH("Customer Withdrawal",C334)),"Fees",IF(ISNUMBER(SEARCH("charge",C334)),"Fees","Other")))))))))))))))))))))))))</f>
        <v>Sent to Person</v>
      </c>
      <c r="R334" s="1" t="str">
        <f aca="false">TEXT(B334,"MMM YYYY")</f>
        <v>Feb 2026</v>
      </c>
    </row>
    <row r="335" customFormat="false" ht="13.8" hidden="false" customHeight="false" outlineLevel="0" collapsed="false">
      <c r="A335" s="4" t="s">
        <v>721</v>
      </c>
      <c r="B335" s="4" t="s">
        <v>722</v>
      </c>
      <c r="C335" s="4" t="s">
        <v>718</v>
      </c>
      <c r="D335" s="4" t="s">
        <v>18</v>
      </c>
      <c r="E335" s="4"/>
      <c r="F335" s="4" t="n">
        <v>50</v>
      </c>
      <c r="G335" s="4" t="n">
        <v>1071</v>
      </c>
      <c r="L335" s="1" t="str">
        <f aca="false">IF(ISNUMBER(SEARCH("Bundle",C335)),"Bundles",IF(ISNUMBER(SEARCH("Airtime",C335)),"Bundles",IF(ISNUMBER(SEARCH("Merchant",C335)),"Merchant Payment",IF(ISNUMBER(SEARCH("Offnet C2B",C335)),"Merchant Payment",IF(ISNUMBER(SEARCH("Offnet B2C",C335)),"Merchant Payment",IF(ISNUMBER(SEARCH("Customer Payment to Small",C335)),"Merchant Payment",IF(ISNUMBER(SEARCH("Payment to Small Business",C335)),"Merchant Payment",IF(ISNUMBER(SEARCH("Sent to",C335)),"Sent to Person",IF(ISNUMBER(SEARCH("Customer Transfer to",C335)),"Sent to Person",IF(ISNUMBER(SEARCH("Business Payment",C335)),"Money In",IF(ISNUMBER(SEARCH("Funds Received",C335)),"Money In",IF(ISNUMBER(SEARCH("Receive International",C335)),"Money In",IF(ISNUMBER(SEARCH("Send Money Reversal",C335)),"Money In",IF(ISNUMBER(SEARCH("Pay Utility Reversal",C335)),"Money In",IF(ISNUMBER(SEARCH("Customer Transfer",C335)),"Money In",IF(ISNUMBER(SEARCH("Ziidi",C335)),"Investment",IF(ISNUMBER(SEARCH("Nabo",C335)),"Investment",IF(ISNUMBER(SEARCH("Paybill Online",C335)),"Pay Bill",IF(ISNUMBER(SEARCH("Pay Bill",C335)),"Pay Bill",IF(ISNUMBER(SEARCH("Spotify",C335)),"Pay Bill",IF(ISNUMBER(SEARCH("M-Shwari",C335)),"Mshwari",IF(ISNUMBER(SEARCH("Mshwari",C335)),"Mshwari",IF(ISNUMBER(SEARCH("Withdrawal charge",C335)),"Fees",IF(ISNUMBER(SEARCH("Customer Withdrawal",C335)),"Fees",IF(ISNUMBER(SEARCH("charge",C335)),"Fees","Other")))))))))))))))))))))))))</f>
        <v>Sent to Person</v>
      </c>
      <c r="R335" s="1" t="str">
        <f aca="false">TEXT(B335,"MMM YYYY")</f>
        <v>Feb 2026</v>
      </c>
    </row>
    <row r="336" customFormat="false" ht="13.8" hidden="false" customHeight="false" outlineLevel="0" collapsed="false">
      <c r="A336" s="4" t="s">
        <v>723</v>
      </c>
      <c r="B336" s="4" t="s">
        <v>724</v>
      </c>
      <c r="C336" s="4" t="s">
        <v>17</v>
      </c>
      <c r="D336" s="4" t="s">
        <v>18</v>
      </c>
      <c r="E336" s="4"/>
      <c r="F336" s="4" t="n">
        <v>20</v>
      </c>
      <c r="G336" s="4" t="n">
        <v>1051</v>
      </c>
      <c r="L336" s="1" t="str">
        <f aca="false">IF(ISNUMBER(SEARCH("Bundle",C336)),"Bundles",IF(ISNUMBER(SEARCH("Airtime",C336)),"Bundles",IF(ISNUMBER(SEARCH("Merchant",C336)),"Merchant Payment",IF(ISNUMBER(SEARCH("Offnet C2B",C336)),"Merchant Payment",IF(ISNUMBER(SEARCH("Offnet B2C",C336)),"Merchant Payment",IF(ISNUMBER(SEARCH("Customer Payment to Small",C336)),"Merchant Payment",IF(ISNUMBER(SEARCH("Payment to Small Business",C336)),"Merchant Payment",IF(ISNUMBER(SEARCH("Sent to",C336)),"Sent to Person",IF(ISNUMBER(SEARCH("Customer Transfer to",C336)),"Sent to Person",IF(ISNUMBER(SEARCH("Business Payment",C336)),"Money In",IF(ISNUMBER(SEARCH("Funds Received",C336)),"Money In",IF(ISNUMBER(SEARCH("Receive International",C336)),"Money In",IF(ISNUMBER(SEARCH("Send Money Reversal",C336)),"Money In",IF(ISNUMBER(SEARCH("Pay Utility Reversal",C336)),"Money In",IF(ISNUMBER(SEARCH("Customer Transfer",C336)),"Money In",IF(ISNUMBER(SEARCH("Ziidi",C336)),"Investment",IF(ISNUMBER(SEARCH("Nabo",C336)),"Investment",IF(ISNUMBER(SEARCH("Paybill Online",C336)),"Pay Bill",IF(ISNUMBER(SEARCH("Pay Bill",C336)),"Pay Bill",IF(ISNUMBER(SEARCH("Spotify",C336)),"Pay Bill",IF(ISNUMBER(SEARCH("M-Shwari",C336)),"Mshwari",IF(ISNUMBER(SEARCH("Mshwari",C336)),"Mshwari",IF(ISNUMBER(SEARCH("Withdrawal charge",C336)),"Fees",IF(ISNUMBER(SEARCH("Customer Withdrawal",C336)),"Fees",IF(ISNUMBER(SEARCH("charge",C336)),"Fees","Other")))))))))))))))))))))))))</f>
        <v>Bundles</v>
      </c>
      <c r="R336" s="1" t="str">
        <f aca="false">TEXT(B336,"MMM YYYY")</f>
        <v>Feb 2026</v>
      </c>
    </row>
    <row r="337" customFormat="false" ht="13.8" hidden="false" customHeight="false" outlineLevel="0" collapsed="false">
      <c r="A337" s="4" t="s">
        <v>725</v>
      </c>
      <c r="B337" s="4" t="s">
        <v>726</v>
      </c>
      <c r="C337" s="4" t="s">
        <v>29</v>
      </c>
      <c r="D337" s="4" t="s">
        <v>18</v>
      </c>
      <c r="E337" s="4"/>
      <c r="F337" s="4" t="n">
        <v>20</v>
      </c>
      <c r="G337" s="4" t="n">
        <v>1031</v>
      </c>
      <c r="L337" s="1" t="str">
        <f aca="false">IF(ISNUMBER(SEARCH("Bundle",C337)),"Bundles",IF(ISNUMBER(SEARCH("Airtime",C337)),"Bundles",IF(ISNUMBER(SEARCH("Merchant",C337)),"Merchant Payment",IF(ISNUMBER(SEARCH("Offnet C2B",C337)),"Merchant Payment",IF(ISNUMBER(SEARCH("Offnet B2C",C337)),"Merchant Payment",IF(ISNUMBER(SEARCH("Customer Payment to Small",C337)),"Merchant Payment",IF(ISNUMBER(SEARCH("Payment to Small Business",C337)),"Merchant Payment",IF(ISNUMBER(SEARCH("Sent to",C337)),"Sent to Person",IF(ISNUMBER(SEARCH("Customer Transfer to",C337)),"Sent to Person",IF(ISNUMBER(SEARCH("Business Payment",C337)),"Money In",IF(ISNUMBER(SEARCH("Funds Received",C337)),"Money In",IF(ISNUMBER(SEARCH("Receive International",C337)),"Money In",IF(ISNUMBER(SEARCH("Send Money Reversal",C337)),"Money In",IF(ISNUMBER(SEARCH("Pay Utility Reversal",C337)),"Money In",IF(ISNUMBER(SEARCH("Customer Transfer",C337)),"Money In",IF(ISNUMBER(SEARCH("Ziidi",C337)),"Investment",IF(ISNUMBER(SEARCH("Nabo",C337)),"Investment",IF(ISNUMBER(SEARCH("Paybill Online",C337)),"Pay Bill",IF(ISNUMBER(SEARCH("Pay Bill",C337)),"Pay Bill",IF(ISNUMBER(SEARCH("Spotify",C337)),"Pay Bill",IF(ISNUMBER(SEARCH("M-Shwari",C337)),"Mshwari",IF(ISNUMBER(SEARCH("Mshwari",C337)),"Mshwari",IF(ISNUMBER(SEARCH("Withdrawal charge",C337)),"Fees",IF(ISNUMBER(SEARCH("Customer Withdrawal",C337)),"Fees",IF(ISNUMBER(SEARCH("charge",C337)),"Fees","Other")))))))))))))))))))))))))</f>
        <v>Bundles</v>
      </c>
      <c r="R337" s="1" t="str">
        <f aca="false">TEXT(B337,"MMM YYYY")</f>
        <v>Feb 2026</v>
      </c>
    </row>
    <row r="338" customFormat="false" ht="13.8" hidden="false" customHeight="false" outlineLevel="0" collapsed="false">
      <c r="A338" s="4" t="s">
        <v>727</v>
      </c>
      <c r="B338" s="4" t="s">
        <v>728</v>
      </c>
      <c r="C338" s="4" t="s">
        <v>29</v>
      </c>
      <c r="D338" s="4" t="s">
        <v>18</v>
      </c>
      <c r="E338" s="4"/>
      <c r="F338" s="4" t="n">
        <v>5</v>
      </c>
      <c r="G338" s="4" t="n">
        <v>1026</v>
      </c>
      <c r="L338" s="1" t="str">
        <f aca="false">IF(ISNUMBER(SEARCH("Bundle",C338)),"Bundles",IF(ISNUMBER(SEARCH("Airtime",C338)),"Bundles",IF(ISNUMBER(SEARCH("Merchant",C338)),"Merchant Payment",IF(ISNUMBER(SEARCH("Offnet C2B",C338)),"Merchant Payment",IF(ISNUMBER(SEARCH("Offnet B2C",C338)),"Merchant Payment",IF(ISNUMBER(SEARCH("Customer Payment to Small",C338)),"Merchant Payment",IF(ISNUMBER(SEARCH("Payment to Small Business",C338)),"Merchant Payment",IF(ISNUMBER(SEARCH("Sent to",C338)),"Sent to Person",IF(ISNUMBER(SEARCH("Customer Transfer to",C338)),"Sent to Person",IF(ISNUMBER(SEARCH("Business Payment",C338)),"Money In",IF(ISNUMBER(SEARCH("Funds Received",C338)),"Money In",IF(ISNUMBER(SEARCH("Receive International",C338)),"Money In",IF(ISNUMBER(SEARCH("Send Money Reversal",C338)),"Money In",IF(ISNUMBER(SEARCH("Pay Utility Reversal",C338)),"Money In",IF(ISNUMBER(SEARCH("Customer Transfer",C338)),"Money In",IF(ISNUMBER(SEARCH("Ziidi",C338)),"Investment",IF(ISNUMBER(SEARCH("Nabo",C338)),"Investment",IF(ISNUMBER(SEARCH("Paybill Online",C338)),"Pay Bill",IF(ISNUMBER(SEARCH("Pay Bill",C338)),"Pay Bill",IF(ISNUMBER(SEARCH("Spotify",C338)),"Pay Bill",IF(ISNUMBER(SEARCH("M-Shwari",C338)),"Mshwari",IF(ISNUMBER(SEARCH("Mshwari",C338)),"Mshwari",IF(ISNUMBER(SEARCH("Withdrawal charge",C338)),"Fees",IF(ISNUMBER(SEARCH("Customer Withdrawal",C338)),"Fees",IF(ISNUMBER(SEARCH("charge",C338)),"Fees","Other")))))))))))))))))))))))))</f>
        <v>Bundles</v>
      </c>
      <c r="R338" s="1" t="str">
        <f aca="false">TEXT(B338,"MMM YYYY")</f>
        <v>Feb 2026</v>
      </c>
    </row>
    <row r="339" customFormat="false" ht="13.8" hidden="false" customHeight="false" outlineLevel="0" collapsed="false">
      <c r="A339" s="4" t="s">
        <v>729</v>
      </c>
      <c r="B339" s="4" t="s">
        <v>730</v>
      </c>
      <c r="C339" s="4" t="s">
        <v>29</v>
      </c>
      <c r="D339" s="4" t="s">
        <v>18</v>
      </c>
      <c r="E339" s="4"/>
      <c r="F339" s="4" t="n">
        <v>10</v>
      </c>
      <c r="G339" s="4" t="n">
        <v>1016</v>
      </c>
      <c r="L339" s="1" t="str">
        <f aca="false">IF(ISNUMBER(SEARCH("Bundle",C339)),"Bundles",IF(ISNUMBER(SEARCH("Airtime",C339)),"Bundles",IF(ISNUMBER(SEARCH("Merchant",C339)),"Merchant Payment",IF(ISNUMBER(SEARCH("Offnet C2B",C339)),"Merchant Payment",IF(ISNUMBER(SEARCH("Offnet B2C",C339)),"Merchant Payment",IF(ISNUMBER(SEARCH("Customer Payment to Small",C339)),"Merchant Payment",IF(ISNUMBER(SEARCH("Payment to Small Business",C339)),"Merchant Payment",IF(ISNUMBER(SEARCH("Sent to",C339)),"Sent to Person",IF(ISNUMBER(SEARCH("Customer Transfer to",C339)),"Sent to Person",IF(ISNUMBER(SEARCH("Business Payment",C339)),"Money In",IF(ISNUMBER(SEARCH("Funds Received",C339)),"Money In",IF(ISNUMBER(SEARCH("Receive International",C339)),"Money In",IF(ISNUMBER(SEARCH("Send Money Reversal",C339)),"Money In",IF(ISNUMBER(SEARCH("Pay Utility Reversal",C339)),"Money In",IF(ISNUMBER(SEARCH("Customer Transfer",C339)),"Money In",IF(ISNUMBER(SEARCH("Ziidi",C339)),"Investment",IF(ISNUMBER(SEARCH("Nabo",C339)),"Investment",IF(ISNUMBER(SEARCH("Paybill Online",C339)),"Pay Bill",IF(ISNUMBER(SEARCH("Pay Bill",C339)),"Pay Bill",IF(ISNUMBER(SEARCH("Spotify",C339)),"Pay Bill",IF(ISNUMBER(SEARCH("M-Shwari",C339)),"Mshwari",IF(ISNUMBER(SEARCH("Mshwari",C339)),"Mshwari",IF(ISNUMBER(SEARCH("Withdrawal charge",C339)),"Fees",IF(ISNUMBER(SEARCH("Customer Withdrawal",C339)),"Fees",IF(ISNUMBER(SEARCH("charge",C339)),"Fees","Other")))))))))))))))))))))))))</f>
        <v>Bundles</v>
      </c>
      <c r="R339" s="1" t="str">
        <f aca="false">TEXT(B339,"MMM YYYY")</f>
        <v>Feb 2026</v>
      </c>
    </row>
    <row r="340" customFormat="false" ht="13.8" hidden="false" customHeight="false" outlineLevel="0" collapsed="false">
      <c r="A340" s="4" t="s">
        <v>731</v>
      </c>
      <c r="B340" s="4" t="s">
        <v>732</v>
      </c>
      <c r="C340" s="4" t="s">
        <v>29</v>
      </c>
      <c r="D340" s="4" t="s">
        <v>18</v>
      </c>
      <c r="E340" s="4"/>
      <c r="F340" s="4" t="n">
        <v>10</v>
      </c>
      <c r="G340" s="4" t="n">
        <v>1006</v>
      </c>
      <c r="L340" s="1" t="str">
        <f aca="false">IF(ISNUMBER(SEARCH("Bundle",C340)),"Bundles",IF(ISNUMBER(SEARCH("Airtime",C340)),"Bundles",IF(ISNUMBER(SEARCH("Merchant",C340)),"Merchant Payment",IF(ISNUMBER(SEARCH("Offnet C2B",C340)),"Merchant Payment",IF(ISNUMBER(SEARCH("Offnet B2C",C340)),"Merchant Payment",IF(ISNUMBER(SEARCH("Customer Payment to Small",C340)),"Merchant Payment",IF(ISNUMBER(SEARCH("Payment to Small Business",C340)),"Merchant Payment",IF(ISNUMBER(SEARCH("Sent to",C340)),"Sent to Person",IF(ISNUMBER(SEARCH("Customer Transfer to",C340)),"Sent to Person",IF(ISNUMBER(SEARCH("Business Payment",C340)),"Money In",IF(ISNUMBER(SEARCH("Funds Received",C340)),"Money In",IF(ISNUMBER(SEARCH("Receive International",C340)),"Money In",IF(ISNUMBER(SEARCH("Send Money Reversal",C340)),"Money In",IF(ISNUMBER(SEARCH("Pay Utility Reversal",C340)),"Money In",IF(ISNUMBER(SEARCH("Customer Transfer",C340)),"Money In",IF(ISNUMBER(SEARCH("Ziidi",C340)),"Investment",IF(ISNUMBER(SEARCH("Nabo",C340)),"Investment",IF(ISNUMBER(SEARCH("Paybill Online",C340)),"Pay Bill",IF(ISNUMBER(SEARCH("Pay Bill",C340)),"Pay Bill",IF(ISNUMBER(SEARCH("Spotify",C340)),"Pay Bill",IF(ISNUMBER(SEARCH("M-Shwari",C340)),"Mshwari",IF(ISNUMBER(SEARCH("Mshwari",C340)),"Mshwari",IF(ISNUMBER(SEARCH("Withdrawal charge",C340)),"Fees",IF(ISNUMBER(SEARCH("Customer Withdrawal",C340)),"Fees",IF(ISNUMBER(SEARCH("charge",C340)),"Fees","Other")))))))))))))))))))))))))</f>
        <v>Bundles</v>
      </c>
      <c r="R340" s="1" t="str">
        <f aca="false">TEXT(B340,"MMM YYYY")</f>
        <v>Feb 2026</v>
      </c>
    </row>
    <row r="341" customFormat="false" ht="13.8" hidden="false" customHeight="false" outlineLevel="0" collapsed="false">
      <c r="A341" s="4" t="s">
        <v>733</v>
      </c>
      <c r="B341" s="4" t="s">
        <v>734</v>
      </c>
      <c r="C341" s="4" t="s">
        <v>17</v>
      </c>
      <c r="D341" s="4" t="s">
        <v>18</v>
      </c>
      <c r="E341" s="4"/>
      <c r="F341" s="4" t="n">
        <v>20</v>
      </c>
      <c r="G341" s="4" t="n">
        <v>986</v>
      </c>
      <c r="L341" s="1" t="str">
        <f aca="false">IF(ISNUMBER(SEARCH("Bundle",C341)),"Bundles",IF(ISNUMBER(SEARCH("Airtime",C341)),"Bundles",IF(ISNUMBER(SEARCH("Merchant",C341)),"Merchant Payment",IF(ISNUMBER(SEARCH("Offnet C2B",C341)),"Merchant Payment",IF(ISNUMBER(SEARCH("Offnet B2C",C341)),"Merchant Payment",IF(ISNUMBER(SEARCH("Customer Payment to Small",C341)),"Merchant Payment",IF(ISNUMBER(SEARCH("Payment to Small Business",C341)),"Merchant Payment",IF(ISNUMBER(SEARCH("Sent to",C341)),"Sent to Person",IF(ISNUMBER(SEARCH("Customer Transfer to",C341)),"Sent to Person",IF(ISNUMBER(SEARCH("Business Payment",C341)),"Money In",IF(ISNUMBER(SEARCH("Funds Received",C341)),"Money In",IF(ISNUMBER(SEARCH("Receive International",C341)),"Money In",IF(ISNUMBER(SEARCH("Send Money Reversal",C341)),"Money In",IF(ISNUMBER(SEARCH("Pay Utility Reversal",C341)),"Money In",IF(ISNUMBER(SEARCH("Customer Transfer",C341)),"Money In",IF(ISNUMBER(SEARCH("Ziidi",C341)),"Investment",IF(ISNUMBER(SEARCH("Nabo",C341)),"Investment",IF(ISNUMBER(SEARCH("Paybill Online",C341)),"Pay Bill",IF(ISNUMBER(SEARCH("Pay Bill",C341)),"Pay Bill",IF(ISNUMBER(SEARCH("Spotify",C341)),"Pay Bill",IF(ISNUMBER(SEARCH("M-Shwari",C341)),"Mshwari",IF(ISNUMBER(SEARCH("Mshwari",C341)),"Mshwari",IF(ISNUMBER(SEARCH("Withdrawal charge",C341)),"Fees",IF(ISNUMBER(SEARCH("Customer Withdrawal",C341)),"Fees",IF(ISNUMBER(SEARCH("charge",C341)),"Fees","Other")))))))))))))))))))))))))</f>
        <v>Bundles</v>
      </c>
      <c r="R341" s="1" t="str">
        <f aca="false">TEXT(B341,"MMM YYYY")</f>
        <v>Feb 2026</v>
      </c>
    </row>
    <row r="342" customFormat="false" ht="13.8" hidden="false" customHeight="false" outlineLevel="0" collapsed="false">
      <c r="A342" s="4" t="s">
        <v>735</v>
      </c>
      <c r="B342" s="4" t="s">
        <v>736</v>
      </c>
      <c r="C342" s="4" t="s">
        <v>737</v>
      </c>
      <c r="D342" s="4" t="s">
        <v>18</v>
      </c>
      <c r="E342" s="4"/>
      <c r="F342" s="4" t="n">
        <v>60</v>
      </c>
      <c r="G342" s="4" t="n">
        <v>926</v>
      </c>
      <c r="L342" s="1" t="str">
        <f aca="false">IF(ISNUMBER(SEARCH("Bundle",C342)),"Bundles",IF(ISNUMBER(SEARCH("Airtime",C342)),"Bundles",IF(ISNUMBER(SEARCH("Merchant",C342)),"Merchant Payment",IF(ISNUMBER(SEARCH("Offnet C2B",C342)),"Merchant Payment",IF(ISNUMBER(SEARCH("Offnet B2C",C342)),"Merchant Payment",IF(ISNUMBER(SEARCH("Customer Payment to Small",C342)),"Merchant Payment",IF(ISNUMBER(SEARCH("Payment to Small Business",C342)),"Merchant Payment",IF(ISNUMBER(SEARCH("Sent to",C342)),"Sent to Person",IF(ISNUMBER(SEARCH("Customer Transfer to",C342)),"Sent to Person",IF(ISNUMBER(SEARCH("Business Payment",C342)),"Money In",IF(ISNUMBER(SEARCH("Funds Received",C342)),"Money In",IF(ISNUMBER(SEARCH("Receive International",C342)),"Money In",IF(ISNUMBER(SEARCH("Send Money Reversal",C342)),"Money In",IF(ISNUMBER(SEARCH("Pay Utility Reversal",C342)),"Money In",IF(ISNUMBER(SEARCH("Customer Transfer",C342)),"Money In",IF(ISNUMBER(SEARCH("Ziidi",C342)),"Investment",IF(ISNUMBER(SEARCH("Nabo",C342)),"Investment",IF(ISNUMBER(SEARCH("Paybill Online",C342)),"Pay Bill",IF(ISNUMBER(SEARCH("Pay Bill",C342)),"Pay Bill",IF(ISNUMBER(SEARCH("Spotify",C342)),"Pay Bill",IF(ISNUMBER(SEARCH("M-Shwari",C342)),"Mshwari",IF(ISNUMBER(SEARCH("Mshwari",C342)),"Mshwari",IF(ISNUMBER(SEARCH("Withdrawal charge",C342)),"Fees",IF(ISNUMBER(SEARCH("Customer Withdrawal",C342)),"Fees",IF(ISNUMBER(SEARCH("charge",C342)),"Fees","Other")))))))))))))))))))))))))</f>
        <v>Merchant Payment</v>
      </c>
      <c r="R342" s="1" t="str">
        <f aca="false">TEXT(B342,"MMM YYYY")</f>
        <v>Feb 2026</v>
      </c>
    </row>
    <row r="343" customFormat="false" ht="13.8" hidden="false" customHeight="false" outlineLevel="0" collapsed="false">
      <c r="A343" s="4" t="s">
        <v>738</v>
      </c>
      <c r="B343" s="4" t="s">
        <v>739</v>
      </c>
      <c r="C343" s="4" t="s">
        <v>29</v>
      </c>
      <c r="D343" s="4" t="s">
        <v>18</v>
      </c>
      <c r="E343" s="4"/>
      <c r="F343" s="4" t="n">
        <v>15</v>
      </c>
      <c r="G343" s="4" t="n">
        <v>911</v>
      </c>
      <c r="L343" s="1" t="str">
        <f aca="false">IF(ISNUMBER(SEARCH("Bundle",C343)),"Bundles",IF(ISNUMBER(SEARCH("Airtime",C343)),"Bundles",IF(ISNUMBER(SEARCH("Merchant",C343)),"Merchant Payment",IF(ISNUMBER(SEARCH("Offnet C2B",C343)),"Merchant Payment",IF(ISNUMBER(SEARCH("Offnet B2C",C343)),"Merchant Payment",IF(ISNUMBER(SEARCH("Customer Payment to Small",C343)),"Merchant Payment",IF(ISNUMBER(SEARCH("Payment to Small Business",C343)),"Merchant Payment",IF(ISNUMBER(SEARCH("Sent to",C343)),"Sent to Person",IF(ISNUMBER(SEARCH("Customer Transfer to",C343)),"Sent to Person",IF(ISNUMBER(SEARCH("Business Payment",C343)),"Money In",IF(ISNUMBER(SEARCH("Funds Received",C343)),"Money In",IF(ISNUMBER(SEARCH("Receive International",C343)),"Money In",IF(ISNUMBER(SEARCH("Send Money Reversal",C343)),"Money In",IF(ISNUMBER(SEARCH("Pay Utility Reversal",C343)),"Money In",IF(ISNUMBER(SEARCH("Customer Transfer",C343)),"Money In",IF(ISNUMBER(SEARCH("Ziidi",C343)),"Investment",IF(ISNUMBER(SEARCH("Nabo",C343)),"Investment",IF(ISNUMBER(SEARCH("Paybill Online",C343)),"Pay Bill",IF(ISNUMBER(SEARCH("Pay Bill",C343)),"Pay Bill",IF(ISNUMBER(SEARCH("Spotify",C343)),"Pay Bill",IF(ISNUMBER(SEARCH("M-Shwari",C343)),"Mshwari",IF(ISNUMBER(SEARCH("Mshwari",C343)),"Mshwari",IF(ISNUMBER(SEARCH("Withdrawal charge",C343)),"Fees",IF(ISNUMBER(SEARCH("Customer Withdrawal",C343)),"Fees",IF(ISNUMBER(SEARCH("charge",C343)),"Fees","Other")))))))))))))))))))))))))</f>
        <v>Bundles</v>
      </c>
      <c r="R343" s="1" t="str">
        <f aca="false">TEXT(B343,"MMM YYYY")</f>
        <v>Feb 2026</v>
      </c>
    </row>
    <row r="344" customFormat="false" ht="13.8" hidden="false" customHeight="false" outlineLevel="0" collapsed="false">
      <c r="A344" s="4" t="s">
        <v>740</v>
      </c>
      <c r="B344" s="4" t="s">
        <v>741</v>
      </c>
      <c r="C344" s="4" t="s">
        <v>675</v>
      </c>
      <c r="D344" s="4" t="s">
        <v>18</v>
      </c>
      <c r="E344" s="4"/>
      <c r="F344" s="4" t="n">
        <v>60</v>
      </c>
      <c r="G344" s="4" t="n">
        <v>851</v>
      </c>
      <c r="L344" s="1" t="str">
        <f aca="false">IF(ISNUMBER(SEARCH("Bundle",C344)),"Bundles",IF(ISNUMBER(SEARCH("Airtime",C344)),"Bundles",IF(ISNUMBER(SEARCH("Merchant",C344)),"Merchant Payment",IF(ISNUMBER(SEARCH("Offnet C2B",C344)),"Merchant Payment",IF(ISNUMBER(SEARCH("Offnet B2C",C344)),"Merchant Payment",IF(ISNUMBER(SEARCH("Customer Payment to Small",C344)),"Merchant Payment",IF(ISNUMBER(SEARCH("Payment to Small Business",C344)),"Merchant Payment",IF(ISNUMBER(SEARCH("Sent to",C344)),"Sent to Person",IF(ISNUMBER(SEARCH("Customer Transfer to",C344)),"Sent to Person",IF(ISNUMBER(SEARCH("Business Payment",C344)),"Money In",IF(ISNUMBER(SEARCH("Funds Received",C344)),"Money In",IF(ISNUMBER(SEARCH("Receive International",C344)),"Money In",IF(ISNUMBER(SEARCH("Send Money Reversal",C344)),"Money In",IF(ISNUMBER(SEARCH("Pay Utility Reversal",C344)),"Money In",IF(ISNUMBER(SEARCH("Customer Transfer",C344)),"Money In",IF(ISNUMBER(SEARCH("Ziidi",C344)),"Investment",IF(ISNUMBER(SEARCH("Nabo",C344)),"Investment",IF(ISNUMBER(SEARCH("Paybill Online",C344)),"Pay Bill",IF(ISNUMBER(SEARCH("Pay Bill",C344)),"Pay Bill",IF(ISNUMBER(SEARCH("Spotify",C344)),"Pay Bill",IF(ISNUMBER(SEARCH("M-Shwari",C344)),"Mshwari",IF(ISNUMBER(SEARCH("Mshwari",C344)),"Mshwari",IF(ISNUMBER(SEARCH("Withdrawal charge",C344)),"Fees",IF(ISNUMBER(SEARCH("Customer Withdrawal",C344)),"Fees",IF(ISNUMBER(SEARCH("charge",C344)),"Fees","Other")))))))))))))))))))))))))</f>
        <v>Merchant Payment</v>
      </c>
      <c r="R344" s="1" t="str">
        <f aca="false">TEXT(B344,"MMM YYYY")</f>
        <v>Feb 2026</v>
      </c>
    </row>
    <row r="345" customFormat="false" ht="13.8" hidden="false" customHeight="false" outlineLevel="0" collapsed="false">
      <c r="A345" s="4" t="s">
        <v>742</v>
      </c>
      <c r="B345" s="4" t="s">
        <v>743</v>
      </c>
      <c r="C345" s="4" t="s">
        <v>316</v>
      </c>
      <c r="D345" s="4" t="s">
        <v>18</v>
      </c>
      <c r="E345" s="4"/>
      <c r="F345" s="4" t="n">
        <v>280</v>
      </c>
      <c r="G345" s="4" t="n">
        <v>571</v>
      </c>
      <c r="L345" s="1" t="str">
        <f aca="false">IF(ISNUMBER(SEARCH("Bundle",C345)),"Bundles",IF(ISNUMBER(SEARCH("Airtime",C345)),"Bundles",IF(ISNUMBER(SEARCH("Merchant",C345)),"Merchant Payment",IF(ISNUMBER(SEARCH("Offnet C2B",C345)),"Merchant Payment",IF(ISNUMBER(SEARCH("Offnet B2C",C345)),"Merchant Payment",IF(ISNUMBER(SEARCH("Customer Payment to Small",C345)),"Merchant Payment",IF(ISNUMBER(SEARCH("Payment to Small Business",C345)),"Merchant Payment",IF(ISNUMBER(SEARCH("Sent to",C345)),"Sent to Person",IF(ISNUMBER(SEARCH("Customer Transfer to",C345)),"Sent to Person",IF(ISNUMBER(SEARCH("Business Payment",C345)),"Money In",IF(ISNUMBER(SEARCH("Funds Received",C345)),"Money In",IF(ISNUMBER(SEARCH("Receive International",C345)),"Money In",IF(ISNUMBER(SEARCH("Send Money Reversal",C345)),"Money In",IF(ISNUMBER(SEARCH("Pay Utility Reversal",C345)),"Money In",IF(ISNUMBER(SEARCH("Customer Transfer",C345)),"Money In",IF(ISNUMBER(SEARCH("Ziidi",C345)),"Investment",IF(ISNUMBER(SEARCH("Nabo",C345)),"Investment",IF(ISNUMBER(SEARCH("Paybill Online",C345)),"Pay Bill",IF(ISNUMBER(SEARCH("Pay Bill",C345)),"Pay Bill",IF(ISNUMBER(SEARCH("Spotify",C345)),"Pay Bill",IF(ISNUMBER(SEARCH("M-Shwari",C345)),"Mshwari",IF(ISNUMBER(SEARCH("Mshwari",C345)),"Mshwari",IF(ISNUMBER(SEARCH("Withdrawal charge",C345)),"Fees",IF(ISNUMBER(SEARCH("Customer Withdrawal",C345)),"Fees",IF(ISNUMBER(SEARCH("charge",C345)),"Fees","Other")))))))))))))))))))))))))</f>
        <v>Merchant Payment</v>
      </c>
      <c r="R345" s="1" t="str">
        <f aca="false">TEXT(B345,"MMM YYYY")</f>
        <v>Feb 2026</v>
      </c>
    </row>
    <row r="346" customFormat="false" ht="13.8" hidden="false" customHeight="false" outlineLevel="0" collapsed="false">
      <c r="A346" s="4" t="s">
        <v>744</v>
      </c>
      <c r="B346" s="4" t="s">
        <v>745</v>
      </c>
      <c r="C346" s="4" t="s">
        <v>316</v>
      </c>
      <c r="D346" s="4" t="s">
        <v>18</v>
      </c>
      <c r="E346" s="4"/>
      <c r="F346" s="4" t="n">
        <v>40</v>
      </c>
      <c r="G346" s="4" t="n">
        <v>531</v>
      </c>
      <c r="L346" s="1" t="str">
        <f aca="false">IF(ISNUMBER(SEARCH("Bundle",C346)),"Bundles",IF(ISNUMBER(SEARCH("Airtime",C346)),"Bundles",IF(ISNUMBER(SEARCH("Merchant",C346)),"Merchant Payment",IF(ISNUMBER(SEARCH("Offnet C2B",C346)),"Merchant Payment",IF(ISNUMBER(SEARCH("Offnet B2C",C346)),"Merchant Payment",IF(ISNUMBER(SEARCH("Customer Payment to Small",C346)),"Merchant Payment",IF(ISNUMBER(SEARCH("Payment to Small Business",C346)),"Merchant Payment",IF(ISNUMBER(SEARCH("Sent to",C346)),"Sent to Person",IF(ISNUMBER(SEARCH("Customer Transfer to",C346)),"Sent to Person",IF(ISNUMBER(SEARCH("Business Payment",C346)),"Money In",IF(ISNUMBER(SEARCH("Funds Received",C346)),"Money In",IF(ISNUMBER(SEARCH("Receive International",C346)),"Money In",IF(ISNUMBER(SEARCH("Send Money Reversal",C346)),"Money In",IF(ISNUMBER(SEARCH("Pay Utility Reversal",C346)),"Money In",IF(ISNUMBER(SEARCH("Customer Transfer",C346)),"Money In",IF(ISNUMBER(SEARCH("Ziidi",C346)),"Investment",IF(ISNUMBER(SEARCH("Nabo",C346)),"Investment",IF(ISNUMBER(SEARCH("Paybill Online",C346)),"Pay Bill",IF(ISNUMBER(SEARCH("Pay Bill",C346)),"Pay Bill",IF(ISNUMBER(SEARCH("Spotify",C346)),"Pay Bill",IF(ISNUMBER(SEARCH("M-Shwari",C346)),"Mshwari",IF(ISNUMBER(SEARCH("Mshwari",C346)),"Mshwari",IF(ISNUMBER(SEARCH("Withdrawal charge",C346)),"Fees",IF(ISNUMBER(SEARCH("Customer Withdrawal",C346)),"Fees",IF(ISNUMBER(SEARCH("charge",C346)),"Fees","Other")))))))))))))))))))))))))</f>
        <v>Merchant Payment</v>
      </c>
      <c r="R346" s="1" t="str">
        <f aca="false">TEXT(B346,"MMM YYYY")</f>
        <v>Feb 2026</v>
      </c>
    </row>
    <row r="347" customFormat="false" ht="13.8" hidden="false" customHeight="false" outlineLevel="0" collapsed="false">
      <c r="A347" s="4" t="s">
        <v>746</v>
      </c>
      <c r="B347" s="4" t="s">
        <v>747</v>
      </c>
      <c r="C347" s="4" t="s">
        <v>29</v>
      </c>
      <c r="D347" s="4" t="s">
        <v>18</v>
      </c>
      <c r="E347" s="4"/>
      <c r="F347" s="4" t="n">
        <v>10</v>
      </c>
      <c r="G347" s="4" t="n">
        <v>521</v>
      </c>
      <c r="L347" s="1" t="str">
        <f aca="false">IF(ISNUMBER(SEARCH("Bundle",C347)),"Bundles",IF(ISNUMBER(SEARCH("Airtime",C347)),"Bundles",IF(ISNUMBER(SEARCH("Merchant",C347)),"Merchant Payment",IF(ISNUMBER(SEARCH("Offnet C2B",C347)),"Merchant Payment",IF(ISNUMBER(SEARCH("Offnet B2C",C347)),"Merchant Payment",IF(ISNUMBER(SEARCH("Customer Payment to Small",C347)),"Merchant Payment",IF(ISNUMBER(SEARCH("Payment to Small Business",C347)),"Merchant Payment",IF(ISNUMBER(SEARCH("Sent to",C347)),"Sent to Person",IF(ISNUMBER(SEARCH("Customer Transfer to",C347)),"Sent to Person",IF(ISNUMBER(SEARCH("Business Payment",C347)),"Money In",IF(ISNUMBER(SEARCH("Funds Received",C347)),"Money In",IF(ISNUMBER(SEARCH("Receive International",C347)),"Money In",IF(ISNUMBER(SEARCH("Send Money Reversal",C347)),"Money In",IF(ISNUMBER(SEARCH("Pay Utility Reversal",C347)),"Money In",IF(ISNUMBER(SEARCH("Customer Transfer",C347)),"Money In",IF(ISNUMBER(SEARCH("Ziidi",C347)),"Investment",IF(ISNUMBER(SEARCH("Nabo",C347)),"Investment",IF(ISNUMBER(SEARCH("Paybill Online",C347)),"Pay Bill",IF(ISNUMBER(SEARCH("Pay Bill",C347)),"Pay Bill",IF(ISNUMBER(SEARCH("Spotify",C347)),"Pay Bill",IF(ISNUMBER(SEARCH("M-Shwari",C347)),"Mshwari",IF(ISNUMBER(SEARCH("Mshwari",C347)),"Mshwari",IF(ISNUMBER(SEARCH("Withdrawal charge",C347)),"Fees",IF(ISNUMBER(SEARCH("Customer Withdrawal",C347)),"Fees",IF(ISNUMBER(SEARCH("charge",C347)),"Fees","Other")))))))))))))))))))))))))</f>
        <v>Bundles</v>
      </c>
      <c r="R347" s="1" t="str">
        <f aca="false">TEXT(B347,"MMM YYYY")</f>
        <v>Feb 2026</v>
      </c>
    </row>
    <row r="348" customFormat="false" ht="13.8" hidden="false" customHeight="false" outlineLevel="0" collapsed="false">
      <c r="A348" s="4" t="s">
        <v>748</v>
      </c>
      <c r="B348" s="4" t="s">
        <v>749</v>
      </c>
      <c r="C348" s="4" t="s">
        <v>29</v>
      </c>
      <c r="D348" s="4" t="s">
        <v>18</v>
      </c>
      <c r="E348" s="4"/>
      <c r="F348" s="4" t="n">
        <v>5</v>
      </c>
      <c r="G348" s="4" t="n">
        <v>516</v>
      </c>
      <c r="L348" s="1" t="str">
        <f aca="false">IF(ISNUMBER(SEARCH("Bundle",C348)),"Bundles",IF(ISNUMBER(SEARCH("Airtime",C348)),"Bundles",IF(ISNUMBER(SEARCH("Merchant",C348)),"Merchant Payment",IF(ISNUMBER(SEARCH("Offnet C2B",C348)),"Merchant Payment",IF(ISNUMBER(SEARCH("Offnet B2C",C348)),"Merchant Payment",IF(ISNUMBER(SEARCH("Customer Payment to Small",C348)),"Merchant Payment",IF(ISNUMBER(SEARCH("Payment to Small Business",C348)),"Merchant Payment",IF(ISNUMBER(SEARCH("Sent to",C348)),"Sent to Person",IF(ISNUMBER(SEARCH("Customer Transfer to",C348)),"Sent to Person",IF(ISNUMBER(SEARCH("Business Payment",C348)),"Money In",IF(ISNUMBER(SEARCH("Funds Received",C348)),"Money In",IF(ISNUMBER(SEARCH("Receive International",C348)),"Money In",IF(ISNUMBER(SEARCH("Send Money Reversal",C348)),"Money In",IF(ISNUMBER(SEARCH("Pay Utility Reversal",C348)),"Money In",IF(ISNUMBER(SEARCH("Customer Transfer",C348)),"Money In",IF(ISNUMBER(SEARCH("Ziidi",C348)),"Investment",IF(ISNUMBER(SEARCH("Nabo",C348)),"Investment",IF(ISNUMBER(SEARCH("Paybill Online",C348)),"Pay Bill",IF(ISNUMBER(SEARCH("Pay Bill",C348)),"Pay Bill",IF(ISNUMBER(SEARCH("Spotify",C348)),"Pay Bill",IF(ISNUMBER(SEARCH("M-Shwari",C348)),"Mshwari",IF(ISNUMBER(SEARCH("Mshwari",C348)),"Mshwari",IF(ISNUMBER(SEARCH("Withdrawal charge",C348)),"Fees",IF(ISNUMBER(SEARCH("Customer Withdrawal",C348)),"Fees",IF(ISNUMBER(SEARCH("charge",C348)),"Fees","Other")))))))))))))))))))))))))</f>
        <v>Bundles</v>
      </c>
      <c r="R348" s="1" t="str">
        <f aca="false">TEXT(B348,"MMM YYYY")</f>
        <v>Feb 2026</v>
      </c>
    </row>
    <row r="349" customFormat="false" ht="13.8" hidden="false" customHeight="false" outlineLevel="0" collapsed="false">
      <c r="A349" s="4" t="s">
        <v>750</v>
      </c>
      <c r="B349" s="4" t="s">
        <v>751</v>
      </c>
      <c r="C349" s="4" t="s">
        <v>17</v>
      </c>
      <c r="D349" s="4" t="s">
        <v>18</v>
      </c>
      <c r="E349" s="4"/>
      <c r="F349" s="4" t="n">
        <v>20</v>
      </c>
      <c r="G349" s="4" t="n">
        <v>496</v>
      </c>
      <c r="L349" s="1" t="str">
        <f aca="false">IF(ISNUMBER(SEARCH("Bundle",C349)),"Bundles",IF(ISNUMBER(SEARCH("Airtime",C349)),"Bundles",IF(ISNUMBER(SEARCH("Merchant",C349)),"Merchant Payment",IF(ISNUMBER(SEARCH("Offnet C2B",C349)),"Merchant Payment",IF(ISNUMBER(SEARCH("Offnet B2C",C349)),"Merchant Payment",IF(ISNUMBER(SEARCH("Customer Payment to Small",C349)),"Merchant Payment",IF(ISNUMBER(SEARCH("Payment to Small Business",C349)),"Merchant Payment",IF(ISNUMBER(SEARCH("Sent to",C349)),"Sent to Person",IF(ISNUMBER(SEARCH("Customer Transfer to",C349)),"Sent to Person",IF(ISNUMBER(SEARCH("Business Payment",C349)),"Money In",IF(ISNUMBER(SEARCH("Funds Received",C349)),"Money In",IF(ISNUMBER(SEARCH("Receive International",C349)),"Money In",IF(ISNUMBER(SEARCH("Send Money Reversal",C349)),"Money In",IF(ISNUMBER(SEARCH("Pay Utility Reversal",C349)),"Money In",IF(ISNUMBER(SEARCH("Customer Transfer",C349)),"Money In",IF(ISNUMBER(SEARCH("Ziidi",C349)),"Investment",IF(ISNUMBER(SEARCH("Nabo",C349)),"Investment",IF(ISNUMBER(SEARCH("Paybill Online",C349)),"Pay Bill",IF(ISNUMBER(SEARCH("Pay Bill",C349)),"Pay Bill",IF(ISNUMBER(SEARCH("Spotify",C349)),"Pay Bill",IF(ISNUMBER(SEARCH("M-Shwari",C349)),"Mshwari",IF(ISNUMBER(SEARCH("Mshwari",C349)),"Mshwari",IF(ISNUMBER(SEARCH("Withdrawal charge",C349)),"Fees",IF(ISNUMBER(SEARCH("Customer Withdrawal",C349)),"Fees",IF(ISNUMBER(SEARCH("charge",C349)),"Fees","Other")))))))))))))))))))))))))</f>
        <v>Bundles</v>
      </c>
      <c r="R349" s="1" t="str">
        <f aca="false">TEXT(B349,"MMM YYYY")</f>
        <v>Feb 2026</v>
      </c>
    </row>
    <row r="350" customFormat="false" ht="13.8" hidden="false" customHeight="false" outlineLevel="0" collapsed="false">
      <c r="A350" s="4" t="s">
        <v>752</v>
      </c>
      <c r="B350" s="4" t="s">
        <v>753</v>
      </c>
      <c r="C350" s="4" t="s">
        <v>29</v>
      </c>
      <c r="D350" s="4" t="s">
        <v>18</v>
      </c>
      <c r="E350" s="4"/>
      <c r="F350" s="4" t="n">
        <v>30</v>
      </c>
      <c r="G350" s="4" t="n">
        <v>466</v>
      </c>
      <c r="L350" s="1" t="str">
        <f aca="false">IF(ISNUMBER(SEARCH("Bundle",C350)),"Bundles",IF(ISNUMBER(SEARCH("Airtime",C350)),"Bundles",IF(ISNUMBER(SEARCH("Merchant",C350)),"Merchant Payment",IF(ISNUMBER(SEARCH("Offnet C2B",C350)),"Merchant Payment",IF(ISNUMBER(SEARCH("Offnet B2C",C350)),"Merchant Payment",IF(ISNUMBER(SEARCH("Customer Payment to Small",C350)),"Merchant Payment",IF(ISNUMBER(SEARCH("Payment to Small Business",C350)),"Merchant Payment",IF(ISNUMBER(SEARCH("Sent to",C350)),"Sent to Person",IF(ISNUMBER(SEARCH("Customer Transfer to",C350)),"Sent to Person",IF(ISNUMBER(SEARCH("Business Payment",C350)),"Money In",IF(ISNUMBER(SEARCH("Funds Received",C350)),"Money In",IF(ISNUMBER(SEARCH("Receive International",C350)),"Money In",IF(ISNUMBER(SEARCH("Send Money Reversal",C350)),"Money In",IF(ISNUMBER(SEARCH("Pay Utility Reversal",C350)),"Money In",IF(ISNUMBER(SEARCH("Customer Transfer",C350)),"Money In",IF(ISNUMBER(SEARCH("Ziidi",C350)),"Investment",IF(ISNUMBER(SEARCH("Nabo",C350)),"Investment",IF(ISNUMBER(SEARCH("Paybill Online",C350)),"Pay Bill",IF(ISNUMBER(SEARCH("Pay Bill",C350)),"Pay Bill",IF(ISNUMBER(SEARCH("Spotify",C350)),"Pay Bill",IF(ISNUMBER(SEARCH("M-Shwari",C350)),"Mshwari",IF(ISNUMBER(SEARCH("Mshwari",C350)),"Mshwari",IF(ISNUMBER(SEARCH("Withdrawal charge",C350)),"Fees",IF(ISNUMBER(SEARCH("Customer Withdrawal",C350)),"Fees",IF(ISNUMBER(SEARCH("charge",C350)),"Fees","Other")))))))))))))))))))))))))</f>
        <v>Bundles</v>
      </c>
      <c r="R350" s="1" t="str">
        <f aca="false">TEXT(B350,"MMM YYYY")</f>
        <v>Feb 2026</v>
      </c>
    </row>
    <row r="351" customFormat="false" ht="13.8" hidden="false" customHeight="false" outlineLevel="0" collapsed="false">
      <c r="A351" s="4" t="s">
        <v>754</v>
      </c>
      <c r="B351" s="4" t="s">
        <v>755</v>
      </c>
      <c r="C351" s="4" t="s">
        <v>239</v>
      </c>
      <c r="D351" s="4" t="s">
        <v>18</v>
      </c>
      <c r="E351" s="4"/>
      <c r="F351" s="4" t="n">
        <v>7</v>
      </c>
      <c r="G351" s="4" t="n">
        <v>9</v>
      </c>
      <c r="L351" s="1" t="str">
        <f aca="false">IF(ISNUMBER(SEARCH("Bundle",C351)),"Bundles",IF(ISNUMBER(SEARCH("Airtime",C351)),"Bundles",IF(ISNUMBER(SEARCH("Merchant",C351)),"Merchant Payment",IF(ISNUMBER(SEARCH("Offnet C2B",C351)),"Merchant Payment",IF(ISNUMBER(SEARCH("Offnet B2C",C351)),"Merchant Payment",IF(ISNUMBER(SEARCH("Customer Payment to Small",C351)),"Merchant Payment",IF(ISNUMBER(SEARCH("Payment to Small Business",C351)),"Merchant Payment",IF(ISNUMBER(SEARCH("Sent to",C351)),"Sent to Person",IF(ISNUMBER(SEARCH("Customer Transfer to",C351)),"Sent to Person",IF(ISNUMBER(SEARCH("Business Payment",C351)),"Money In",IF(ISNUMBER(SEARCH("Funds Received",C351)),"Money In",IF(ISNUMBER(SEARCH("Receive International",C351)),"Money In",IF(ISNUMBER(SEARCH("Send Money Reversal",C351)),"Money In",IF(ISNUMBER(SEARCH("Pay Utility Reversal",C351)),"Money In",IF(ISNUMBER(SEARCH("Customer Transfer",C351)),"Money In",IF(ISNUMBER(SEARCH("Ziidi",C351)),"Investment",IF(ISNUMBER(SEARCH("Nabo",C351)),"Investment",IF(ISNUMBER(SEARCH("Paybill Online",C351)),"Pay Bill",IF(ISNUMBER(SEARCH("Pay Bill",C351)),"Pay Bill",IF(ISNUMBER(SEARCH("Spotify",C351)),"Pay Bill",IF(ISNUMBER(SEARCH("M-Shwari",C351)),"Mshwari",IF(ISNUMBER(SEARCH("Mshwari",C351)),"Mshwari",IF(ISNUMBER(SEARCH("Withdrawal charge",C351)),"Fees",IF(ISNUMBER(SEARCH("Customer Withdrawal",C351)),"Fees",IF(ISNUMBER(SEARCH("charge",C351)),"Fees","Other")))))))))))))))))))))))))</f>
        <v>Money In</v>
      </c>
      <c r="R351" s="1" t="str">
        <f aca="false">TEXT(B351,"MMM YYYY")</f>
        <v>Feb 2026</v>
      </c>
    </row>
    <row r="352" customFormat="false" ht="13.8" hidden="false" customHeight="false" outlineLevel="0" collapsed="false">
      <c r="A352" s="4" t="s">
        <v>754</v>
      </c>
      <c r="B352" s="4" t="s">
        <v>755</v>
      </c>
      <c r="C352" s="4" t="s">
        <v>756</v>
      </c>
      <c r="D352" s="4" t="s">
        <v>18</v>
      </c>
      <c r="E352" s="4"/>
      <c r="F352" s="4" t="n">
        <v>450</v>
      </c>
      <c r="G352" s="4" t="n">
        <v>16</v>
      </c>
      <c r="L352" s="1" t="str">
        <f aca="false">IF(ISNUMBER(SEARCH("Bundle",C352)),"Bundles",IF(ISNUMBER(SEARCH("Airtime",C352)),"Bundles",IF(ISNUMBER(SEARCH("Merchant",C352)),"Merchant Payment",IF(ISNUMBER(SEARCH("Offnet C2B",C352)),"Merchant Payment",IF(ISNUMBER(SEARCH("Offnet B2C",C352)),"Merchant Payment",IF(ISNUMBER(SEARCH("Customer Payment to Small",C352)),"Merchant Payment",IF(ISNUMBER(SEARCH("Payment to Small Business",C352)),"Merchant Payment",IF(ISNUMBER(SEARCH("Sent to",C352)),"Sent to Person",IF(ISNUMBER(SEARCH("Customer Transfer to",C352)),"Sent to Person",IF(ISNUMBER(SEARCH("Business Payment",C352)),"Money In",IF(ISNUMBER(SEARCH("Funds Received",C352)),"Money In",IF(ISNUMBER(SEARCH("Receive International",C352)),"Money In",IF(ISNUMBER(SEARCH("Send Money Reversal",C352)),"Money In",IF(ISNUMBER(SEARCH("Pay Utility Reversal",C352)),"Money In",IF(ISNUMBER(SEARCH("Customer Transfer",C352)),"Money In",IF(ISNUMBER(SEARCH("Ziidi",C352)),"Investment",IF(ISNUMBER(SEARCH("Nabo",C352)),"Investment",IF(ISNUMBER(SEARCH("Paybill Online",C352)),"Pay Bill",IF(ISNUMBER(SEARCH("Pay Bill",C352)),"Pay Bill",IF(ISNUMBER(SEARCH("Spotify",C352)),"Pay Bill",IF(ISNUMBER(SEARCH("M-Shwari",C352)),"Mshwari",IF(ISNUMBER(SEARCH("Mshwari",C352)),"Mshwari",IF(ISNUMBER(SEARCH("Withdrawal charge",C352)),"Fees",IF(ISNUMBER(SEARCH("Customer Withdrawal",C352)),"Fees",IF(ISNUMBER(SEARCH("charge",C352)),"Fees","Other")))))))))))))))))))))))))</f>
        <v>Sent to Person</v>
      </c>
      <c r="R352" s="1" t="str">
        <f aca="false">TEXT(B352,"MMM YYYY")</f>
        <v>Feb 2026</v>
      </c>
    </row>
    <row r="353" customFormat="false" ht="13.8" hidden="false" customHeight="false" outlineLevel="0" collapsed="false">
      <c r="A353" s="4" t="s">
        <v>757</v>
      </c>
      <c r="B353" s="4" t="s">
        <v>758</v>
      </c>
      <c r="C353" s="4" t="s">
        <v>29</v>
      </c>
      <c r="D353" s="4" t="s">
        <v>18</v>
      </c>
      <c r="E353" s="4"/>
      <c r="F353" s="4" t="n">
        <v>5</v>
      </c>
      <c r="G353" s="4" t="n">
        <v>4</v>
      </c>
      <c r="L353" s="1" t="str">
        <f aca="false">IF(ISNUMBER(SEARCH("Bundle",C353)),"Bundles",IF(ISNUMBER(SEARCH("Airtime",C353)),"Bundles",IF(ISNUMBER(SEARCH("Merchant",C353)),"Merchant Payment",IF(ISNUMBER(SEARCH("Offnet C2B",C353)),"Merchant Payment",IF(ISNUMBER(SEARCH("Offnet B2C",C353)),"Merchant Payment",IF(ISNUMBER(SEARCH("Customer Payment to Small",C353)),"Merchant Payment",IF(ISNUMBER(SEARCH("Payment to Small Business",C353)),"Merchant Payment",IF(ISNUMBER(SEARCH("Sent to",C353)),"Sent to Person",IF(ISNUMBER(SEARCH("Customer Transfer to",C353)),"Sent to Person",IF(ISNUMBER(SEARCH("Business Payment",C353)),"Money In",IF(ISNUMBER(SEARCH("Funds Received",C353)),"Money In",IF(ISNUMBER(SEARCH("Receive International",C353)),"Money In",IF(ISNUMBER(SEARCH("Send Money Reversal",C353)),"Money In",IF(ISNUMBER(SEARCH("Pay Utility Reversal",C353)),"Money In",IF(ISNUMBER(SEARCH("Customer Transfer",C353)),"Money In",IF(ISNUMBER(SEARCH("Ziidi",C353)),"Investment",IF(ISNUMBER(SEARCH("Nabo",C353)),"Investment",IF(ISNUMBER(SEARCH("Paybill Online",C353)),"Pay Bill",IF(ISNUMBER(SEARCH("Pay Bill",C353)),"Pay Bill",IF(ISNUMBER(SEARCH("Spotify",C353)),"Pay Bill",IF(ISNUMBER(SEARCH("M-Shwari",C353)),"Mshwari",IF(ISNUMBER(SEARCH("Mshwari",C353)),"Mshwari",IF(ISNUMBER(SEARCH("Withdrawal charge",C353)),"Fees",IF(ISNUMBER(SEARCH("Customer Withdrawal",C353)),"Fees",IF(ISNUMBER(SEARCH("charge",C353)),"Fees","Other")))))))))))))))))))))))))</f>
        <v>Bundles</v>
      </c>
      <c r="R353" s="1" t="str">
        <f aca="false">TEXT(B353,"MMM YYYY")</f>
        <v>Feb 2026</v>
      </c>
    </row>
    <row r="354" customFormat="false" ht="13.8" hidden="false" customHeight="false" outlineLevel="0" collapsed="false">
      <c r="A354" s="4" t="s">
        <v>759</v>
      </c>
      <c r="B354" s="4" t="s">
        <v>760</v>
      </c>
      <c r="C354" s="4" t="s">
        <v>761</v>
      </c>
      <c r="D354" s="4" t="s">
        <v>18</v>
      </c>
      <c r="E354" s="4" t="n">
        <v>40</v>
      </c>
      <c r="F354" s="4"/>
      <c r="G354" s="4" t="n">
        <v>44</v>
      </c>
      <c r="L354" s="1" t="str">
        <f aca="false">IF(ISNUMBER(SEARCH("Bundle",C354)),"Bundles",IF(ISNUMBER(SEARCH("Airtime",C354)),"Bundles",IF(ISNUMBER(SEARCH("Merchant",C354)),"Merchant Payment",IF(ISNUMBER(SEARCH("Offnet C2B",C354)),"Merchant Payment",IF(ISNUMBER(SEARCH("Offnet B2C",C354)),"Merchant Payment",IF(ISNUMBER(SEARCH("Customer Payment to Small",C354)),"Merchant Payment",IF(ISNUMBER(SEARCH("Payment to Small Business",C354)),"Merchant Payment",IF(ISNUMBER(SEARCH("Sent to",C354)),"Sent to Person",IF(ISNUMBER(SEARCH("Customer Transfer to",C354)),"Sent to Person",IF(ISNUMBER(SEARCH("Business Payment",C354)),"Money In",IF(ISNUMBER(SEARCH("Funds Received",C354)),"Money In",IF(ISNUMBER(SEARCH("Receive International",C354)),"Money In",IF(ISNUMBER(SEARCH("Send Money Reversal",C354)),"Money In",IF(ISNUMBER(SEARCH("Pay Utility Reversal",C354)),"Money In",IF(ISNUMBER(SEARCH("Customer Transfer",C354)),"Money In",IF(ISNUMBER(SEARCH("Ziidi",C354)),"Investment",IF(ISNUMBER(SEARCH("Nabo",C354)),"Investment",IF(ISNUMBER(SEARCH("Paybill Online",C354)),"Pay Bill",IF(ISNUMBER(SEARCH("Pay Bill",C354)),"Pay Bill",IF(ISNUMBER(SEARCH("Spotify",C354)),"Pay Bill",IF(ISNUMBER(SEARCH("M-Shwari",C354)),"Mshwari",IF(ISNUMBER(SEARCH("Mshwari",C354)),"Mshwari",IF(ISNUMBER(SEARCH("Withdrawal charge",C354)),"Fees",IF(ISNUMBER(SEARCH("Customer Withdrawal",C354)),"Fees",IF(ISNUMBER(SEARCH("charge",C354)),"Fees","Other")))))))))))))))))))))))))</f>
        <v>Merchant Payment</v>
      </c>
      <c r="R354" s="1" t="str">
        <f aca="false">TEXT(B354,"MMM YYYY")</f>
        <v>Feb 2026</v>
      </c>
    </row>
    <row r="355" customFormat="false" ht="13.8" hidden="false" customHeight="false" outlineLevel="0" collapsed="false">
      <c r="A355" s="4" t="s">
        <v>762</v>
      </c>
      <c r="B355" s="4" t="s">
        <v>763</v>
      </c>
      <c r="C355" s="4" t="s">
        <v>29</v>
      </c>
      <c r="D355" s="4" t="s">
        <v>18</v>
      </c>
      <c r="E355" s="4"/>
      <c r="F355" s="4" t="n">
        <v>22</v>
      </c>
      <c r="G355" s="4" t="n">
        <v>22</v>
      </c>
      <c r="L355" s="1" t="str">
        <f aca="false">IF(ISNUMBER(SEARCH("Bundle",C355)),"Bundles",IF(ISNUMBER(SEARCH("Airtime",C355)),"Bundles",IF(ISNUMBER(SEARCH("Merchant",C355)),"Merchant Payment",IF(ISNUMBER(SEARCH("Offnet C2B",C355)),"Merchant Payment",IF(ISNUMBER(SEARCH("Offnet B2C",C355)),"Merchant Payment",IF(ISNUMBER(SEARCH("Customer Payment to Small",C355)),"Merchant Payment",IF(ISNUMBER(SEARCH("Payment to Small Business",C355)),"Merchant Payment",IF(ISNUMBER(SEARCH("Sent to",C355)),"Sent to Person",IF(ISNUMBER(SEARCH("Customer Transfer to",C355)),"Sent to Person",IF(ISNUMBER(SEARCH("Business Payment",C355)),"Money In",IF(ISNUMBER(SEARCH("Funds Received",C355)),"Money In",IF(ISNUMBER(SEARCH("Receive International",C355)),"Money In",IF(ISNUMBER(SEARCH("Send Money Reversal",C355)),"Money In",IF(ISNUMBER(SEARCH("Pay Utility Reversal",C355)),"Money In",IF(ISNUMBER(SEARCH("Customer Transfer",C355)),"Money In",IF(ISNUMBER(SEARCH("Ziidi",C355)),"Investment",IF(ISNUMBER(SEARCH("Nabo",C355)),"Investment",IF(ISNUMBER(SEARCH("Paybill Online",C355)),"Pay Bill",IF(ISNUMBER(SEARCH("Pay Bill",C355)),"Pay Bill",IF(ISNUMBER(SEARCH("Spotify",C355)),"Pay Bill",IF(ISNUMBER(SEARCH("M-Shwari",C355)),"Mshwari",IF(ISNUMBER(SEARCH("Mshwari",C355)),"Mshwari",IF(ISNUMBER(SEARCH("Withdrawal charge",C355)),"Fees",IF(ISNUMBER(SEARCH("Customer Withdrawal",C355)),"Fees",IF(ISNUMBER(SEARCH("charge",C355)),"Fees","Other")))))))))))))))))))))))))</f>
        <v>Bundles</v>
      </c>
      <c r="R355" s="1" t="str">
        <f aca="false">TEXT(B355,"MMM YYYY")</f>
        <v>Feb 2026</v>
      </c>
    </row>
    <row r="356" customFormat="false" ht="13.8" hidden="false" customHeight="false" outlineLevel="0" collapsed="false">
      <c r="A356" s="4" t="s">
        <v>764</v>
      </c>
      <c r="B356" s="4" t="s">
        <v>765</v>
      </c>
      <c r="C356" s="4" t="s">
        <v>17</v>
      </c>
      <c r="D356" s="4" t="s">
        <v>18</v>
      </c>
      <c r="E356" s="4"/>
      <c r="F356" s="4" t="n">
        <v>20</v>
      </c>
      <c r="G356" s="4" t="n">
        <v>2</v>
      </c>
      <c r="L356" s="1" t="str">
        <f aca="false">IF(ISNUMBER(SEARCH("Bundle",C356)),"Bundles",IF(ISNUMBER(SEARCH("Airtime",C356)),"Bundles",IF(ISNUMBER(SEARCH("Merchant",C356)),"Merchant Payment",IF(ISNUMBER(SEARCH("Offnet C2B",C356)),"Merchant Payment",IF(ISNUMBER(SEARCH("Offnet B2C",C356)),"Merchant Payment",IF(ISNUMBER(SEARCH("Customer Payment to Small",C356)),"Merchant Payment",IF(ISNUMBER(SEARCH("Payment to Small Business",C356)),"Merchant Payment",IF(ISNUMBER(SEARCH("Sent to",C356)),"Sent to Person",IF(ISNUMBER(SEARCH("Customer Transfer to",C356)),"Sent to Person",IF(ISNUMBER(SEARCH("Business Payment",C356)),"Money In",IF(ISNUMBER(SEARCH("Funds Received",C356)),"Money In",IF(ISNUMBER(SEARCH("Receive International",C356)),"Money In",IF(ISNUMBER(SEARCH("Send Money Reversal",C356)),"Money In",IF(ISNUMBER(SEARCH("Pay Utility Reversal",C356)),"Money In",IF(ISNUMBER(SEARCH("Customer Transfer",C356)),"Money In",IF(ISNUMBER(SEARCH("Ziidi",C356)),"Investment",IF(ISNUMBER(SEARCH("Nabo",C356)),"Investment",IF(ISNUMBER(SEARCH("Paybill Online",C356)),"Pay Bill",IF(ISNUMBER(SEARCH("Pay Bill",C356)),"Pay Bill",IF(ISNUMBER(SEARCH("Spotify",C356)),"Pay Bill",IF(ISNUMBER(SEARCH("M-Shwari",C356)),"Mshwari",IF(ISNUMBER(SEARCH("Mshwari",C356)),"Mshwari",IF(ISNUMBER(SEARCH("Withdrawal charge",C356)),"Fees",IF(ISNUMBER(SEARCH("Customer Withdrawal",C356)),"Fees",IF(ISNUMBER(SEARCH("charge",C356)),"Fees","Other")))))))))))))))))))))))))</f>
        <v>Bundles</v>
      </c>
      <c r="R356" s="1" t="str">
        <f aca="false">TEXT(B356,"MMM YYYY")</f>
        <v>Feb 2026</v>
      </c>
    </row>
    <row r="357" customFormat="false" ht="13.8" hidden="false" customHeight="false" outlineLevel="0" collapsed="false">
      <c r="A357" s="4" t="s">
        <v>766</v>
      </c>
      <c r="B357" s="4" t="s">
        <v>767</v>
      </c>
      <c r="C357" s="4" t="s">
        <v>768</v>
      </c>
      <c r="D357" s="4" t="s">
        <v>18</v>
      </c>
      <c r="E357" s="4" t="n">
        <v>1030</v>
      </c>
      <c r="F357" s="4"/>
      <c r="G357" s="4" t="n">
        <v>1032</v>
      </c>
      <c r="L357" s="1" t="str">
        <f aca="false">IF(ISNUMBER(SEARCH("Bundle",C357)),"Bundles",IF(ISNUMBER(SEARCH("Airtime",C357)),"Bundles",IF(ISNUMBER(SEARCH("Merchant",C357)),"Merchant Payment",IF(ISNUMBER(SEARCH("Offnet C2B",C357)),"Merchant Payment",IF(ISNUMBER(SEARCH("Offnet B2C",C357)),"Merchant Payment",IF(ISNUMBER(SEARCH("Customer Payment to Small",C357)),"Merchant Payment",IF(ISNUMBER(SEARCH("Payment to Small Business",C357)),"Merchant Payment",IF(ISNUMBER(SEARCH("Sent to",C357)),"Sent to Person",IF(ISNUMBER(SEARCH("Customer Transfer to",C357)),"Sent to Person",IF(ISNUMBER(SEARCH("Business Payment",C357)),"Money In",IF(ISNUMBER(SEARCH("Funds Received",C357)),"Money In",IF(ISNUMBER(SEARCH("Receive International",C357)),"Money In",IF(ISNUMBER(SEARCH("Send Money Reversal",C357)),"Money In",IF(ISNUMBER(SEARCH("Pay Utility Reversal",C357)),"Money In",IF(ISNUMBER(SEARCH("Customer Transfer",C357)),"Money In",IF(ISNUMBER(SEARCH("Ziidi",C357)),"Investment",IF(ISNUMBER(SEARCH("Nabo",C357)),"Investment",IF(ISNUMBER(SEARCH("Paybill Online",C357)),"Pay Bill",IF(ISNUMBER(SEARCH("Pay Bill",C357)),"Pay Bill",IF(ISNUMBER(SEARCH("Spotify",C357)),"Pay Bill",IF(ISNUMBER(SEARCH("M-Shwari",C357)),"Mshwari",IF(ISNUMBER(SEARCH("Mshwari",C357)),"Mshwari",IF(ISNUMBER(SEARCH("Withdrawal charge",C357)),"Fees",IF(ISNUMBER(SEARCH("Customer Withdrawal",C357)),"Fees",IF(ISNUMBER(SEARCH("charge",C357)),"Fees","Other")))))))))))))))))))))))))</f>
        <v>Money In</v>
      </c>
      <c r="R357" s="1" t="str">
        <f aca="false">TEXT(B357,"MMM YYYY")</f>
        <v>Feb 2026</v>
      </c>
    </row>
    <row r="358" customFormat="false" ht="13.8" hidden="false" customHeight="false" outlineLevel="0" collapsed="false">
      <c r="A358" s="4" t="s">
        <v>769</v>
      </c>
      <c r="B358" s="4" t="s">
        <v>770</v>
      </c>
      <c r="C358" s="4" t="s">
        <v>17</v>
      </c>
      <c r="D358" s="4" t="s">
        <v>18</v>
      </c>
      <c r="E358" s="4"/>
      <c r="F358" s="4" t="n">
        <v>20</v>
      </c>
      <c r="G358" s="4" t="n">
        <v>1012</v>
      </c>
      <c r="L358" s="1" t="str">
        <f aca="false">IF(ISNUMBER(SEARCH("Bundle",C358)),"Bundles",IF(ISNUMBER(SEARCH("Airtime",C358)),"Bundles",IF(ISNUMBER(SEARCH("Merchant",C358)),"Merchant Payment",IF(ISNUMBER(SEARCH("Offnet C2B",C358)),"Merchant Payment",IF(ISNUMBER(SEARCH("Offnet B2C",C358)),"Merchant Payment",IF(ISNUMBER(SEARCH("Customer Payment to Small",C358)),"Merchant Payment",IF(ISNUMBER(SEARCH("Payment to Small Business",C358)),"Merchant Payment",IF(ISNUMBER(SEARCH("Sent to",C358)),"Sent to Person",IF(ISNUMBER(SEARCH("Customer Transfer to",C358)),"Sent to Person",IF(ISNUMBER(SEARCH("Business Payment",C358)),"Money In",IF(ISNUMBER(SEARCH("Funds Received",C358)),"Money In",IF(ISNUMBER(SEARCH("Receive International",C358)),"Money In",IF(ISNUMBER(SEARCH("Send Money Reversal",C358)),"Money In",IF(ISNUMBER(SEARCH("Pay Utility Reversal",C358)),"Money In",IF(ISNUMBER(SEARCH("Customer Transfer",C358)),"Money In",IF(ISNUMBER(SEARCH("Ziidi",C358)),"Investment",IF(ISNUMBER(SEARCH("Nabo",C358)),"Investment",IF(ISNUMBER(SEARCH("Paybill Online",C358)),"Pay Bill",IF(ISNUMBER(SEARCH("Pay Bill",C358)),"Pay Bill",IF(ISNUMBER(SEARCH("Spotify",C358)),"Pay Bill",IF(ISNUMBER(SEARCH("M-Shwari",C358)),"Mshwari",IF(ISNUMBER(SEARCH("Mshwari",C358)),"Mshwari",IF(ISNUMBER(SEARCH("Withdrawal charge",C358)),"Fees",IF(ISNUMBER(SEARCH("Customer Withdrawal",C358)),"Fees",IF(ISNUMBER(SEARCH("charge",C358)),"Fees","Other")))))))))))))))))))))))))</f>
        <v>Bundles</v>
      </c>
      <c r="R358" s="1" t="str">
        <f aca="false">TEXT(B358,"MMM YYYY")</f>
        <v>Feb 2026</v>
      </c>
    </row>
    <row r="359" customFormat="false" ht="13.8" hidden="false" customHeight="false" outlineLevel="0" collapsed="false">
      <c r="A359" s="4" t="s">
        <v>771</v>
      </c>
      <c r="B359" s="4" t="s">
        <v>772</v>
      </c>
      <c r="C359" s="4" t="s">
        <v>29</v>
      </c>
      <c r="D359" s="4" t="s">
        <v>18</v>
      </c>
      <c r="E359" s="4"/>
      <c r="F359" s="4" t="n">
        <v>10</v>
      </c>
      <c r="G359" s="4" t="n">
        <v>1002</v>
      </c>
      <c r="L359" s="1" t="str">
        <f aca="false">IF(ISNUMBER(SEARCH("Bundle",C359)),"Bundles",IF(ISNUMBER(SEARCH("Airtime",C359)),"Bundles",IF(ISNUMBER(SEARCH("Merchant",C359)),"Merchant Payment",IF(ISNUMBER(SEARCH("Offnet C2B",C359)),"Merchant Payment",IF(ISNUMBER(SEARCH("Offnet B2C",C359)),"Merchant Payment",IF(ISNUMBER(SEARCH("Customer Payment to Small",C359)),"Merchant Payment",IF(ISNUMBER(SEARCH("Payment to Small Business",C359)),"Merchant Payment",IF(ISNUMBER(SEARCH("Sent to",C359)),"Sent to Person",IF(ISNUMBER(SEARCH("Customer Transfer to",C359)),"Sent to Person",IF(ISNUMBER(SEARCH("Business Payment",C359)),"Money In",IF(ISNUMBER(SEARCH("Funds Received",C359)),"Money In",IF(ISNUMBER(SEARCH("Receive International",C359)),"Money In",IF(ISNUMBER(SEARCH("Send Money Reversal",C359)),"Money In",IF(ISNUMBER(SEARCH("Pay Utility Reversal",C359)),"Money In",IF(ISNUMBER(SEARCH("Customer Transfer",C359)),"Money In",IF(ISNUMBER(SEARCH("Ziidi",C359)),"Investment",IF(ISNUMBER(SEARCH("Nabo",C359)),"Investment",IF(ISNUMBER(SEARCH("Paybill Online",C359)),"Pay Bill",IF(ISNUMBER(SEARCH("Pay Bill",C359)),"Pay Bill",IF(ISNUMBER(SEARCH("Spotify",C359)),"Pay Bill",IF(ISNUMBER(SEARCH("M-Shwari",C359)),"Mshwari",IF(ISNUMBER(SEARCH("Mshwari",C359)),"Mshwari",IF(ISNUMBER(SEARCH("Withdrawal charge",C359)),"Fees",IF(ISNUMBER(SEARCH("Customer Withdrawal",C359)),"Fees",IF(ISNUMBER(SEARCH("charge",C359)),"Fees","Other")))))))))))))))))))))))))</f>
        <v>Bundles</v>
      </c>
      <c r="R359" s="1" t="str">
        <f aca="false">TEXT(B359,"MMM YYYY")</f>
        <v>Feb 2026</v>
      </c>
    </row>
    <row r="360" customFormat="false" ht="13.8" hidden="false" customHeight="false" outlineLevel="0" collapsed="false">
      <c r="A360" s="4" t="s">
        <v>773</v>
      </c>
      <c r="B360" s="4" t="s">
        <v>774</v>
      </c>
      <c r="C360" s="4" t="s">
        <v>430</v>
      </c>
      <c r="D360" s="4" t="s">
        <v>18</v>
      </c>
      <c r="E360" s="4" t="n">
        <v>1000</v>
      </c>
      <c r="F360" s="4"/>
      <c r="G360" s="4" t="n">
        <v>2002</v>
      </c>
      <c r="L360" s="1" t="str">
        <f aca="false">IF(ISNUMBER(SEARCH("Bundle",C360)),"Bundles",IF(ISNUMBER(SEARCH("Airtime",C360)),"Bundles",IF(ISNUMBER(SEARCH("Merchant",C360)),"Merchant Payment",IF(ISNUMBER(SEARCH("Offnet C2B",C360)),"Merchant Payment",IF(ISNUMBER(SEARCH("Offnet B2C",C360)),"Merchant Payment",IF(ISNUMBER(SEARCH("Customer Payment to Small",C360)),"Merchant Payment",IF(ISNUMBER(SEARCH("Payment to Small Business",C360)),"Merchant Payment",IF(ISNUMBER(SEARCH("Sent to",C360)),"Sent to Person",IF(ISNUMBER(SEARCH("Customer Transfer to",C360)),"Sent to Person",IF(ISNUMBER(SEARCH("Business Payment",C360)),"Money In",IF(ISNUMBER(SEARCH("Funds Received",C360)),"Money In",IF(ISNUMBER(SEARCH("Receive International",C360)),"Money In",IF(ISNUMBER(SEARCH("Send Money Reversal",C360)),"Money In",IF(ISNUMBER(SEARCH("Pay Utility Reversal",C360)),"Money In",IF(ISNUMBER(SEARCH("Customer Transfer",C360)),"Money In",IF(ISNUMBER(SEARCH("Ziidi",C360)),"Investment",IF(ISNUMBER(SEARCH("Nabo",C360)),"Investment",IF(ISNUMBER(SEARCH("Paybill Online",C360)),"Pay Bill",IF(ISNUMBER(SEARCH("Pay Bill",C360)),"Pay Bill",IF(ISNUMBER(SEARCH("Spotify",C360)),"Pay Bill",IF(ISNUMBER(SEARCH("M-Shwari",C360)),"Mshwari",IF(ISNUMBER(SEARCH("Mshwari",C360)),"Mshwari",IF(ISNUMBER(SEARCH("Withdrawal charge",C360)),"Fees",IF(ISNUMBER(SEARCH("Customer Withdrawal",C360)),"Fees",IF(ISNUMBER(SEARCH("charge",C360)),"Fees","Other")))))))))))))))))))))))))</f>
        <v>Money In</v>
      </c>
      <c r="R360" s="1" t="str">
        <f aca="false">TEXT(B360,"MMM YYYY")</f>
        <v>Feb 2026</v>
      </c>
    </row>
    <row r="361" customFormat="false" ht="13.8" hidden="false" customHeight="false" outlineLevel="0" collapsed="false">
      <c r="A361" s="4" t="s">
        <v>775</v>
      </c>
      <c r="B361" s="4" t="s">
        <v>776</v>
      </c>
      <c r="C361" s="4" t="s">
        <v>25</v>
      </c>
      <c r="D361" s="4" t="s">
        <v>18</v>
      </c>
      <c r="E361" s="4"/>
      <c r="F361" s="4" t="n">
        <v>40</v>
      </c>
      <c r="G361" s="4" t="n">
        <v>1962</v>
      </c>
      <c r="L361" s="1" t="str">
        <f aca="false">IF(ISNUMBER(SEARCH("Bundle",C361)),"Bundles",IF(ISNUMBER(SEARCH("Airtime",C361)),"Bundles",IF(ISNUMBER(SEARCH("Merchant",C361)),"Merchant Payment",IF(ISNUMBER(SEARCH("Offnet C2B",C361)),"Merchant Payment",IF(ISNUMBER(SEARCH("Offnet B2C",C361)),"Merchant Payment",IF(ISNUMBER(SEARCH("Customer Payment to Small",C361)),"Merchant Payment",IF(ISNUMBER(SEARCH("Payment to Small Business",C361)),"Merchant Payment",IF(ISNUMBER(SEARCH("Sent to",C361)),"Sent to Person",IF(ISNUMBER(SEARCH("Customer Transfer to",C361)),"Sent to Person",IF(ISNUMBER(SEARCH("Business Payment",C361)),"Money In",IF(ISNUMBER(SEARCH("Funds Received",C361)),"Money In",IF(ISNUMBER(SEARCH("Receive International",C361)),"Money In",IF(ISNUMBER(SEARCH("Send Money Reversal",C361)),"Money In",IF(ISNUMBER(SEARCH("Pay Utility Reversal",C361)),"Money In",IF(ISNUMBER(SEARCH("Customer Transfer",C361)),"Money In",IF(ISNUMBER(SEARCH("Ziidi",C361)),"Investment",IF(ISNUMBER(SEARCH("Nabo",C361)),"Investment",IF(ISNUMBER(SEARCH("Paybill Online",C361)),"Pay Bill",IF(ISNUMBER(SEARCH("Pay Bill",C361)),"Pay Bill",IF(ISNUMBER(SEARCH("Spotify",C361)),"Pay Bill",IF(ISNUMBER(SEARCH("M-Shwari",C361)),"Mshwari",IF(ISNUMBER(SEARCH("Mshwari",C361)),"Mshwari",IF(ISNUMBER(SEARCH("Withdrawal charge",C361)),"Fees",IF(ISNUMBER(SEARCH("Customer Withdrawal",C361)),"Fees",IF(ISNUMBER(SEARCH("charge",C361)),"Fees","Other")))))))))))))))))))))))))</f>
        <v>Merchant Payment</v>
      </c>
      <c r="R361" s="1" t="str">
        <f aca="false">TEXT(B361,"MMM YYYY")</f>
        <v>Feb 2026</v>
      </c>
    </row>
    <row r="362" customFormat="false" ht="13.8" hidden="false" customHeight="false" outlineLevel="0" collapsed="false">
      <c r="A362" s="4" t="s">
        <v>777</v>
      </c>
      <c r="B362" s="4" t="s">
        <v>778</v>
      </c>
      <c r="C362" s="4" t="s">
        <v>621</v>
      </c>
      <c r="D362" s="4" t="s">
        <v>18</v>
      </c>
      <c r="E362" s="4"/>
      <c r="F362" s="4" t="n">
        <v>1000</v>
      </c>
      <c r="G362" s="4" t="n">
        <v>962</v>
      </c>
      <c r="L362" s="1" t="str">
        <f aca="false">IF(ISNUMBER(SEARCH("Bundle",C362)),"Bundles",IF(ISNUMBER(SEARCH("Airtime",C362)),"Bundles",IF(ISNUMBER(SEARCH("Merchant",C362)),"Merchant Payment",IF(ISNUMBER(SEARCH("Offnet C2B",C362)),"Merchant Payment",IF(ISNUMBER(SEARCH("Offnet B2C",C362)),"Merchant Payment",IF(ISNUMBER(SEARCH("Customer Payment to Small",C362)),"Merchant Payment",IF(ISNUMBER(SEARCH("Payment to Small Business",C362)),"Merchant Payment",IF(ISNUMBER(SEARCH("Sent to",C362)),"Sent to Person",IF(ISNUMBER(SEARCH("Customer Transfer to",C362)),"Sent to Person",IF(ISNUMBER(SEARCH("Business Payment",C362)),"Money In",IF(ISNUMBER(SEARCH("Funds Received",C362)),"Money In",IF(ISNUMBER(SEARCH("Receive International",C362)),"Money In",IF(ISNUMBER(SEARCH("Send Money Reversal",C362)),"Money In",IF(ISNUMBER(SEARCH("Pay Utility Reversal",C362)),"Money In",IF(ISNUMBER(SEARCH("Customer Transfer",C362)),"Money In",IF(ISNUMBER(SEARCH("Ziidi",C362)),"Investment",IF(ISNUMBER(SEARCH("Nabo",C362)),"Investment",IF(ISNUMBER(SEARCH("Paybill Online",C362)),"Pay Bill",IF(ISNUMBER(SEARCH("Pay Bill",C362)),"Pay Bill",IF(ISNUMBER(SEARCH("Spotify",C362)),"Pay Bill",IF(ISNUMBER(SEARCH("M-Shwari",C362)),"Mshwari",IF(ISNUMBER(SEARCH("Mshwari",C362)),"Mshwari",IF(ISNUMBER(SEARCH("Withdrawal charge",C362)),"Fees",IF(ISNUMBER(SEARCH("Customer Withdrawal",C362)),"Fees",IF(ISNUMBER(SEARCH("charge",C362)),"Fees","Other")))))))))))))))))))))))))</f>
        <v>Mshwari</v>
      </c>
      <c r="R362" s="1" t="str">
        <f aca="false">TEXT(B362,"MMM YYYY")</f>
        <v>Feb 2026</v>
      </c>
    </row>
    <row r="363" customFormat="false" ht="13.8" hidden="false" customHeight="false" outlineLevel="0" collapsed="false">
      <c r="A363" s="4" t="s">
        <v>779</v>
      </c>
      <c r="B363" s="4" t="s">
        <v>780</v>
      </c>
      <c r="C363" s="4" t="s">
        <v>29</v>
      </c>
      <c r="D363" s="4" t="s">
        <v>18</v>
      </c>
      <c r="E363" s="4"/>
      <c r="F363" s="4" t="n">
        <v>5</v>
      </c>
      <c r="G363" s="4" t="n">
        <v>957</v>
      </c>
      <c r="L363" s="1" t="str">
        <f aca="false">IF(ISNUMBER(SEARCH("Bundle",C363)),"Bundles",IF(ISNUMBER(SEARCH("Airtime",C363)),"Bundles",IF(ISNUMBER(SEARCH("Merchant",C363)),"Merchant Payment",IF(ISNUMBER(SEARCH("Offnet C2B",C363)),"Merchant Payment",IF(ISNUMBER(SEARCH("Offnet B2C",C363)),"Merchant Payment",IF(ISNUMBER(SEARCH("Customer Payment to Small",C363)),"Merchant Payment",IF(ISNUMBER(SEARCH("Payment to Small Business",C363)),"Merchant Payment",IF(ISNUMBER(SEARCH("Sent to",C363)),"Sent to Person",IF(ISNUMBER(SEARCH("Customer Transfer to",C363)),"Sent to Person",IF(ISNUMBER(SEARCH("Business Payment",C363)),"Money In",IF(ISNUMBER(SEARCH("Funds Received",C363)),"Money In",IF(ISNUMBER(SEARCH("Receive International",C363)),"Money In",IF(ISNUMBER(SEARCH("Send Money Reversal",C363)),"Money In",IF(ISNUMBER(SEARCH("Pay Utility Reversal",C363)),"Money In",IF(ISNUMBER(SEARCH("Customer Transfer",C363)),"Money In",IF(ISNUMBER(SEARCH("Ziidi",C363)),"Investment",IF(ISNUMBER(SEARCH("Nabo",C363)),"Investment",IF(ISNUMBER(SEARCH("Paybill Online",C363)),"Pay Bill",IF(ISNUMBER(SEARCH("Pay Bill",C363)),"Pay Bill",IF(ISNUMBER(SEARCH("Spotify",C363)),"Pay Bill",IF(ISNUMBER(SEARCH("M-Shwari",C363)),"Mshwari",IF(ISNUMBER(SEARCH("Mshwari",C363)),"Mshwari",IF(ISNUMBER(SEARCH("Withdrawal charge",C363)),"Fees",IF(ISNUMBER(SEARCH("Customer Withdrawal",C363)),"Fees",IF(ISNUMBER(SEARCH("charge",C363)),"Fees","Other")))))))))))))))))))))))))</f>
        <v>Bundles</v>
      </c>
      <c r="R363" s="1" t="str">
        <f aca="false">TEXT(B363,"MMM YYYY")</f>
        <v>Feb 2026</v>
      </c>
    </row>
    <row r="364" customFormat="false" ht="13.8" hidden="false" customHeight="false" outlineLevel="0" collapsed="false">
      <c r="A364" s="4" t="s">
        <v>781</v>
      </c>
      <c r="B364" s="4" t="s">
        <v>782</v>
      </c>
      <c r="C364" s="4" t="s">
        <v>316</v>
      </c>
      <c r="D364" s="4" t="s">
        <v>18</v>
      </c>
      <c r="E364" s="4"/>
      <c r="F364" s="4" t="n">
        <v>560</v>
      </c>
      <c r="G364" s="4" t="n">
        <v>397</v>
      </c>
      <c r="L364" s="1" t="str">
        <f aca="false">IF(ISNUMBER(SEARCH("Bundle",C364)),"Bundles",IF(ISNUMBER(SEARCH("Airtime",C364)),"Bundles",IF(ISNUMBER(SEARCH("Merchant",C364)),"Merchant Payment",IF(ISNUMBER(SEARCH("Offnet C2B",C364)),"Merchant Payment",IF(ISNUMBER(SEARCH("Offnet B2C",C364)),"Merchant Payment",IF(ISNUMBER(SEARCH("Customer Payment to Small",C364)),"Merchant Payment",IF(ISNUMBER(SEARCH("Payment to Small Business",C364)),"Merchant Payment",IF(ISNUMBER(SEARCH("Sent to",C364)),"Sent to Person",IF(ISNUMBER(SEARCH("Customer Transfer to",C364)),"Sent to Person",IF(ISNUMBER(SEARCH("Business Payment",C364)),"Money In",IF(ISNUMBER(SEARCH("Funds Received",C364)),"Money In",IF(ISNUMBER(SEARCH("Receive International",C364)),"Money In",IF(ISNUMBER(SEARCH("Send Money Reversal",C364)),"Money In",IF(ISNUMBER(SEARCH("Pay Utility Reversal",C364)),"Money In",IF(ISNUMBER(SEARCH("Customer Transfer",C364)),"Money In",IF(ISNUMBER(SEARCH("Ziidi",C364)),"Investment",IF(ISNUMBER(SEARCH("Nabo",C364)),"Investment",IF(ISNUMBER(SEARCH("Paybill Online",C364)),"Pay Bill",IF(ISNUMBER(SEARCH("Pay Bill",C364)),"Pay Bill",IF(ISNUMBER(SEARCH("Spotify",C364)),"Pay Bill",IF(ISNUMBER(SEARCH("M-Shwari",C364)),"Mshwari",IF(ISNUMBER(SEARCH("Mshwari",C364)),"Mshwari",IF(ISNUMBER(SEARCH("Withdrawal charge",C364)),"Fees",IF(ISNUMBER(SEARCH("Customer Withdrawal",C364)),"Fees",IF(ISNUMBER(SEARCH("charge",C364)),"Fees","Other")))))))))))))))))))))))))</f>
        <v>Merchant Payment</v>
      </c>
      <c r="R364" s="1" t="str">
        <f aca="false">TEXT(B364,"MMM YYYY")</f>
        <v>Feb 2026</v>
      </c>
    </row>
    <row r="365" customFormat="false" ht="13.8" hidden="false" customHeight="false" outlineLevel="0" collapsed="false">
      <c r="A365" s="4" t="s">
        <v>783</v>
      </c>
      <c r="B365" s="4" t="s">
        <v>784</v>
      </c>
      <c r="C365" s="4" t="s">
        <v>243</v>
      </c>
      <c r="D365" s="4" t="s">
        <v>18</v>
      </c>
      <c r="E365" s="4"/>
      <c r="F365" s="4" t="n">
        <v>70</v>
      </c>
      <c r="G365" s="4" t="n">
        <v>327</v>
      </c>
      <c r="L365" s="1" t="str">
        <f aca="false">IF(ISNUMBER(SEARCH("Bundle",C365)),"Bundles",IF(ISNUMBER(SEARCH("Airtime",C365)),"Bundles",IF(ISNUMBER(SEARCH("Merchant",C365)),"Merchant Payment",IF(ISNUMBER(SEARCH("Offnet C2B",C365)),"Merchant Payment",IF(ISNUMBER(SEARCH("Offnet B2C",C365)),"Merchant Payment",IF(ISNUMBER(SEARCH("Customer Payment to Small",C365)),"Merchant Payment",IF(ISNUMBER(SEARCH("Payment to Small Business",C365)),"Merchant Payment",IF(ISNUMBER(SEARCH("Sent to",C365)),"Sent to Person",IF(ISNUMBER(SEARCH("Customer Transfer to",C365)),"Sent to Person",IF(ISNUMBER(SEARCH("Business Payment",C365)),"Money In",IF(ISNUMBER(SEARCH("Funds Received",C365)),"Money In",IF(ISNUMBER(SEARCH("Receive International",C365)),"Money In",IF(ISNUMBER(SEARCH("Send Money Reversal",C365)),"Money In",IF(ISNUMBER(SEARCH("Pay Utility Reversal",C365)),"Money In",IF(ISNUMBER(SEARCH("Customer Transfer",C365)),"Money In",IF(ISNUMBER(SEARCH("Ziidi",C365)),"Investment",IF(ISNUMBER(SEARCH("Nabo",C365)),"Investment",IF(ISNUMBER(SEARCH("Paybill Online",C365)),"Pay Bill",IF(ISNUMBER(SEARCH("Pay Bill",C365)),"Pay Bill",IF(ISNUMBER(SEARCH("Spotify",C365)),"Pay Bill",IF(ISNUMBER(SEARCH("M-Shwari",C365)),"Mshwari",IF(ISNUMBER(SEARCH("Mshwari",C365)),"Mshwari",IF(ISNUMBER(SEARCH("Withdrawal charge",C365)),"Fees",IF(ISNUMBER(SEARCH("Customer Withdrawal",C365)),"Fees",IF(ISNUMBER(SEARCH("charge",C365)),"Fees","Other")))))))))))))))))))))))))</f>
        <v>Merchant Payment</v>
      </c>
      <c r="R365" s="1" t="str">
        <f aca="false">TEXT(B365,"MMM YYYY")</f>
        <v>Feb 2026</v>
      </c>
    </row>
    <row r="366" customFormat="false" ht="13.8" hidden="false" customHeight="false" outlineLevel="0" collapsed="false">
      <c r="A366" s="4" t="s">
        <v>785</v>
      </c>
      <c r="B366" s="4" t="s">
        <v>786</v>
      </c>
      <c r="C366" s="4" t="s">
        <v>239</v>
      </c>
      <c r="D366" s="4" t="s">
        <v>18</v>
      </c>
      <c r="E366" s="4"/>
      <c r="F366" s="4" t="n">
        <v>7</v>
      </c>
      <c r="G366" s="4" t="n">
        <v>180</v>
      </c>
      <c r="L366" s="1" t="str">
        <f aca="false">IF(ISNUMBER(SEARCH("Bundle",C366)),"Bundles",IF(ISNUMBER(SEARCH("Airtime",C366)),"Bundles",IF(ISNUMBER(SEARCH("Merchant",C366)),"Merchant Payment",IF(ISNUMBER(SEARCH("Offnet C2B",C366)),"Merchant Payment",IF(ISNUMBER(SEARCH("Offnet B2C",C366)),"Merchant Payment",IF(ISNUMBER(SEARCH("Customer Payment to Small",C366)),"Merchant Payment",IF(ISNUMBER(SEARCH("Payment to Small Business",C366)),"Merchant Payment",IF(ISNUMBER(SEARCH("Sent to",C366)),"Sent to Person",IF(ISNUMBER(SEARCH("Customer Transfer to",C366)),"Sent to Person",IF(ISNUMBER(SEARCH("Business Payment",C366)),"Money In",IF(ISNUMBER(SEARCH("Funds Received",C366)),"Money In",IF(ISNUMBER(SEARCH("Receive International",C366)),"Money In",IF(ISNUMBER(SEARCH("Send Money Reversal",C366)),"Money In",IF(ISNUMBER(SEARCH("Pay Utility Reversal",C366)),"Money In",IF(ISNUMBER(SEARCH("Customer Transfer",C366)),"Money In",IF(ISNUMBER(SEARCH("Ziidi",C366)),"Investment",IF(ISNUMBER(SEARCH("Nabo",C366)),"Investment",IF(ISNUMBER(SEARCH("Paybill Online",C366)),"Pay Bill",IF(ISNUMBER(SEARCH("Pay Bill",C366)),"Pay Bill",IF(ISNUMBER(SEARCH("Spotify",C366)),"Pay Bill",IF(ISNUMBER(SEARCH("M-Shwari",C366)),"Mshwari",IF(ISNUMBER(SEARCH("Mshwari",C366)),"Mshwari",IF(ISNUMBER(SEARCH("Withdrawal charge",C366)),"Fees",IF(ISNUMBER(SEARCH("Customer Withdrawal",C366)),"Fees",IF(ISNUMBER(SEARCH("charge",C366)),"Fees","Other")))))))))))))))))))))))))</f>
        <v>Money In</v>
      </c>
      <c r="R366" s="1" t="str">
        <f aca="false">TEXT(B366,"MMM YYYY")</f>
        <v>Feb 2026</v>
      </c>
    </row>
    <row r="367" customFormat="false" ht="13.8" hidden="false" customHeight="false" outlineLevel="0" collapsed="false">
      <c r="A367" s="4" t="s">
        <v>785</v>
      </c>
      <c r="B367" s="4" t="s">
        <v>786</v>
      </c>
      <c r="C367" s="4" t="s">
        <v>787</v>
      </c>
      <c r="D367" s="4" t="s">
        <v>18</v>
      </c>
      <c r="E367" s="4"/>
      <c r="F367" s="4" t="n">
        <v>140</v>
      </c>
      <c r="G367" s="4" t="n">
        <v>187</v>
      </c>
      <c r="L367" s="1" t="str">
        <f aca="false">IF(ISNUMBER(SEARCH("Bundle",C367)),"Bundles",IF(ISNUMBER(SEARCH("Airtime",C367)),"Bundles",IF(ISNUMBER(SEARCH("Merchant",C367)),"Merchant Payment",IF(ISNUMBER(SEARCH("Offnet C2B",C367)),"Merchant Payment",IF(ISNUMBER(SEARCH("Offnet B2C",C367)),"Merchant Payment",IF(ISNUMBER(SEARCH("Customer Payment to Small",C367)),"Merchant Payment",IF(ISNUMBER(SEARCH("Payment to Small Business",C367)),"Merchant Payment",IF(ISNUMBER(SEARCH("Sent to",C367)),"Sent to Person",IF(ISNUMBER(SEARCH("Customer Transfer to",C367)),"Sent to Person",IF(ISNUMBER(SEARCH("Business Payment",C367)),"Money In",IF(ISNUMBER(SEARCH("Funds Received",C367)),"Money In",IF(ISNUMBER(SEARCH("Receive International",C367)),"Money In",IF(ISNUMBER(SEARCH("Send Money Reversal",C367)),"Money In",IF(ISNUMBER(SEARCH("Pay Utility Reversal",C367)),"Money In",IF(ISNUMBER(SEARCH("Customer Transfer",C367)),"Money In",IF(ISNUMBER(SEARCH("Ziidi",C367)),"Investment",IF(ISNUMBER(SEARCH("Nabo",C367)),"Investment",IF(ISNUMBER(SEARCH("Paybill Online",C367)),"Pay Bill",IF(ISNUMBER(SEARCH("Pay Bill",C367)),"Pay Bill",IF(ISNUMBER(SEARCH("Spotify",C367)),"Pay Bill",IF(ISNUMBER(SEARCH("M-Shwari",C367)),"Mshwari",IF(ISNUMBER(SEARCH("Mshwari",C367)),"Mshwari",IF(ISNUMBER(SEARCH("Withdrawal charge",C367)),"Fees",IF(ISNUMBER(SEARCH("Customer Withdrawal",C367)),"Fees",IF(ISNUMBER(SEARCH("charge",C367)),"Fees","Other")))))))))))))))))))))))))</f>
        <v>Merchant Payment</v>
      </c>
      <c r="R367" s="1" t="str">
        <f aca="false">TEXT(B367,"MMM YYYY")</f>
        <v>Feb 2026</v>
      </c>
    </row>
    <row r="368" customFormat="false" ht="13.8" hidden="false" customHeight="false" outlineLevel="0" collapsed="false">
      <c r="A368" s="4" t="s">
        <v>788</v>
      </c>
      <c r="B368" s="4" t="s">
        <v>789</v>
      </c>
      <c r="C368" s="4" t="s">
        <v>790</v>
      </c>
      <c r="D368" s="4" t="s">
        <v>18</v>
      </c>
      <c r="E368" s="4"/>
      <c r="F368" s="4" t="n">
        <v>50</v>
      </c>
      <c r="G368" s="4" t="n">
        <v>130</v>
      </c>
      <c r="L368" s="1" t="str">
        <f aca="false">IF(ISNUMBER(SEARCH("Bundle",C368)),"Bundles",IF(ISNUMBER(SEARCH("Airtime",C368)),"Bundles",IF(ISNUMBER(SEARCH("Merchant",C368)),"Merchant Payment",IF(ISNUMBER(SEARCH("Offnet C2B",C368)),"Merchant Payment",IF(ISNUMBER(SEARCH("Offnet B2C",C368)),"Merchant Payment",IF(ISNUMBER(SEARCH("Customer Payment to Small",C368)),"Merchant Payment",IF(ISNUMBER(SEARCH("Payment to Small Business",C368)),"Merchant Payment",IF(ISNUMBER(SEARCH("Sent to",C368)),"Sent to Person",IF(ISNUMBER(SEARCH("Customer Transfer to",C368)),"Sent to Person",IF(ISNUMBER(SEARCH("Business Payment",C368)),"Money In",IF(ISNUMBER(SEARCH("Funds Received",C368)),"Money In",IF(ISNUMBER(SEARCH("Receive International",C368)),"Money In",IF(ISNUMBER(SEARCH("Send Money Reversal",C368)),"Money In",IF(ISNUMBER(SEARCH("Pay Utility Reversal",C368)),"Money In",IF(ISNUMBER(SEARCH("Customer Transfer",C368)),"Money In",IF(ISNUMBER(SEARCH("Ziidi",C368)),"Investment",IF(ISNUMBER(SEARCH("Nabo",C368)),"Investment",IF(ISNUMBER(SEARCH("Paybill Online",C368)),"Pay Bill",IF(ISNUMBER(SEARCH("Pay Bill",C368)),"Pay Bill",IF(ISNUMBER(SEARCH("Spotify",C368)),"Pay Bill",IF(ISNUMBER(SEARCH("M-Shwari",C368)),"Mshwari",IF(ISNUMBER(SEARCH("Mshwari",C368)),"Mshwari",IF(ISNUMBER(SEARCH("Withdrawal charge",C368)),"Fees",IF(ISNUMBER(SEARCH("Customer Withdrawal",C368)),"Fees",IF(ISNUMBER(SEARCH("charge",C368)),"Fees","Other")))))))))))))))))))))))))</f>
        <v>Merchant Payment</v>
      </c>
      <c r="R368" s="1" t="str">
        <f aca="false">TEXT(B368,"MMM YYYY")</f>
        <v>Feb 2026</v>
      </c>
    </row>
    <row r="369" customFormat="false" ht="13.8" hidden="false" customHeight="false" outlineLevel="0" collapsed="false">
      <c r="A369" s="4" t="s">
        <v>791</v>
      </c>
      <c r="B369" s="4" t="s">
        <v>792</v>
      </c>
      <c r="C369" s="4" t="s">
        <v>17</v>
      </c>
      <c r="D369" s="4" t="s">
        <v>18</v>
      </c>
      <c r="E369" s="4"/>
      <c r="F369" s="4" t="n">
        <v>20</v>
      </c>
      <c r="G369" s="4" t="n">
        <v>110</v>
      </c>
      <c r="L369" s="1" t="str">
        <f aca="false">IF(ISNUMBER(SEARCH("Bundle",C369)),"Bundles",IF(ISNUMBER(SEARCH("Airtime",C369)),"Bundles",IF(ISNUMBER(SEARCH("Merchant",C369)),"Merchant Payment",IF(ISNUMBER(SEARCH("Offnet C2B",C369)),"Merchant Payment",IF(ISNUMBER(SEARCH("Offnet B2C",C369)),"Merchant Payment",IF(ISNUMBER(SEARCH("Customer Payment to Small",C369)),"Merchant Payment",IF(ISNUMBER(SEARCH("Payment to Small Business",C369)),"Merchant Payment",IF(ISNUMBER(SEARCH("Sent to",C369)),"Sent to Person",IF(ISNUMBER(SEARCH("Customer Transfer to",C369)),"Sent to Person",IF(ISNUMBER(SEARCH("Business Payment",C369)),"Money In",IF(ISNUMBER(SEARCH("Funds Received",C369)),"Money In",IF(ISNUMBER(SEARCH("Receive International",C369)),"Money In",IF(ISNUMBER(SEARCH("Send Money Reversal",C369)),"Money In",IF(ISNUMBER(SEARCH("Pay Utility Reversal",C369)),"Money In",IF(ISNUMBER(SEARCH("Customer Transfer",C369)),"Money In",IF(ISNUMBER(SEARCH("Ziidi",C369)),"Investment",IF(ISNUMBER(SEARCH("Nabo",C369)),"Investment",IF(ISNUMBER(SEARCH("Paybill Online",C369)),"Pay Bill",IF(ISNUMBER(SEARCH("Pay Bill",C369)),"Pay Bill",IF(ISNUMBER(SEARCH("Spotify",C369)),"Pay Bill",IF(ISNUMBER(SEARCH("M-Shwari",C369)),"Mshwari",IF(ISNUMBER(SEARCH("Mshwari",C369)),"Mshwari",IF(ISNUMBER(SEARCH("Withdrawal charge",C369)),"Fees",IF(ISNUMBER(SEARCH("Customer Withdrawal",C369)),"Fees",IF(ISNUMBER(SEARCH("charge",C369)),"Fees","Other")))))))))))))))))))))))))</f>
        <v>Bundles</v>
      </c>
      <c r="R369" s="1" t="str">
        <f aca="false">TEXT(B369,"MMM YYYY")</f>
        <v>Feb 2026</v>
      </c>
    </row>
    <row r="370" customFormat="false" ht="13.8" hidden="false" customHeight="false" outlineLevel="0" collapsed="false">
      <c r="A370" s="4" t="s">
        <v>793</v>
      </c>
      <c r="B370" s="4" t="s">
        <v>794</v>
      </c>
      <c r="C370" s="4" t="s">
        <v>29</v>
      </c>
      <c r="D370" s="4" t="s">
        <v>18</v>
      </c>
      <c r="E370" s="4"/>
      <c r="F370" s="4" t="n">
        <v>10</v>
      </c>
      <c r="G370" s="4" t="n">
        <v>100</v>
      </c>
      <c r="L370" s="1" t="str">
        <f aca="false">IF(ISNUMBER(SEARCH("Bundle",C370)),"Bundles",IF(ISNUMBER(SEARCH("Airtime",C370)),"Bundles",IF(ISNUMBER(SEARCH("Merchant",C370)),"Merchant Payment",IF(ISNUMBER(SEARCH("Offnet C2B",C370)),"Merchant Payment",IF(ISNUMBER(SEARCH("Offnet B2C",C370)),"Merchant Payment",IF(ISNUMBER(SEARCH("Customer Payment to Small",C370)),"Merchant Payment",IF(ISNUMBER(SEARCH("Payment to Small Business",C370)),"Merchant Payment",IF(ISNUMBER(SEARCH("Sent to",C370)),"Sent to Person",IF(ISNUMBER(SEARCH("Customer Transfer to",C370)),"Sent to Person",IF(ISNUMBER(SEARCH("Business Payment",C370)),"Money In",IF(ISNUMBER(SEARCH("Funds Received",C370)),"Money In",IF(ISNUMBER(SEARCH("Receive International",C370)),"Money In",IF(ISNUMBER(SEARCH("Send Money Reversal",C370)),"Money In",IF(ISNUMBER(SEARCH("Pay Utility Reversal",C370)),"Money In",IF(ISNUMBER(SEARCH("Customer Transfer",C370)),"Money In",IF(ISNUMBER(SEARCH("Ziidi",C370)),"Investment",IF(ISNUMBER(SEARCH("Nabo",C370)),"Investment",IF(ISNUMBER(SEARCH("Paybill Online",C370)),"Pay Bill",IF(ISNUMBER(SEARCH("Pay Bill",C370)),"Pay Bill",IF(ISNUMBER(SEARCH("Spotify",C370)),"Pay Bill",IF(ISNUMBER(SEARCH("M-Shwari",C370)),"Mshwari",IF(ISNUMBER(SEARCH("Mshwari",C370)),"Mshwari",IF(ISNUMBER(SEARCH("Withdrawal charge",C370)),"Fees",IF(ISNUMBER(SEARCH("Customer Withdrawal",C370)),"Fees",IF(ISNUMBER(SEARCH("charge",C370)),"Fees","Other")))))))))))))))))))))))))</f>
        <v>Bundles</v>
      </c>
      <c r="R370" s="1" t="str">
        <f aca="false">TEXT(B370,"MMM YYYY")</f>
        <v>Feb 2026</v>
      </c>
    </row>
    <row r="371" customFormat="false" ht="13.8" hidden="false" customHeight="false" outlineLevel="0" collapsed="false">
      <c r="A371" s="4" t="s">
        <v>795</v>
      </c>
      <c r="B371" s="4" t="s">
        <v>796</v>
      </c>
      <c r="C371" s="4" t="s">
        <v>17</v>
      </c>
      <c r="D371" s="4" t="s">
        <v>18</v>
      </c>
      <c r="E371" s="4"/>
      <c r="F371" s="4" t="n">
        <v>20</v>
      </c>
      <c r="G371" s="4" t="n">
        <v>80</v>
      </c>
      <c r="L371" s="1" t="str">
        <f aca="false">IF(ISNUMBER(SEARCH("Bundle",C371)),"Bundles",IF(ISNUMBER(SEARCH("Airtime",C371)),"Bundles",IF(ISNUMBER(SEARCH("Merchant",C371)),"Merchant Payment",IF(ISNUMBER(SEARCH("Offnet C2B",C371)),"Merchant Payment",IF(ISNUMBER(SEARCH("Offnet B2C",C371)),"Merchant Payment",IF(ISNUMBER(SEARCH("Customer Payment to Small",C371)),"Merchant Payment",IF(ISNUMBER(SEARCH("Payment to Small Business",C371)),"Merchant Payment",IF(ISNUMBER(SEARCH("Sent to",C371)),"Sent to Person",IF(ISNUMBER(SEARCH("Customer Transfer to",C371)),"Sent to Person",IF(ISNUMBER(SEARCH("Business Payment",C371)),"Money In",IF(ISNUMBER(SEARCH("Funds Received",C371)),"Money In",IF(ISNUMBER(SEARCH("Receive International",C371)),"Money In",IF(ISNUMBER(SEARCH("Send Money Reversal",C371)),"Money In",IF(ISNUMBER(SEARCH("Pay Utility Reversal",C371)),"Money In",IF(ISNUMBER(SEARCH("Customer Transfer",C371)),"Money In",IF(ISNUMBER(SEARCH("Ziidi",C371)),"Investment",IF(ISNUMBER(SEARCH("Nabo",C371)),"Investment",IF(ISNUMBER(SEARCH("Paybill Online",C371)),"Pay Bill",IF(ISNUMBER(SEARCH("Pay Bill",C371)),"Pay Bill",IF(ISNUMBER(SEARCH("Spotify",C371)),"Pay Bill",IF(ISNUMBER(SEARCH("M-Shwari",C371)),"Mshwari",IF(ISNUMBER(SEARCH("Mshwari",C371)),"Mshwari",IF(ISNUMBER(SEARCH("Withdrawal charge",C371)),"Fees",IF(ISNUMBER(SEARCH("Customer Withdrawal",C371)),"Fees",IF(ISNUMBER(SEARCH("charge",C371)),"Fees","Other")))))))))))))))))))))))))</f>
        <v>Bundles</v>
      </c>
      <c r="R371" s="1" t="str">
        <f aca="false">TEXT(B371,"MMM YYYY")</f>
        <v>Feb 2026</v>
      </c>
    </row>
    <row r="372" customFormat="false" ht="13.8" hidden="false" customHeight="false" outlineLevel="0" collapsed="false">
      <c r="A372" s="4" t="s">
        <v>797</v>
      </c>
      <c r="B372" s="4" t="s">
        <v>798</v>
      </c>
      <c r="C372" s="4" t="s">
        <v>707</v>
      </c>
      <c r="D372" s="4" t="s">
        <v>18</v>
      </c>
      <c r="E372" s="4" t="n">
        <v>4000</v>
      </c>
      <c r="F372" s="4"/>
      <c r="G372" s="4" t="n">
        <v>4080</v>
      </c>
      <c r="L372" s="1" t="str">
        <f aca="false">IF(ISNUMBER(SEARCH("Bundle",C372)),"Bundles",IF(ISNUMBER(SEARCH("Airtime",C372)),"Bundles",IF(ISNUMBER(SEARCH("Merchant",C372)),"Merchant Payment",IF(ISNUMBER(SEARCH("Offnet C2B",C372)),"Merchant Payment",IF(ISNUMBER(SEARCH("Offnet B2C",C372)),"Merchant Payment",IF(ISNUMBER(SEARCH("Customer Payment to Small",C372)),"Merchant Payment",IF(ISNUMBER(SEARCH("Payment to Small Business",C372)),"Merchant Payment",IF(ISNUMBER(SEARCH("Sent to",C372)),"Sent to Person",IF(ISNUMBER(SEARCH("Customer Transfer to",C372)),"Sent to Person",IF(ISNUMBER(SEARCH("Business Payment",C372)),"Money In",IF(ISNUMBER(SEARCH("Funds Received",C372)),"Money In",IF(ISNUMBER(SEARCH("Receive International",C372)),"Money In",IF(ISNUMBER(SEARCH("Send Money Reversal",C372)),"Money In",IF(ISNUMBER(SEARCH("Pay Utility Reversal",C372)),"Money In",IF(ISNUMBER(SEARCH("Customer Transfer",C372)),"Money In",IF(ISNUMBER(SEARCH("Ziidi",C372)),"Investment",IF(ISNUMBER(SEARCH("Nabo",C372)),"Investment",IF(ISNUMBER(SEARCH("Paybill Online",C372)),"Pay Bill",IF(ISNUMBER(SEARCH("Pay Bill",C372)),"Pay Bill",IF(ISNUMBER(SEARCH("Spotify",C372)),"Pay Bill",IF(ISNUMBER(SEARCH("M-Shwari",C372)),"Mshwari",IF(ISNUMBER(SEARCH("Mshwari",C372)),"Mshwari",IF(ISNUMBER(SEARCH("Withdrawal charge",C372)),"Fees",IF(ISNUMBER(SEARCH("Customer Withdrawal",C372)),"Fees",IF(ISNUMBER(SEARCH("charge",C372)),"Fees","Other")))))))))))))))))))))))))</f>
        <v>Money In</v>
      </c>
      <c r="R372" s="1" t="str">
        <f aca="false">TEXT(B372,"MMM YYYY")</f>
        <v>Feb 2026</v>
      </c>
    </row>
    <row r="373" customFormat="false" ht="13.8" hidden="false" customHeight="false" outlineLevel="0" collapsed="false">
      <c r="A373" s="4" t="s">
        <v>799</v>
      </c>
      <c r="B373" s="4" t="s">
        <v>800</v>
      </c>
      <c r="C373" s="4" t="s">
        <v>621</v>
      </c>
      <c r="D373" s="4" t="s">
        <v>18</v>
      </c>
      <c r="E373" s="4"/>
      <c r="F373" s="4" t="n">
        <v>3500</v>
      </c>
      <c r="G373" s="4" t="n">
        <v>580</v>
      </c>
      <c r="L373" s="1" t="str">
        <f aca="false">IF(ISNUMBER(SEARCH("Bundle",C373)),"Bundles",IF(ISNUMBER(SEARCH("Airtime",C373)),"Bundles",IF(ISNUMBER(SEARCH("Merchant",C373)),"Merchant Payment",IF(ISNUMBER(SEARCH("Offnet C2B",C373)),"Merchant Payment",IF(ISNUMBER(SEARCH("Offnet B2C",C373)),"Merchant Payment",IF(ISNUMBER(SEARCH("Customer Payment to Small",C373)),"Merchant Payment",IF(ISNUMBER(SEARCH("Payment to Small Business",C373)),"Merchant Payment",IF(ISNUMBER(SEARCH("Sent to",C373)),"Sent to Person",IF(ISNUMBER(SEARCH("Customer Transfer to",C373)),"Sent to Person",IF(ISNUMBER(SEARCH("Business Payment",C373)),"Money In",IF(ISNUMBER(SEARCH("Funds Received",C373)),"Money In",IF(ISNUMBER(SEARCH("Receive International",C373)),"Money In",IF(ISNUMBER(SEARCH("Send Money Reversal",C373)),"Money In",IF(ISNUMBER(SEARCH("Pay Utility Reversal",C373)),"Money In",IF(ISNUMBER(SEARCH("Customer Transfer",C373)),"Money In",IF(ISNUMBER(SEARCH("Ziidi",C373)),"Investment",IF(ISNUMBER(SEARCH("Nabo",C373)),"Investment",IF(ISNUMBER(SEARCH("Paybill Online",C373)),"Pay Bill",IF(ISNUMBER(SEARCH("Pay Bill",C373)),"Pay Bill",IF(ISNUMBER(SEARCH("Spotify",C373)),"Pay Bill",IF(ISNUMBER(SEARCH("M-Shwari",C373)),"Mshwari",IF(ISNUMBER(SEARCH("Mshwari",C373)),"Mshwari",IF(ISNUMBER(SEARCH("Withdrawal charge",C373)),"Fees",IF(ISNUMBER(SEARCH("Customer Withdrawal",C373)),"Fees",IF(ISNUMBER(SEARCH("charge",C373)),"Fees","Other")))))))))))))))))))))))))</f>
        <v>Mshwari</v>
      </c>
      <c r="R373" s="1" t="str">
        <f aca="false">TEXT(B373,"MMM YYYY")</f>
        <v>Feb 2026</v>
      </c>
    </row>
    <row r="374" customFormat="false" ht="13.8" hidden="false" customHeight="false" outlineLevel="0" collapsed="false">
      <c r="A374" s="4" t="s">
        <v>801</v>
      </c>
      <c r="B374" s="4" t="s">
        <v>802</v>
      </c>
      <c r="C374" s="4" t="s">
        <v>17</v>
      </c>
      <c r="D374" s="4" t="s">
        <v>18</v>
      </c>
      <c r="E374" s="4"/>
      <c r="F374" s="4" t="n">
        <v>20</v>
      </c>
      <c r="G374" s="4" t="n">
        <v>560</v>
      </c>
      <c r="L374" s="1" t="str">
        <f aca="false">IF(ISNUMBER(SEARCH("Bundle",C374)),"Bundles",IF(ISNUMBER(SEARCH("Airtime",C374)),"Bundles",IF(ISNUMBER(SEARCH("Merchant",C374)),"Merchant Payment",IF(ISNUMBER(SEARCH("Offnet C2B",C374)),"Merchant Payment",IF(ISNUMBER(SEARCH("Offnet B2C",C374)),"Merchant Payment",IF(ISNUMBER(SEARCH("Customer Payment to Small",C374)),"Merchant Payment",IF(ISNUMBER(SEARCH("Payment to Small Business",C374)),"Merchant Payment",IF(ISNUMBER(SEARCH("Sent to",C374)),"Sent to Person",IF(ISNUMBER(SEARCH("Customer Transfer to",C374)),"Sent to Person",IF(ISNUMBER(SEARCH("Business Payment",C374)),"Money In",IF(ISNUMBER(SEARCH("Funds Received",C374)),"Money In",IF(ISNUMBER(SEARCH("Receive International",C374)),"Money In",IF(ISNUMBER(SEARCH("Send Money Reversal",C374)),"Money In",IF(ISNUMBER(SEARCH("Pay Utility Reversal",C374)),"Money In",IF(ISNUMBER(SEARCH("Customer Transfer",C374)),"Money In",IF(ISNUMBER(SEARCH("Ziidi",C374)),"Investment",IF(ISNUMBER(SEARCH("Nabo",C374)),"Investment",IF(ISNUMBER(SEARCH("Paybill Online",C374)),"Pay Bill",IF(ISNUMBER(SEARCH("Pay Bill",C374)),"Pay Bill",IF(ISNUMBER(SEARCH("Spotify",C374)),"Pay Bill",IF(ISNUMBER(SEARCH("M-Shwari",C374)),"Mshwari",IF(ISNUMBER(SEARCH("Mshwari",C374)),"Mshwari",IF(ISNUMBER(SEARCH("Withdrawal charge",C374)),"Fees",IF(ISNUMBER(SEARCH("Customer Withdrawal",C374)),"Fees",IF(ISNUMBER(SEARCH("charge",C374)),"Fees","Other")))))))))))))))))))))))))</f>
        <v>Bundles</v>
      </c>
      <c r="R374" s="1" t="str">
        <f aca="false">TEXT(B374,"MMM YYYY")</f>
        <v>Feb 2026</v>
      </c>
    </row>
    <row r="375" customFormat="false" ht="13.8" hidden="false" customHeight="false" outlineLevel="0" collapsed="false">
      <c r="A375" s="4" t="s">
        <v>803</v>
      </c>
      <c r="B375" s="4" t="s">
        <v>804</v>
      </c>
      <c r="C375" s="4" t="s">
        <v>635</v>
      </c>
      <c r="D375" s="4" t="s">
        <v>18</v>
      </c>
      <c r="E375" s="4"/>
      <c r="F375" s="4" t="n">
        <v>40</v>
      </c>
      <c r="G375" s="4" t="n">
        <v>520</v>
      </c>
      <c r="L375" s="1" t="str">
        <f aca="false">IF(ISNUMBER(SEARCH("Bundle",C375)),"Bundles",IF(ISNUMBER(SEARCH("Airtime",C375)),"Bundles",IF(ISNUMBER(SEARCH("Merchant",C375)),"Merchant Payment",IF(ISNUMBER(SEARCH("Offnet C2B",C375)),"Merchant Payment",IF(ISNUMBER(SEARCH("Offnet B2C",C375)),"Merchant Payment",IF(ISNUMBER(SEARCH("Customer Payment to Small",C375)),"Merchant Payment",IF(ISNUMBER(SEARCH("Payment to Small Business",C375)),"Merchant Payment",IF(ISNUMBER(SEARCH("Sent to",C375)),"Sent to Person",IF(ISNUMBER(SEARCH("Customer Transfer to",C375)),"Sent to Person",IF(ISNUMBER(SEARCH("Business Payment",C375)),"Money In",IF(ISNUMBER(SEARCH("Funds Received",C375)),"Money In",IF(ISNUMBER(SEARCH("Receive International",C375)),"Money In",IF(ISNUMBER(SEARCH("Send Money Reversal",C375)),"Money In",IF(ISNUMBER(SEARCH("Pay Utility Reversal",C375)),"Money In",IF(ISNUMBER(SEARCH("Customer Transfer",C375)),"Money In",IF(ISNUMBER(SEARCH("Ziidi",C375)),"Investment",IF(ISNUMBER(SEARCH("Nabo",C375)),"Investment",IF(ISNUMBER(SEARCH("Paybill Online",C375)),"Pay Bill",IF(ISNUMBER(SEARCH("Pay Bill",C375)),"Pay Bill",IF(ISNUMBER(SEARCH("Spotify",C375)),"Pay Bill",IF(ISNUMBER(SEARCH("M-Shwari",C375)),"Mshwari",IF(ISNUMBER(SEARCH("Mshwari",C375)),"Mshwari",IF(ISNUMBER(SEARCH("Withdrawal charge",C375)),"Fees",IF(ISNUMBER(SEARCH("Customer Withdrawal",C375)),"Fees",IF(ISNUMBER(SEARCH("charge",C375)),"Fees","Other")))))))))))))))))))))))))</f>
        <v>Merchant Payment</v>
      </c>
      <c r="R375" s="1" t="str">
        <f aca="false">TEXT(B375,"MMM YYYY")</f>
        <v>Mar 2026</v>
      </c>
    </row>
    <row r="376" customFormat="false" ht="13.8" hidden="false" customHeight="false" outlineLevel="0" collapsed="false">
      <c r="A376" s="4" t="s">
        <v>805</v>
      </c>
      <c r="B376" s="4" t="s">
        <v>806</v>
      </c>
      <c r="C376" s="4" t="s">
        <v>17</v>
      </c>
      <c r="D376" s="4" t="s">
        <v>18</v>
      </c>
      <c r="E376" s="4"/>
      <c r="F376" s="4" t="n">
        <v>20</v>
      </c>
      <c r="G376" s="4" t="n">
        <v>500</v>
      </c>
      <c r="L376" s="1" t="str">
        <f aca="false">IF(ISNUMBER(SEARCH("Bundle",C376)),"Bundles",IF(ISNUMBER(SEARCH("Airtime",C376)),"Bundles",IF(ISNUMBER(SEARCH("Merchant",C376)),"Merchant Payment",IF(ISNUMBER(SEARCH("Offnet C2B",C376)),"Merchant Payment",IF(ISNUMBER(SEARCH("Offnet B2C",C376)),"Merchant Payment",IF(ISNUMBER(SEARCH("Customer Payment to Small",C376)),"Merchant Payment",IF(ISNUMBER(SEARCH("Payment to Small Business",C376)),"Merchant Payment",IF(ISNUMBER(SEARCH("Sent to",C376)),"Sent to Person",IF(ISNUMBER(SEARCH("Customer Transfer to",C376)),"Sent to Person",IF(ISNUMBER(SEARCH("Business Payment",C376)),"Money In",IF(ISNUMBER(SEARCH("Funds Received",C376)),"Money In",IF(ISNUMBER(SEARCH("Receive International",C376)),"Money In",IF(ISNUMBER(SEARCH("Send Money Reversal",C376)),"Money In",IF(ISNUMBER(SEARCH("Pay Utility Reversal",C376)),"Money In",IF(ISNUMBER(SEARCH("Customer Transfer",C376)),"Money In",IF(ISNUMBER(SEARCH("Ziidi",C376)),"Investment",IF(ISNUMBER(SEARCH("Nabo",C376)),"Investment",IF(ISNUMBER(SEARCH("Paybill Online",C376)),"Pay Bill",IF(ISNUMBER(SEARCH("Pay Bill",C376)),"Pay Bill",IF(ISNUMBER(SEARCH("Spotify",C376)),"Pay Bill",IF(ISNUMBER(SEARCH("M-Shwari",C376)),"Mshwari",IF(ISNUMBER(SEARCH("Mshwari",C376)),"Mshwari",IF(ISNUMBER(SEARCH("Withdrawal charge",C376)),"Fees",IF(ISNUMBER(SEARCH("Customer Withdrawal",C376)),"Fees",IF(ISNUMBER(SEARCH("charge",C376)),"Fees","Other")))))))))))))))))))))))))</f>
        <v>Bundles</v>
      </c>
      <c r="R376" s="1" t="str">
        <f aca="false">TEXT(B376,"MMM YYYY")</f>
        <v>Mar 2026</v>
      </c>
    </row>
    <row r="377" customFormat="false" ht="13.8" hidden="false" customHeight="false" outlineLevel="0" collapsed="false">
      <c r="A377" s="4" t="s">
        <v>807</v>
      </c>
      <c r="B377" s="4" t="s">
        <v>808</v>
      </c>
      <c r="C377" s="4" t="s">
        <v>17</v>
      </c>
      <c r="D377" s="4" t="s">
        <v>18</v>
      </c>
      <c r="E377" s="4"/>
      <c r="F377" s="4" t="n">
        <v>20</v>
      </c>
      <c r="G377" s="4" t="n">
        <v>480</v>
      </c>
      <c r="L377" s="1" t="str">
        <f aca="false">IF(ISNUMBER(SEARCH("Bundle",C377)),"Bundles",IF(ISNUMBER(SEARCH("Airtime",C377)),"Bundles",IF(ISNUMBER(SEARCH("Merchant",C377)),"Merchant Payment",IF(ISNUMBER(SEARCH("Offnet C2B",C377)),"Merchant Payment",IF(ISNUMBER(SEARCH("Offnet B2C",C377)),"Merchant Payment",IF(ISNUMBER(SEARCH("Customer Payment to Small",C377)),"Merchant Payment",IF(ISNUMBER(SEARCH("Payment to Small Business",C377)),"Merchant Payment",IF(ISNUMBER(SEARCH("Sent to",C377)),"Sent to Person",IF(ISNUMBER(SEARCH("Customer Transfer to",C377)),"Sent to Person",IF(ISNUMBER(SEARCH("Business Payment",C377)),"Money In",IF(ISNUMBER(SEARCH("Funds Received",C377)),"Money In",IF(ISNUMBER(SEARCH("Receive International",C377)),"Money In",IF(ISNUMBER(SEARCH("Send Money Reversal",C377)),"Money In",IF(ISNUMBER(SEARCH("Pay Utility Reversal",C377)),"Money In",IF(ISNUMBER(SEARCH("Customer Transfer",C377)),"Money In",IF(ISNUMBER(SEARCH("Ziidi",C377)),"Investment",IF(ISNUMBER(SEARCH("Nabo",C377)),"Investment",IF(ISNUMBER(SEARCH("Paybill Online",C377)),"Pay Bill",IF(ISNUMBER(SEARCH("Pay Bill",C377)),"Pay Bill",IF(ISNUMBER(SEARCH("Spotify",C377)),"Pay Bill",IF(ISNUMBER(SEARCH("M-Shwari",C377)),"Mshwari",IF(ISNUMBER(SEARCH("Mshwari",C377)),"Mshwari",IF(ISNUMBER(SEARCH("Withdrawal charge",C377)),"Fees",IF(ISNUMBER(SEARCH("Customer Withdrawal",C377)),"Fees",IF(ISNUMBER(SEARCH("charge",C377)),"Fees","Other")))))))))))))))))))))))))</f>
        <v>Bundles</v>
      </c>
      <c r="R377" s="1" t="str">
        <f aca="false">TEXT(B377,"MMM YYYY")</f>
        <v>Mar 2026</v>
      </c>
    </row>
    <row r="378" customFormat="false" ht="13.8" hidden="false" customHeight="false" outlineLevel="0" collapsed="false">
      <c r="A378" s="4" t="s">
        <v>809</v>
      </c>
      <c r="B378" s="4" t="s">
        <v>810</v>
      </c>
      <c r="C378" s="4" t="s">
        <v>29</v>
      </c>
      <c r="D378" s="4" t="s">
        <v>18</v>
      </c>
      <c r="E378" s="4"/>
      <c r="F378" s="4" t="n">
        <v>20</v>
      </c>
      <c r="G378" s="4" t="n">
        <v>460</v>
      </c>
      <c r="L378" s="1" t="str">
        <f aca="false">IF(ISNUMBER(SEARCH("Bundle",C378)),"Bundles",IF(ISNUMBER(SEARCH("Airtime",C378)),"Bundles",IF(ISNUMBER(SEARCH("Merchant",C378)),"Merchant Payment",IF(ISNUMBER(SEARCH("Offnet C2B",C378)),"Merchant Payment",IF(ISNUMBER(SEARCH("Offnet B2C",C378)),"Merchant Payment",IF(ISNUMBER(SEARCH("Customer Payment to Small",C378)),"Merchant Payment",IF(ISNUMBER(SEARCH("Payment to Small Business",C378)),"Merchant Payment",IF(ISNUMBER(SEARCH("Sent to",C378)),"Sent to Person",IF(ISNUMBER(SEARCH("Customer Transfer to",C378)),"Sent to Person",IF(ISNUMBER(SEARCH("Business Payment",C378)),"Money In",IF(ISNUMBER(SEARCH("Funds Received",C378)),"Money In",IF(ISNUMBER(SEARCH("Receive International",C378)),"Money In",IF(ISNUMBER(SEARCH("Send Money Reversal",C378)),"Money In",IF(ISNUMBER(SEARCH("Pay Utility Reversal",C378)),"Money In",IF(ISNUMBER(SEARCH("Customer Transfer",C378)),"Money In",IF(ISNUMBER(SEARCH("Ziidi",C378)),"Investment",IF(ISNUMBER(SEARCH("Nabo",C378)),"Investment",IF(ISNUMBER(SEARCH("Paybill Online",C378)),"Pay Bill",IF(ISNUMBER(SEARCH("Pay Bill",C378)),"Pay Bill",IF(ISNUMBER(SEARCH("Spotify",C378)),"Pay Bill",IF(ISNUMBER(SEARCH("M-Shwari",C378)),"Mshwari",IF(ISNUMBER(SEARCH("Mshwari",C378)),"Mshwari",IF(ISNUMBER(SEARCH("Withdrawal charge",C378)),"Fees",IF(ISNUMBER(SEARCH("Customer Withdrawal",C378)),"Fees",IF(ISNUMBER(SEARCH("charge",C378)),"Fees","Other")))))))))))))))))))))))))</f>
        <v>Bundles</v>
      </c>
      <c r="R378" s="1" t="str">
        <f aca="false">TEXT(B378,"MMM YYYY")</f>
        <v>Mar 2026</v>
      </c>
    </row>
    <row r="379" customFormat="false" ht="13.8" hidden="false" customHeight="false" outlineLevel="0" collapsed="false">
      <c r="A379" s="4" t="s">
        <v>811</v>
      </c>
      <c r="B379" s="4" t="s">
        <v>812</v>
      </c>
      <c r="C379" s="4" t="s">
        <v>182</v>
      </c>
      <c r="D379" s="4" t="s">
        <v>18</v>
      </c>
      <c r="E379" s="4"/>
      <c r="F379" s="4" t="n">
        <v>5</v>
      </c>
      <c r="G379" s="4" t="n">
        <v>226</v>
      </c>
      <c r="L379" s="1" t="str">
        <f aca="false">IF(ISNUMBER(SEARCH("Bundle",C379)),"Bundles",IF(ISNUMBER(SEARCH("Airtime",C379)),"Bundles",IF(ISNUMBER(SEARCH("Merchant",C379)),"Merchant Payment",IF(ISNUMBER(SEARCH("Offnet C2B",C379)),"Merchant Payment",IF(ISNUMBER(SEARCH("Offnet B2C",C379)),"Merchant Payment",IF(ISNUMBER(SEARCH("Customer Payment to Small",C379)),"Merchant Payment",IF(ISNUMBER(SEARCH("Payment to Small Business",C379)),"Merchant Payment",IF(ISNUMBER(SEARCH("Sent to",C379)),"Sent to Person",IF(ISNUMBER(SEARCH("Customer Transfer to",C379)),"Sent to Person",IF(ISNUMBER(SEARCH("Business Payment",C379)),"Money In",IF(ISNUMBER(SEARCH("Funds Received",C379)),"Money In",IF(ISNUMBER(SEARCH("Receive International",C379)),"Money In",IF(ISNUMBER(SEARCH("Send Money Reversal",C379)),"Money In",IF(ISNUMBER(SEARCH("Pay Utility Reversal",C379)),"Money In",IF(ISNUMBER(SEARCH("Customer Transfer",C379)),"Money In",IF(ISNUMBER(SEARCH("Ziidi",C379)),"Investment",IF(ISNUMBER(SEARCH("Nabo",C379)),"Investment",IF(ISNUMBER(SEARCH("Paybill Online",C379)),"Pay Bill",IF(ISNUMBER(SEARCH("Pay Bill",C379)),"Pay Bill",IF(ISNUMBER(SEARCH("Spotify",C379)),"Pay Bill",IF(ISNUMBER(SEARCH("M-Shwari",C379)),"Mshwari",IF(ISNUMBER(SEARCH("Mshwari",C379)),"Mshwari",IF(ISNUMBER(SEARCH("Withdrawal charge",C379)),"Fees",IF(ISNUMBER(SEARCH("Customer Withdrawal",C379)),"Fees",IF(ISNUMBER(SEARCH("charge",C379)),"Fees","Other")))))))))))))))))))))))))</f>
        <v>Pay Bill</v>
      </c>
      <c r="R379" s="1" t="str">
        <f aca="false">TEXT(B379,"MMM YYYY")</f>
        <v>Mar 2026</v>
      </c>
    </row>
    <row r="380" customFormat="false" ht="13.8" hidden="false" customHeight="false" outlineLevel="0" collapsed="false">
      <c r="A380" s="4" t="s">
        <v>811</v>
      </c>
      <c r="B380" s="4" t="s">
        <v>812</v>
      </c>
      <c r="C380" s="4" t="s">
        <v>813</v>
      </c>
      <c r="D380" s="4" t="s">
        <v>18</v>
      </c>
      <c r="E380" s="4"/>
      <c r="F380" s="4" t="n">
        <v>229</v>
      </c>
      <c r="G380" s="4" t="n">
        <v>231</v>
      </c>
      <c r="L380" s="1" t="str">
        <f aca="false">IF(ISNUMBER(SEARCH("Bundle",C380)),"Bundles",IF(ISNUMBER(SEARCH("Airtime",C380)),"Bundles",IF(ISNUMBER(SEARCH("Merchant",C380)),"Merchant Payment",IF(ISNUMBER(SEARCH("Offnet C2B",C380)),"Merchant Payment",IF(ISNUMBER(SEARCH("Offnet B2C",C380)),"Merchant Payment",IF(ISNUMBER(SEARCH("Customer Payment to Small",C380)),"Merchant Payment",IF(ISNUMBER(SEARCH("Payment to Small Business",C380)),"Merchant Payment",IF(ISNUMBER(SEARCH("Sent to",C380)),"Sent to Person",IF(ISNUMBER(SEARCH("Customer Transfer to",C380)),"Sent to Person",IF(ISNUMBER(SEARCH("Business Payment",C380)),"Money In",IF(ISNUMBER(SEARCH("Funds Received",C380)),"Money In",IF(ISNUMBER(SEARCH("Receive International",C380)),"Money In",IF(ISNUMBER(SEARCH("Send Money Reversal",C380)),"Money In",IF(ISNUMBER(SEARCH("Pay Utility Reversal",C380)),"Money In",IF(ISNUMBER(SEARCH("Customer Transfer",C380)),"Money In",IF(ISNUMBER(SEARCH("Ziidi",C380)),"Investment",IF(ISNUMBER(SEARCH("Nabo",C380)),"Investment",IF(ISNUMBER(SEARCH("Paybill Online",C380)),"Pay Bill",IF(ISNUMBER(SEARCH("Pay Bill",C380)),"Pay Bill",IF(ISNUMBER(SEARCH("Spotify",C380)),"Pay Bill",IF(ISNUMBER(SEARCH("M-Shwari",C380)),"Mshwari",IF(ISNUMBER(SEARCH("Mshwari",C380)),"Mshwari",IF(ISNUMBER(SEARCH("Withdrawal charge",C380)),"Fees",IF(ISNUMBER(SEARCH("Customer Withdrawal",C380)),"Fees",IF(ISNUMBER(SEARCH("charge",C380)),"Fees","Other")))))))))))))))))))))))))</f>
        <v>Pay Bill</v>
      </c>
      <c r="R380" s="1" t="str">
        <f aca="false">TEXT(B380,"MMM YYYY")</f>
        <v>Mar 2026</v>
      </c>
    </row>
    <row r="381" customFormat="false" ht="13.8" hidden="false" customHeight="false" outlineLevel="0" collapsed="false">
      <c r="A381" s="4" t="s">
        <v>814</v>
      </c>
      <c r="B381" s="4" t="s">
        <v>815</v>
      </c>
      <c r="C381" s="4" t="s">
        <v>29</v>
      </c>
      <c r="D381" s="4" t="s">
        <v>18</v>
      </c>
      <c r="E381" s="4"/>
      <c r="F381" s="4" t="n">
        <v>10</v>
      </c>
      <c r="G381" s="4" t="n">
        <v>216</v>
      </c>
      <c r="L381" s="1" t="str">
        <f aca="false">IF(ISNUMBER(SEARCH("Bundle",C381)),"Bundles",IF(ISNUMBER(SEARCH("Airtime",C381)),"Bundles",IF(ISNUMBER(SEARCH("Merchant",C381)),"Merchant Payment",IF(ISNUMBER(SEARCH("Offnet C2B",C381)),"Merchant Payment",IF(ISNUMBER(SEARCH("Offnet B2C",C381)),"Merchant Payment",IF(ISNUMBER(SEARCH("Customer Payment to Small",C381)),"Merchant Payment",IF(ISNUMBER(SEARCH("Payment to Small Business",C381)),"Merchant Payment",IF(ISNUMBER(SEARCH("Sent to",C381)),"Sent to Person",IF(ISNUMBER(SEARCH("Customer Transfer to",C381)),"Sent to Person",IF(ISNUMBER(SEARCH("Business Payment",C381)),"Money In",IF(ISNUMBER(SEARCH("Funds Received",C381)),"Money In",IF(ISNUMBER(SEARCH("Receive International",C381)),"Money In",IF(ISNUMBER(SEARCH("Send Money Reversal",C381)),"Money In",IF(ISNUMBER(SEARCH("Pay Utility Reversal",C381)),"Money In",IF(ISNUMBER(SEARCH("Customer Transfer",C381)),"Money In",IF(ISNUMBER(SEARCH("Ziidi",C381)),"Investment",IF(ISNUMBER(SEARCH("Nabo",C381)),"Investment",IF(ISNUMBER(SEARCH("Paybill Online",C381)),"Pay Bill",IF(ISNUMBER(SEARCH("Pay Bill",C381)),"Pay Bill",IF(ISNUMBER(SEARCH("Spotify",C381)),"Pay Bill",IF(ISNUMBER(SEARCH("M-Shwari",C381)),"Mshwari",IF(ISNUMBER(SEARCH("Mshwari",C381)),"Mshwari",IF(ISNUMBER(SEARCH("Withdrawal charge",C381)),"Fees",IF(ISNUMBER(SEARCH("Customer Withdrawal",C381)),"Fees",IF(ISNUMBER(SEARCH("charge",C381)),"Fees","Other")))))))))))))))))))))))))</f>
        <v>Bundles</v>
      </c>
      <c r="R381" s="1" t="str">
        <f aca="false">TEXT(B381,"MMM YYYY")</f>
        <v>Mar 2026</v>
      </c>
    </row>
    <row r="382" customFormat="false" ht="13.8" hidden="false" customHeight="false" outlineLevel="0" collapsed="false">
      <c r="A382" s="4" t="s">
        <v>816</v>
      </c>
      <c r="B382" s="4" t="s">
        <v>817</v>
      </c>
      <c r="C382" s="4" t="s">
        <v>818</v>
      </c>
      <c r="D382" s="4" t="s">
        <v>18</v>
      </c>
      <c r="E382" s="4"/>
      <c r="F382" s="4" t="n">
        <v>60</v>
      </c>
      <c r="G382" s="4" t="n">
        <v>156</v>
      </c>
      <c r="L382" s="1" t="str">
        <f aca="false">IF(ISNUMBER(SEARCH("Bundle",C382)),"Bundles",IF(ISNUMBER(SEARCH("Airtime",C382)),"Bundles",IF(ISNUMBER(SEARCH("Merchant",C382)),"Merchant Payment",IF(ISNUMBER(SEARCH("Offnet C2B",C382)),"Merchant Payment",IF(ISNUMBER(SEARCH("Offnet B2C",C382)),"Merchant Payment",IF(ISNUMBER(SEARCH("Customer Payment to Small",C382)),"Merchant Payment",IF(ISNUMBER(SEARCH("Payment to Small Business",C382)),"Merchant Payment",IF(ISNUMBER(SEARCH("Sent to",C382)),"Sent to Person",IF(ISNUMBER(SEARCH("Customer Transfer to",C382)),"Sent to Person",IF(ISNUMBER(SEARCH("Business Payment",C382)),"Money In",IF(ISNUMBER(SEARCH("Funds Received",C382)),"Money In",IF(ISNUMBER(SEARCH("Receive International",C382)),"Money In",IF(ISNUMBER(SEARCH("Send Money Reversal",C382)),"Money In",IF(ISNUMBER(SEARCH("Pay Utility Reversal",C382)),"Money In",IF(ISNUMBER(SEARCH("Customer Transfer",C382)),"Money In",IF(ISNUMBER(SEARCH("Ziidi",C382)),"Investment",IF(ISNUMBER(SEARCH("Nabo",C382)),"Investment",IF(ISNUMBER(SEARCH("Paybill Online",C382)),"Pay Bill",IF(ISNUMBER(SEARCH("Pay Bill",C382)),"Pay Bill",IF(ISNUMBER(SEARCH("Spotify",C382)),"Pay Bill",IF(ISNUMBER(SEARCH("M-Shwari",C382)),"Mshwari",IF(ISNUMBER(SEARCH("Mshwari",C382)),"Mshwari",IF(ISNUMBER(SEARCH("Withdrawal charge",C382)),"Fees",IF(ISNUMBER(SEARCH("Customer Withdrawal",C382)),"Fees",IF(ISNUMBER(SEARCH("charge",C382)),"Fees","Other")))))))))))))))))))))))))</f>
        <v>Merchant Payment</v>
      </c>
      <c r="R382" s="1" t="str">
        <f aca="false">TEXT(B382,"MMM YYYY")</f>
        <v>Mar 2026</v>
      </c>
    </row>
    <row r="383" customFormat="false" ht="13.8" hidden="false" customHeight="false" outlineLevel="0" collapsed="false">
      <c r="A383" s="4" t="s">
        <v>819</v>
      </c>
      <c r="B383" s="4" t="s">
        <v>820</v>
      </c>
      <c r="C383" s="4" t="s">
        <v>17</v>
      </c>
      <c r="D383" s="4" t="s">
        <v>18</v>
      </c>
      <c r="E383" s="4"/>
      <c r="F383" s="4" t="n">
        <v>20</v>
      </c>
      <c r="G383" s="4" t="n">
        <v>136</v>
      </c>
      <c r="L383" s="1" t="str">
        <f aca="false">IF(ISNUMBER(SEARCH("Bundle",C383)),"Bundles",IF(ISNUMBER(SEARCH("Airtime",C383)),"Bundles",IF(ISNUMBER(SEARCH("Merchant",C383)),"Merchant Payment",IF(ISNUMBER(SEARCH("Offnet C2B",C383)),"Merchant Payment",IF(ISNUMBER(SEARCH("Offnet B2C",C383)),"Merchant Payment",IF(ISNUMBER(SEARCH("Customer Payment to Small",C383)),"Merchant Payment",IF(ISNUMBER(SEARCH("Payment to Small Business",C383)),"Merchant Payment",IF(ISNUMBER(SEARCH("Sent to",C383)),"Sent to Person",IF(ISNUMBER(SEARCH("Customer Transfer to",C383)),"Sent to Person",IF(ISNUMBER(SEARCH("Business Payment",C383)),"Money In",IF(ISNUMBER(SEARCH("Funds Received",C383)),"Money In",IF(ISNUMBER(SEARCH("Receive International",C383)),"Money In",IF(ISNUMBER(SEARCH("Send Money Reversal",C383)),"Money In",IF(ISNUMBER(SEARCH("Pay Utility Reversal",C383)),"Money In",IF(ISNUMBER(SEARCH("Customer Transfer",C383)),"Money In",IF(ISNUMBER(SEARCH("Ziidi",C383)),"Investment",IF(ISNUMBER(SEARCH("Nabo",C383)),"Investment",IF(ISNUMBER(SEARCH("Paybill Online",C383)),"Pay Bill",IF(ISNUMBER(SEARCH("Pay Bill",C383)),"Pay Bill",IF(ISNUMBER(SEARCH("Spotify",C383)),"Pay Bill",IF(ISNUMBER(SEARCH("M-Shwari",C383)),"Mshwari",IF(ISNUMBER(SEARCH("Mshwari",C383)),"Mshwari",IF(ISNUMBER(SEARCH("Withdrawal charge",C383)),"Fees",IF(ISNUMBER(SEARCH("Customer Withdrawal",C383)),"Fees",IF(ISNUMBER(SEARCH("charge",C383)),"Fees","Other")))))))))))))))))))))))))</f>
        <v>Bundles</v>
      </c>
      <c r="R383" s="1" t="str">
        <f aca="false">TEXT(B383,"MMM YYYY")</f>
        <v>Mar 2026</v>
      </c>
    </row>
    <row r="384" customFormat="false" ht="13.8" hidden="false" customHeight="false" outlineLevel="0" collapsed="false">
      <c r="A384" s="4" t="s">
        <v>821</v>
      </c>
      <c r="B384" s="4" t="s">
        <v>822</v>
      </c>
      <c r="C384" s="4" t="s">
        <v>192</v>
      </c>
      <c r="D384" s="4" t="s">
        <v>18</v>
      </c>
      <c r="E384" s="4" t="n">
        <v>500</v>
      </c>
      <c r="F384" s="4"/>
      <c r="G384" s="4" t="n">
        <v>636</v>
      </c>
      <c r="L384" s="1" t="str">
        <f aca="false">IF(ISNUMBER(SEARCH("Bundle",C384)),"Bundles",IF(ISNUMBER(SEARCH("Airtime",C384)),"Bundles",IF(ISNUMBER(SEARCH("Merchant",C384)),"Merchant Payment",IF(ISNUMBER(SEARCH("Offnet C2B",C384)),"Merchant Payment",IF(ISNUMBER(SEARCH("Offnet B2C",C384)),"Merchant Payment",IF(ISNUMBER(SEARCH("Customer Payment to Small",C384)),"Merchant Payment",IF(ISNUMBER(SEARCH("Payment to Small Business",C384)),"Merchant Payment",IF(ISNUMBER(SEARCH("Sent to",C384)),"Sent to Person",IF(ISNUMBER(SEARCH("Customer Transfer to",C384)),"Sent to Person",IF(ISNUMBER(SEARCH("Business Payment",C384)),"Money In",IF(ISNUMBER(SEARCH("Funds Received",C384)),"Money In",IF(ISNUMBER(SEARCH("Receive International",C384)),"Money In",IF(ISNUMBER(SEARCH("Send Money Reversal",C384)),"Money In",IF(ISNUMBER(SEARCH("Pay Utility Reversal",C384)),"Money In",IF(ISNUMBER(SEARCH("Customer Transfer",C384)),"Money In",IF(ISNUMBER(SEARCH("Ziidi",C384)),"Investment",IF(ISNUMBER(SEARCH("Nabo",C384)),"Investment",IF(ISNUMBER(SEARCH("Paybill Online",C384)),"Pay Bill",IF(ISNUMBER(SEARCH("Pay Bill",C384)),"Pay Bill",IF(ISNUMBER(SEARCH("Spotify",C384)),"Pay Bill",IF(ISNUMBER(SEARCH("M-Shwari",C384)),"Mshwari",IF(ISNUMBER(SEARCH("Mshwari",C384)),"Mshwari",IF(ISNUMBER(SEARCH("Withdrawal charge",C384)),"Fees",IF(ISNUMBER(SEARCH("Customer Withdrawal",C384)),"Fees",IF(ISNUMBER(SEARCH("charge",C384)),"Fees","Other")))))))))))))))))))))))))</f>
        <v>Mshwari</v>
      </c>
      <c r="R384" s="1" t="str">
        <f aca="false">TEXT(B384,"MMM YYYY")</f>
        <v>Mar 2026</v>
      </c>
    </row>
    <row r="385" customFormat="false" ht="13.8" hidden="false" customHeight="false" outlineLevel="0" collapsed="false">
      <c r="A385" s="4" t="s">
        <v>823</v>
      </c>
      <c r="B385" s="4" t="s">
        <v>824</v>
      </c>
      <c r="C385" s="4" t="s">
        <v>29</v>
      </c>
      <c r="D385" s="4" t="s">
        <v>18</v>
      </c>
      <c r="E385" s="4"/>
      <c r="F385" s="4" t="n">
        <v>10</v>
      </c>
      <c r="G385" s="4" t="n">
        <v>626</v>
      </c>
      <c r="L385" s="1" t="str">
        <f aca="false">IF(ISNUMBER(SEARCH("Bundle",C385)),"Bundles",IF(ISNUMBER(SEARCH("Airtime",C385)),"Bundles",IF(ISNUMBER(SEARCH("Merchant",C385)),"Merchant Payment",IF(ISNUMBER(SEARCH("Offnet C2B",C385)),"Merchant Payment",IF(ISNUMBER(SEARCH("Offnet B2C",C385)),"Merchant Payment",IF(ISNUMBER(SEARCH("Customer Payment to Small",C385)),"Merchant Payment",IF(ISNUMBER(SEARCH("Payment to Small Business",C385)),"Merchant Payment",IF(ISNUMBER(SEARCH("Sent to",C385)),"Sent to Person",IF(ISNUMBER(SEARCH("Customer Transfer to",C385)),"Sent to Person",IF(ISNUMBER(SEARCH("Business Payment",C385)),"Money In",IF(ISNUMBER(SEARCH("Funds Received",C385)),"Money In",IF(ISNUMBER(SEARCH("Receive International",C385)),"Money In",IF(ISNUMBER(SEARCH("Send Money Reversal",C385)),"Money In",IF(ISNUMBER(SEARCH("Pay Utility Reversal",C385)),"Money In",IF(ISNUMBER(SEARCH("Customer Transfer",C385)),"Money In",IF(ISNUMBER(SEARCH("Ziidi",C385)),"Investment",IF(ISNUMBER(SEARCH("Nabo",C385)),"Investment",IF(ISNUMBER(SEARCH("Paybill Online",C385)),"Pay Bill",IF(ISNUMBER(SEARCH("Pay Bill",C385)),"Pay Bill",IF(ISNUMBER(SEARCH("Spotify",C385)),"Pay Bill",IF(ISNUMBER(SEARCH("M-Shwari",C385)),"Mshwari",IF(ISNUMBER(SEARCH("Mshwari",C385)),"Mshwari",IF(ISNUMBER(SEARCH("Withdrawal charge",C385)),"Fees",IF(ISNUMBER(SEARCH("Customer Withdrawal",C385)),"Fees",IF(ISNUMBER(SEARCH("charge",C385)),"Fees","Other")))))))))))))))))))))))))</f>
        <v>Bundles</v>
      </c>
      <c r="R385" s="1" t="str">
        <f aca="false">TEXT(B385,"MMM YYYY")</f>
        <v>Mar 2026</v>
      </c>
    </row>
    <row r="386" customFormat="false" ht="13.8" hidden="false" customHeight="false" outlineLevel="0" collapsed="false">
      <c r="A386" s="4" t="s">
        <v>825</v>
      </c>
      <c r="B386" s="4" t="s">
        <v>826</v>
      </c>
      <c r="C386" s="4" t="s">
        <v>756</v>
      </c>
      <c r="D386" s="4" t="s">
        <v>18</v>
      </c>
      <c r="E386" s="4"/>
      <c r="F386" s="4" t="n">
        <v>100</v>
      </c>
      <c r="G386" s="4" t="n">
        <v>526</v>
      </c>
      <c r="L386" s="1" t="str">
        <f aca="false">IF(ISNUMBER(SEARCH("Bundle",C386)),"Bundles",IF(ISNUMBER(SEARCH("Airtime",C386)),"Bundles",IF(ISNUMBER(SEARCH("Merchant",C386)),"Merchant Payment",IF(ISNUMBER(SEARCH("Offnet C2B",C386)),"Merchant Payment",IF(ISNUMBER(SEARCH("Offnet B2C",C386)),"Merchant Payment",IF(ISNUMBER(SEARCH("Customer Payment to Small",C386)),"Merchant Payment",IF(ISNUMBER(SEARCH("Payment to Small Business",C386)),"Merchant Payment",IF(ISNUMBER(SEARCH("Sent to",C386)),"Sent to Person",IF(ISNUMBER(SEARCH("Customer Transfer to",C386)),"Sent to Person",IF(ISNUMBER(SEARCH("Business Payment",C386)),"Money In",IF(ISNUMBER(SEARCH("Funds Received",C386)),"Money In",IF(ISNUMBER(SEARCH("Receive International",C386)),"Money In",IF(ISNUMBER(SEARCH("Send Money Reversal",C386)),"Money In",IF(ISNUMBER(SEARCH("Pay Utility Reversal",C386)),"Money In",IF(ISNUMBER(SEARCH("Customer Transfer",C386)),"Money In",IF(ISNUMBER(SEARCH("Ziidi",C386)),"Investment",IF(ISNUMBER(SEARCH("Nabo",C386)),"Investment",IF(ISNUMBER(SEARCH("Paybill Online",C386)),"Pay Bill",IF(ISNUMBER(SEARCH("Pay Bill",C386)),"Pay Bill",IF(ISNUMBER(SEARCH("Spotify",C386)),"Pay Bill",IF(ISNUMBER(SEARCH("M-Shwari",C386)),"Mshwari",IF(ISNUMBER(SEARCH("Mshwari",C386)),"Mshwari",IF(ISNUMBER(SEARCH("Withdrawal charge",C386)),"Fees",IF(ISNUMBER(SEARCH("Customer Withdrawal",C386)),"Fees",IF(ISNUMBER(SEARCH("charge",C386)),"Fees","Other")))))))))))))))))))))))))</f>
        <v>Sent to Person</v>
      </c>
      <c r="R386" s="1" t="str">
        <f aca="false">TEXT(B386,"MMM YYYY")</f>
        <v>Mar 2026</v>
      </c>
    </row>
    <row r="387" customFormat="false" ht="13.8" hidden="false" customHeight="false" outlineLevel="0" collapsed="false">
      <c r="A387" s="4" t="s">
        <v>827</v>
      </c>
      <c r="B387" s="4" t="s">
        <v>828</v>
      </c>
      <c r="C387" s="4" t="s">
        <v>756</v>
      </c>
      <c r="D387" s="4" t="s">
        <v>18</v>
      </c>
      <c r="E387" s="4"/>
      <c r="F387" s="4" t="n">
        <v>70</v>
      </c>
      <c r="G387" s="4" t="n">
        <v>456</v>
      </c>
      <c r="L387" s="1" t="str">
        <f aca="false">IF(ISNUMBER(SEARCH("Bundle",C387)),"Bundles",IF(ISNUMBER(SEARCH("Airtime",C387)),"Bundles",IF(ISNUMBER(SEARCH("Merchant",C387)),"Merchant Payment",IF(ISNUMBER(SEARCH("Offnet C2B",C387)),"Merchant Payment",IF(ISNUMBER(SEARCH("Offnet B2C",C387)),"Merchant Payment",IF(ISNUMBER(SEARCH("Customer Payment to Small",C387)),"Merchant Payment",IF(ISNUMBER(SEARCH("Payment to Small Business",C387)),"Merchant Payment",IF(ISNUMBER(SEARCH("Sent to",C387)),"Sent to Person",IF(ISNUMBER(SEARCH("Customer Transfer to",C387)),"Sent to Person",IF(ISNUMBER(SEARCH("Business Payment",C387)),"Money In",IF(ISNUMBER(SEARCH("Funds Received",C387)),"Money In",IF(ISNUMBER(SEARCH("Receive International",C387)),"Money In",IF(ISNUMBER(SEARCH("Send Money Reversal",C387)),"Money In",IF(ISNUMBER(SEARCH("Pay Utility Reversal",C387)),"Money In",IF(ISNUMBER(SEARCH("Customer Transfer",C387)),"Money In",IF(ISNUMBER(SEARCH("Ziidi",C387)),"Investment",IF(ISNUMBER(SEARCH("Nabo",C387)),"Investment",IF(ISNUMBER(SEARCH("Paybill Online",C387)),"Pay Bill",IF(ISNUMBER(SEARCH("Pay Bill",C387)),"Pay Bill",IF(ISNUMBER(SEARCH("Spotify",C387)),"Pay Bill",IF(ISNUMBER(SEARCH("M-Shwari",C387)),"Mshwari",IF(ISNUMBER(SEARCH("Mshwari",C387)),"Mshwari",IF(ISNUMBER(SEARCH("Withdrawal charge",C387)),"Fees",IF(ISNUMBER(SEARCH("Customer Withdrawal",C387)),"Fees",IF(ISNUMBER(SEARCH("charge",C387)),"Fees","Other")))))))))))))))))))))))))</f>
        <v>Sent to Person</v>
      </c>
      <c r="R387" s="1" t="str">
        <f aca="false">TEXT(B387,"MMM YYYY")</f>
        <v>Mar 2026</v>
      </c>
    </row>
    <row r="388" customFormat="false" ht="13.8" hidden="false" customHeight="false" outlineLevel="0" collapsed="false">
      <c r="A388" s="4" t="s">
        <v>829</v>
      </c>
      <c r="B388" s="4" t="s">
        <v>830</v>
      </c>
      <c r="C388" s="4" t="s">
        <v>831</v>
      </c>
      <c r="D388" s="4" t="s">
        <v>18</v>
      </c>
      <c r="E388" s="4"/>
      <c r="F388" s="4" t="n">
        <v>70</v>
      </c>
      <c r="G388" s="4" t="n">
        <v>386</v>
      </c>
      <c r="L388" s="1" t="str">
        <f aca="false">IF(ISNUMBER(SEARCH("Bundle",C388)),"Bundles",IF(ISNUMBER(SEARCH("Airtime",C388)),"Bundles",IF(ISNUMBER(SEARCH("Merchant",C388)),"Merchant Payment",IF(ISNUMBER(SEARCH("Offnet C2B",C388)),"Merchant Payment",IF(ISNUMBER(SEARCH("Offnet B2C",C388)),"Merchant Payment",IF(ISNUMBER(SEARCH("Customer Payment to Small",C388)),"Merchant Payment",IF(ISNUMBER(SEARCH("Payment to Small Business",C388)),"Merchant Payment",IF(ISNUMBER(SEARCH("Sent to",C388)),"Sent to Person",IF(ISNUMBER(SEARCH("Customer Transfer to",C388)),"Sent to Person",IF(ISNUMBER(SEARCH("Business Payment",C388)),"Money In",IF(ISNUMBER(SEARCH("Funds Received",C388)),"Money In",IF(ISNUMBER(SEARCH("Receive International",C388)),"Money In",IF(ISNUMBER(SEARCH("Send Money Reversal",C388)),"Money In",IF(ISNUMBER(SEARCH("Pay Utility Reversal",C388)),"Money In",IF(ISNUMBER(SEARCH("Customer Transfer",C388)),"Money In",IF(ISNUMBER(SEARCH("Ziidi",C388)),"Investment",IF(ISNUMBER(SEARCH("Nabo",C388)),"Investment",IF(ISNUMBER(SEARCH("Paybill Online",C388)),"Pay Bill",IF(ISNUMBER(SEARCH("Pay Bill",C388)),"Pay Bill",IF(ISNUMBER(SEARCH("Spotify",C388)),"Pay Bill",IF(ISNUMBER(SEARCH("M-Shwari",C388)),"Mshwari",IF(ISNUMBER(SEARCH("Mshwari",C388)),"Mshwari",IF(ISNUMBER(SEARCH("Withdrawal charge",C388)),"Fees",IF(ISNUMBER(SEARCH("Customer Withdrawal",C388)),"Fees",IF(ISNUMBER(SEARCH("charge",C388)),"Fees","Other")))))))))))))))))))))))))</f>
        <v>Sent to Person</v>
      </c>
      <c r="R388" s="1" t="str">
        <f aca="false">TEXT(B388,"MMM YYYY")</f>
        <v>Mar 2026</v>
      </c>
    </row>
    <row r="389" customFormat="false" ht="13.8" hidden="false" customHeight="false" outlineLevel="0" collapsed="false">
      <c r="A389" s="4" t="s">
        <v>832</v>
      </c>
      <c r="B389" s="4" t="s">
        <v>833</v>
      </c>
      <c r="C389" s="4" t="s">
        <v>834</v>
      </c>
      <c r="D389" s="4" t="s">
        <v>18</v>
      </c>
      <c r="E389" s="4"/>
      <c r="F389" s="4" t="n">
        <v>30</v>
      </c>
      <c r="G389" s="4" t="n">
        <v>356</v>
      </c>
      <c r="L389" s="1" t="str">
        <f aca="false">IF(ISNUMBER(SEARCH("Bundle",C389)),"Bundles",IF(ISNUMBER(SEARCH("Airtime",C389)),"Bundles",IF(ISNUMBER(SEARCH("Merchant",C389)),"Merchant Payment",IF(ISNUMBER(SEARCH("Offnet C2B",C389)),"Merchant Payment",IF(ISNUMBER(SEARCH("Offnet B2C",C389)),"Merchant Payment",IF(ISNUMBER(SEARCH("Customer Payment to Small",C389)),"Merchant Payment",IF(ISNUMBER(SEARCH("Payment to Small Business",C389)),"Merchant Payment",IF(ISNUMBER(SEARCH("Sent to",C389)),"Sent to Person",IF(ISNUMBER(SEARCH("Customer Transfer to",C389)),"Sent to Person",IF(ISNUMBER(SEARCH("Business Payment",C389)),"Money In",IF(ISNUMBER(SEARCH("Funds Received",C389)),"Money In",IF(ISNUMBER(SEARCH("Receive International",C389)),"Money In",IF(ISNUMBER(SEARCH("Send Money Reversal",C389)),"Money In",IF(ISNUMBER(SEARCH("Pay Utility Reversal",C389)),"Money In",IF(ISNUMBER(SEARCH("Customer Transfer",C389)),"Money In",IF(ISNUMBER(SEARCH("Ziidi",C389)),"Investment",IF(ISNUMBER(SEARCH("Nabo",C389)),"Investment",IF(ISNUMBER(SEARCH("Paybill Online",C389)),"Pay Bill",IF(ISNUMBER(SEARCH("Pay Bill",C389)),"Pay Bill",IF(ISNUMBER(SEARCH("Spotify",C389)),"Pay Bill",IF(ISNUMBER(SEARCH("M-Shwari",C389)),"Mshwari",IF(ISNUMBER(SEARCH("Mshwari",C389)),"Mshwari",IF(ISNUMBER(SEARCH("Withdrawal charge",C389)),"Fees",IF(ISNUMBER(SEARCH("Customer Withdrawal",C389)),"Fees",IF(ISNUMBER(SEARCH("charge",C389)),"Fees","Other")))))))))))))))))))))))))</f>
        <v>Merchant Payment</v>
      </c>
      <c r="R389" s="1" t="str">
        <f aca="false">TEXT(B389,"MMM YYYY")</f>
        <v>Mar 2026</v>
      </c>
    </row>
    <row r="390" customFormat="false" ht="13.8" hidden="false" customHeight="false" outlineLevel="0" collapsed="false">
      <c r="A390" s="4" t="s">
        <v>835</v>
      </c>
      <c r="B390" s="4" t="s">
        <v>836</v>
      </c>
      <c r="C390" s="4" t="s">
        <v>837</v>
      </c>
      <c r="D390" s="4" t="s">
        <v>18</v>
      </c>
      <c r="E390" s="4"/>
      <c r="F390" s="4" t="n">
        <v>40</v>
      </c>
      <c r="G390" s="4" t="n">
        <v>316</v>
      </c>
      <c r="L390" s="1" t="str">
        <f aca="false">IF(ISNUMBER(SEARCH("Bundle",C390)),"Bundles",IF(ISNUMBER(SEARCH("Airtime",C390)),"Bundles",IF(ISNUMBER(SEARCH("Merchant",C390)),"Merchant Payment",IF(ISNUMBER(SEARCH("Offnet C2B",C390)),"Merchant Payment",IF(ISNUMBER(SEARCH("Offnet B2C",C390)),"Merchant Payment",IF(ISNUMBER(SEARCH("Customer Payment to Small",C390)),"Merchant Payment",IF(ISNUMBER(SEARCH("Payment to Small Business",C390)),"Merchant Payment",IF(ISNUMBER(SEARCH("Sent to",C390)),"Sent to Person",IF(ISNUMBER(SEARCH("Customer Transfer to",C390)),"Sent to Person",IF(ISNUMBER(SEARCH("Business Payment",C390)),"Money In",IF(ISNUMBER(SEARCH("Funds Received",C390)),"Money In",IF(ISNUMBER(SEARCH("Receive International",C390)),"Money In",IF(ISNUMBER(SEARCH("Send Money Reversal",C390)),"Money In",IF(ISNUMBER(SEARCH("Pay Utility Reversal",C390)),"Money In",IF(ISNUMBER(SEARCH("Customer Transfer",C390)),"Money In",IF(ISNUMBER(SEARCH("Ziidi",C390)),"Investment",IF(ISNUMBER(SEARCH("Nabo",C390)),"Investment",IF(ISNUMBER(SEARCH("Paybill Online",C390)),"Pay Bill",IF(ISNUMBER(SEARCH("Pay Bill",C390)),"Pay Bill",IF(ISNUMBER(SEARCH("Spotify",C390)),"Pay Bill",IF(ISNUMBER(SEARCH("M-Shwari",C390)),"Mshwari",IF(ISNUMBER(SEARCH("Mshwari",C390)),"Mshwari",IF(ISNUMBER(SEARCH("Withdrawal charge",C390)),"Fees",IF(ISNUMBER(SEARCH("Customer Withdrawal",C390)),"Fees",IF(ISNUMBER(SEARCH("charge",C390)),"Fees","Other")))))))))))))))))))))))))</f>
        <v>Merchant Payment</v>
      </c>
      <c r="R390" s="1" t="str">
        <f aca="false">TEXT(B390,"MMM YYYY")</f>
        <v>Mar 2026</v>
      </c>
    </row>
    <row r="391" customFormat="false" ht="13.8" hidden="false" customHeight="false" outlineLevel="0" collapsed="false">
      <c r="A391" s="4" t="s">
        <v>838</v>
      </c>
      <c r="B391" s="4" t="s">
        <v>839</v>
      </c>
      <c r="C391" s="4" t="s">
        <v>17</v>
      </c>
      <c r="D391" s="4" t="s">
        <v>18</v>
      </c>
      <c r="E391" s="4"/>
      <c r="F391" s="4" t="n">
        <v>20</v>
      </c>
      <c r="G391" s="4" t="n">
        <v>296</v>
      </c>
      <c r="L391" s="1" t="str">
        <f aca="false">IF(ISNUMBER(SEARCH("Bundle",C391)),"Bundles",IF(ISNUMBER(SEARCH("Airtime",C391)),"Bundles",IF(ISNUMBER(SEARCH("Merchant",C391)),"Merchant Payment",IF(ISNUMBER(SEARCH("Offnet C2B",C391)),"Merchant Payment",IF(ISNUMBER(SEARCH("Offnet B2C",C391)),"Merchant Payment",IF(ISNUMBER(SEARCH("Customer Payment to Small",C391)),"Merchant Payment",IF(ISNUMBER(SEARCH("Payment to Small Business",C391)),"Merchant Payment",IF(ISNUMBER(SEARCH("Sent to",C391)),"Sent to Person",IF(ISNUMBER(SEARCH("Customer Transfer to",C391)),"Sent to Person",IF(ISNUMBER(SEARCH("Business Payment",C391)),"Money In",IF(ISNUMBER(SEARCH("Funds Received",C391)),"Money In",IF(ISNUMBER(SEARCH("Receive International",C391)),"Money In",IF(ISNUMBER(SEARCH("Send Money Reversal",C391)),"Money In",IF(ISNUMBER(SEARCH("Pay Utility Reversal",C391)),"Money In",IF(ISNUMBER(SEARCH("Customer Transfer",C391)),"Money In",IF(ISNUMBER(SEARCH("Ziidi",C391)),"Investment",IF(ISNUMBER(SEARCH("Nabo",C391)),"Investment",IF(ISNUMBER(SEARCH("Paybill Online",C391)),"Pay Bill",IF(ISNUMBER(SEARCH("Pay Bill",C391)),"Pay Bill",IF(ISNUMBER(SEARCH("Spotify",C391)),"Pay Bill",IF(ISNUMBER(SEARCH("M-Shwari",C391)),"Mshwari",IF(ISNUMBER(SEARCH("Mshwari",C391)),"Mshwari",IF(ISNUMBER(SEARCH("Withdrawal charge",C391)),"Fees",IF(ISNUMBER(SEARCH("Customer Withdrawal",C391)),"Fees",IF(ISNUMBER(SEARCH("charge",C391)),"Fees","Other")))))))))))))))))))))))))</f>
        <v>Bundles</v>
      </c>
      <c r="R391" s="1" t="str">
        <f aca="false">TEXT(B391,"MMM YYYY")</f>
        <v>Mar 2026</v>
      </c>
    </row>
    <row r="392" customFormat="false" ht="13.8" hidden="false" customHeight="false" outlineLevel="0" collapsed="false">
      <c r="A392" s="4" t="s">
        <v>840</v>
      </c>
      <c r="B392" s="4" t="s">
        <v>841</v>
      </c>
      <c r="C392" s="4" t="s">
        <v>192</v>
      </c>
      <c r="D392" s="4" t="s">
        <v>18</v>
      </c>
      <c r="E392" s="4" t="n">
        <v>400</v>
      </c>
      <c r="F392" s="4"/>
      <c r="G392" s="4" t="n">
        <v>696</v>
      </c>
      <c r="L392" s="1" t="str">
        <f aca="false">IF(ISNUMBER(SEARCH("Bundle",C392)),"Bundles",IF(ISNUMBER(SEARCH("Airtime",C392)),"Bundles",IF(ISNUMBER(SEARCH("Merchant",C392)),"Merchant Payment",IF(ISNUMBER(SEARCH("Offnet C2B",C392)),"Merchant Payment",IF(ISNUMBER(SEARCH("Offnet B2C",C392)),"Merchant Payment",IF(ISNUMBER(SEARCH("Customer Payment to Small",C392)),"Merchant Payment",IF(ISNUMBER(SEARCH("Payment to Small Business",C392)),"Merchant Payment",IF(ISNUMBER(SEARCH("Sent to",C392)),"Sent to Person",IF(ISNUMBER(SEARCH("Customer Transfer to",C392)),"Sent to Person",IF(ISNUMBER(SEARCH("Business Payment",C392)),"Money In",IF(ISNUMBER(SEARCH("Funds Received",C392)),"Money In",IF(ISNUMBER(SEARCH("Receive International",C392)),"Money In",IF(ISNUMBER(SEARCH("Send Money Reversal",C392)),"Money In",IF(ISNUMBER(SEARCH("Pay Utility Reversal",C392)),"Money In",IF(ISNUMBER(SEARCH("Customer Transfer",C392)),"Money In",IF(ISNUMBER(SEARCH("Ziidi",C392)),"Investment",IF(ISNUMBER(SEARCH("Nabo",C392)),"Investment",IF(ISNUMBER(SEARCH("Paybill Online",C392)),"Pay Bill",IF(ISNUMBER(SEARCH("Pay Bill",C392)),"Pay Bill",IF(ISNUMBER(SEARCH("Spotify",C392)),"Pay Bill",IF(ISNUMBER(SEARCH("M-Shwari",C392)),"Mshwari",IF(ISNUMBER(SEARCH("Mshwari",C392)),"Mshwari",IF(ISNUMBER(SEARCH("Withdrawal charge",C392)),"Fees",IF(ISNUMBER(SEARCH("Customer Withdrawal",C392)),"Fees",IF(ISNUMBER(SEARCH("charge",C392)),"Fees","Other")))))))))))))))))))))))))</f>
        <v>Mshwari</v>
      </c>
      <c r="R392" s="1" t="str">
        <f aca="false">TEXT(B392,"MMM YYYY")</f>
        <v>Mar 2026</v>
      </c>
    </row>
    <row r="393" customFormat="false" ht="13.8" hidden="false" customHeight="false" outlineLevel="0" collapsed="false">
      <c r="A393" s="4" t="s">
        <v>842</v>
      </c>
      <c r="B393" s="4" t="s">
        <v>843</v>
      </c>
      <c r="C393" s="4" t="s">
        <v>591</v>
      </c>
      <c r="D393" s="4" t="s">
        <v>18</v>
      </c>
      <c r="E393" s="4"/>
      <c r="F393" s="4" t="n">
        <v>500</v>
      </c>
      <c r="G393" s="4" t="n">
        <v>196</v>
      </c>
      <c r="L393" s="1" t="str">
        <f aca="false">IF(ISNUMBER(SEARCH("Bundle",C393)),"Bundles",IF(ISNUMBER(SEARCH("Airtime",C393)),"Bundles",IF(ISNUMBER(SEARCH("Merchant",C393)),"Merchant Payment",IF(ISNUMBER(SEARCH("Offnet C2B",C393)),"Merchant Payment",IF(ISNUMBER(SEARCH("Offnet B2C",C393)),"Merchant Payment",IF(ISNUMBER(SEARCH("Customer Payment to Small",C393)),"Merchant Payment",IF(ISNUMBER(SEARCH("Payment to Small Business",C393)),"Merchant Payment",IF(ISNUMBER(SEARCH("Sent to",C393)),"Sent to Person",IF(ISNUMBER(SEARCH("Customer Transfer to",C393)),"Sent to Person",IF(ISNUMBER(SEARCH("Business Payment",C393)),"Money In",IF(ISNUMBER(SEARCH("Funds Received",C393)),"Money In",IF(ISNUMBER(SEARCH("Receive International",C393)),"Money In",IF(ISNUMBER(SEARCH("Send Money Reversal",C393)),"Money In",IF(ISNUMBER(SEARCH("Pay Utility Reversal",C393)),"Money In",IF(ISNUMBER(SEARCH("Customer Transfer",C393)),"Money In",IF(ISNUMBER(SEARCH("Ziidi",C393)),"Investment",IF(ISNUMBER(SEARCH("Nabo",C393)),"Investment",IF(ISNUMBER(SEARCH("Paybill Online",C393)),"Pay Bill",IF(ISNUMBER(SEARCH("Pay Bill",C393)),"Pay Bill",IF(ISNUMBER(SEARCH("Spotify",C393)),"Pay Bill",IF(ISNUMBER(SEARCH("M-Shwari",C393)),"Mshwari",IF(ISNUMBER(SEARCH("Mshwari",C393)),"Mshwari",IF(ISNUMBER(SEARCH("Withdrawal charge",C393)),"Fees",IF(ISNUMBER(SEARCH("Customer Withdrawal",C393)),"Fees",IF(ISNUMBER(SEARCH("charge",C393)),"Fees","Other")))))))))))))))))))))))))</f>
        <v>Merchant Payment</v>
      </c>
      <c r="R393" s="1" t="str">
        <f aca="false">TEXT(B393,"MMM YYYY")</f>
        <v>Mar 2026</v>
      </c>
    </row>
    <row r="394" customFormat="false" ht="13.8" hidden="false" customHeight="false" outlineLevel="0" collapsed="false">
      <c r="A394" s="4" t="s">
        <v>844</v>
      </c>
      <c r="B394" s="4" t="s">
        <v>845</v>
      </c>
      <c r="C394" s="4" t="s">
        <v>29</v>
      </c>
      <c r="D394" s="4" t="s">
        <v>18</v>
      </c>
      <c r="E394" s="4"/>
      <c r="F394" s="4" t="n">
        <v>10</v>
      </c>
      <c r="G394" s="4" t="n">
        <v>186</v>
      </c>
      <c r="L394" s="1" t="str">
        <f aca="false">IF(ISNUMBER(SEARCH("Bundle",C394)),"Bundles",IF(ISNUMBER(SEARCH("Airtime",C394)),"Bundles",IF(ISNUMBER(SEARCH("Merchant",C394)),"Merchant Payment",IF(ISNUMBER(SEARCH("Offnet C2B",C394)),"Merchant Payment",IF(ISNUMBER(SEARCH("Offnet B2C",C394)),"Merchant Payment",IF(ISNUMBER(SEARCH("Customer Payment to Small",C394)),"Merchant Payment",IF(ISNUMBER(SEARCH("Payment to Small Business",C394)),"Merchant Payment",IF(ISNUMBER(SEARCH("Sent to",C394)),"Sent to Person",IF(ISNUMBER(SEARCH("Customer Transfer to",C394)),"Sent to Person",IF(ISNUMBER(SEARCH("Business Payment",C394)),"Money In",IF(ISNUMBER(SEARCH("Funds Received",C394)),"Money In",IF(ISNUMBER(SEARCH("Receive International",C394)),"Money In",IF(ISNUMBER(SEARCH("Send Money Reversal",C394)),"Money In",IF(ISNUMBER(SEARCH("Pay Utility Reversal",C394)),"Money In",IF(ISNUMBER(SEARCH("Customer Transfer",C394)),"Money In",IF(ISNUMBER(SEARCH("Ziidi",C394)),"Investment",IF(ISNUMBER(SEARCH("Nabo",C394)),"Investment",IF(ISNUMBER(SEARCH("Paybill Online",C394)),"Pay Bill",IF(ISNUMBER(SEARCH("Pay Bill",C394)),"Pay Bill",IF(ISNUMBER(SEARCH("Spotify",C394)),"Pay Bill",IF(ISNUMBER(SEARCH("M-Shwari",C394)),"Mshwari",IF(ISNUMBER(SEARCH("Mshwari",C394)),"Mshwari",IF(ISNUMBER(SEARCH("Withdrawal charge",C394)),"Fees",IF(ISNUMBER(SEARCH("Customer Withdrawal",C394)),"Fees",IF(ISNUMBER(SEARCH("charge",C394)),"Fees","Other")))))))))))))))))))))))))</f>
        <v>Bundles</v>
      </c>
      <c r="R394" s="1" t="str">
        <f aca="false">TEXT(B394,"MMM YYYY")</f>
        <v>Mar 2026</v>
      </c>
    </row>
    <row r="395" customFormat="false" ht="13.8" hidden="false" customHeight="false" outlineLevel="0" collapsed="false">
      <c r="A395" s="4" t="s">
        <v>846</v>
      </c>
      <c r="B395" s="4" t="s">
        <v>847</v>
      </c>
      <c r="C395" s="4" t="s">
        <v>192</v>
      </c>
      <c r="D395" s="4" t="s">
        <v>18</v>
      </c>
      <c r="E395" s="4" t="n">
        <v>800</v>
      </c>
      <c r="F395" s="4"/>
      <c r="G395" s="4" t="n">
        <v>986</v>
      </c>
      <c r="L395" s="1" t="str">
        <f aca="false">IF(ISNUMBER(SEARCH("Bundle",C395)),"Bundles",IF(ISNUMBER(SEARCH("Airtime",C395)),"Bundles",IF(ISNUMBER(SEARCH("Merchant",C395)),"Merchant Payment",IF(ISNUMBER(SEARCH("Offnet C2B",C395)),"Merchant Payment",IF(ISNUMBER(SEARCH("Offnet B2C",C395)),"Merchant Payment",IF(ISNUMBER(SEARCH("Customer Payment to Small",C395)),"Merchant Payment",IF(ISNUMBER(SEARCH("Payment to Small Business",C395)),"Merchant Payment",IF(ISNUMBER(SEARCH("Sent to",C395)),"Sent to Person",IF(ISNUMBER(SEARCH("Customer Transfer to",C395)),"Sent to Person",IF(ISNUMBER(SEARCH("Business Payment",C395)),"Money In",IF(ISNUMBER(SEARCH("Funds Received",C395)),"Money In",IF(ISNUMBER(SEARCH("Receive International",C395)),"Money In",IF(ISNUMBER(SEARCH("Send Money Reversal",C395)),"Money In",IF(ISNUMBER(SEARCH("Pay Utility Reversal",C395)),"Money In",IF(ISNUMBER(SEARCH("Customer Transfer",C395)),"Money In",IF(ISNUMBER(SEARCH("Ziidi",C395)),"Investment",IF(ISNUMBER(SEARCH("Nabo",C395)),"Investment",IF(ISNUMBER(SEARCH("Paybill Online",C395)),"Pay Bill",IF(ISNUMBER(SEARCH("Pay Bill",C395)),"Pay Bill",IF(ISNUMBER(SEARCH("Spotify",C395)),"Pay Bill",IF(ISNUMBER(SEARCH("M-Shwari",C395)),"Mshwari",IF(ISNUMBER(SEARCH("Mshwari",C395)),"Mshwari",IF(ISNUMBER(SEARCH("Withdrawal charge",C395)),"Fees",IF(ISNUMBER(SEARCH("Customer Withdrawal",C395)),"Fees",IF(ISNUMBER(SEARCH("charge",C395)),"Fees","Other")))))))))))))))))))))))))</f>
        <v>Mshwari</v>
      </c>
      <c r="R395" s="1" t="str">
        <f aca="false">TEXT(B395,"MMM YYYY")</f>
        <v>Mar 2026</v>
      </c>
    </row>
    <row r="396" customFormat="false" ht="13.8" hidden="false" customHeight="false" outlineLevel="0" collapsed="false">
      <c r="A396" s="4" t="s">
        <v>848</v>
      </c>
      <c r="B396" s="4" t="s">
        <v>849</v>
      </c>
      <c r="C396" s="4" t="s">
        <v>818</v>
      </c>
      <c r="D396" s="4" t="s">
        <v>18</v>
      </c>
      <c r="E396" s="4"/>
      <c r="F396" s="4" t="n">
        <v>400</v>
      </c>
      <c r="G396" s="4" t="n">
        <v>586</v>
      </c>
      <c r="L396" s="1" t="str">
        <f aca="false">IF(ISNUMBER(SEARCH("Bundle",C396)),"Bundles",IF(ISNUMBER(SEARCH("Airtime",C396)),"Bundles",IF(ISNUMBER(SEARCH("Merchant",C396)),"Merchant Payment",IF(ISNUMBER(SEARCH("Offnet C2B",C396)),"Merchant Payment",IF(ISNUMBER(SEARCH("Offnet B2C",C396)),"Merchant Payment",IF(ISNUMBER(SEARCH("Customer Payment to Small",C396)),"Merchant Payment",IF(ISNUMBER(SEARCH("Payment to Small Business",C396)),"Merchant Payment",IF(ISNUMBER(SEARCH("Sent to",C396)),"Sent to Person",IF(ISNUMBER(SEARCH("Customer Transfer to",C396)),"Sent to Person",IF(ISNUMBER(SEARCH("Business Payment",C396)),"Money In",IF(ISNUMBER(SEARCH("Funds Received",C396)),"Money In",IF(ISNUMBER(SEARCH("Receive International",C396)),"Money In",IF(ISNUMBER(SEARCH("Send Money Reversal",C396)),"Money In",IF(ISNUMBER(SEARCH("Pay Utility Reversal",C396)),"Money In",IF(ISNUMBER(SEARCH("Customer Transfer",C396)),"Money In",IF(ISNUMBER(SEARCH("Ziidi",C396)),"Investment",IF(ISNUMBER(SEARCH("Nabo",C396)),"Investment",IF(ISNUMBER(SEARCH("Paybill Online",C396)),"Pay Bill",IF(ISNUMBER(SEARCH("Pay Bill",C396)),"Pay Bill",IF(ISNUMBER(SEARCH("Spotify",C396)),"Pay Bill",IF(ISNUMBER(SEARCH("M-Shwari",C396)),"Mshwari",IF(ISNUMBER(SEARCH("Mshwari",C396)),"Mshwari",IF(ISNUMBER(SEARCH("Withdrawal charge",C396)),"Fees",IF(ISNUMBER(SEARCH("Customer Withdrawal",C396)),"Fees",IF(ISNUMBER(SEARCH("charge",C396)),"Fees","Other")))))))))))))))))))))))))</f>
        <v>Merchant Payment</v>
      </c>
      <c r="R396" s="1" t="str">
        <f aca="false">TEXT(B396,"MMM YYYY")</f>
        <v>Mar 2026</v>
      </c>
    </row>
    <row r="397" customFormat="false" ht="13.8" hidden="false" customHeight="false" outlineLevel="0" collapsed="false">
      <c r="A397" s="4" t="s">
        <v>850</v>
      </c>
      <c r="B397" s="4" t="s">
        <v>851</v>
      </c>
      <c r="C397" s="4" t="s">
        <v>243</v>
      </c>
      <c r="D397" s="4" t="s">
        <v>18</v>
      </c>
      <c r="E397" s="4"/>
      <c r="F397" s="4" t="n">
        <v>70</v>
      </c>
      <c r="G397" s="4" t="n">
        <v>516</v>
      </c>
      <c r="L397" s="1" t="str">
        <f aca="false">IF(ISNUMBER(SEARCH("Bundle",C397)),"Bundles",IF(ISNUMBER(SEARCH("Airtime",C397)),"Bundles",IF(ISNUMBER(SEARCH("Merchant",C397)),"Merchant Payment",IF(ISNUMBER(SEARCH("Offnet C2B",C397)),"Merchant Payment",IF(ISNUMBER(SEARCH("Offnet B2C",C397)),"Merchant Payment",IF(ISNUMBER(SEARCH("Customer Payment to Small",C397)),"Merchant Payment",IF(ISNUMBER(SEARCH("Payment to Small Business",C397)),"Merchant Payment",IF(ISNUMBER(SEARCH("Sent to",C397)),"Sent to Person",IF(ISNUMBER(SEARCH("Customer Transfer to",C397)),"Sent to Person",IF(ISNUMBER(SEARCH("Business Payment",C397)),"Money In",IF(ISNUMBER(SEARCH("Funds Received",C397)),"Money In",IF(ISNUMBER(SEARCH("Receive International",C397)),"Money In",IF(ISNUMBER(SEARCH("Send Money Reversal",C397)),"Money In",IF(ISNUMBER(SEARCH("Pay Utility Reversal",C397)),"Money In",IF(ISNUMBER(SEARCH("Customer Transfer",C397)),"Money In",IF(ISNUMBER(SEARCH("Ziidi",C397)),"Investment",IF(ISNUMBER(SEARCH("Nabo",C397)),"Investment",IF(ISNUMBER(SEARCH("Paybill Online",C397)),"Pay Bill",IF(ISNUMBER(SEARCH("Pay Bill",C397)),"Pay Bill",IF(ISNUMBER(SEARCH("Spotify",C397)),"Pay Bill",IF(ISNUMBER(SEARCH("M-Shwari",C397)),"Mshwari",IF(ISNUMBER(SEARCH("Mshwari",C397)),"Mshwari",IF(ISNUMBER(SEARCH("Withdrawal charge",C397)),"Fees",IF(ISNUMBER(SEARCH("Customer Withdrawal",C397)),"Fees",IF(ISNUMBER(SEARCH("charge",C397)),"Fees","Other")))))))))))))))))))))))))</f>
        <v>Merchant Payment</v>
      </c>
      <c r="R397" s="1" t="str">
        <f aca="false">TEXT(B397,"MMM YYYY")</f>
        <v>Mar 2026</v>
      </c>
    </row>
    <row r="398" customFormat="false" ht="13.8" hidden="false" customHeight="false" outlineLevel="0" collapsed="false">
      <c r="A398" s="4" t="s">
        <v>852</v>
      </c>
      <c r="B398" s="4" t="s">
        <v>853</v>
      </c>
      <c r="C398" s="4" t="s">
        <v>854</v>
      </c>
      <c r="D398" s="4" t="s">
        <v>18</v>
      </c>
      <c r="E398" s="4"/>
      <c r="F398" s="4" t="n">
        <v>50</v>
      </c>
      <c r="G398" s="4" t="n">
        <v>466</v>
      </c>
      <c r="L398" s="1" t="str">
        <f aca="false">IF(ISNUMBER(SEARCH("Bundle",C398)),"Bundles",IF(ISNUMBER(SEARCH("Airtime",C398)),"Bundles",IF(ISNUMBER(SEARCH("Merchant",C398)),"Merchant Payment",IF(ISNUMBER(SEARCH("Offnet C2B",C398)),"Merchant Payment",IF(ISNUMBER(SEARCH("Offnet B2C",C398)),"Merchant Payment",IF(ISNUMBER(SEARCH("Customer Payment to Small",C398)),"Merchant Payment",IF(ISNUMBER(SEARCH("Payment to Small Business",C398)),"Merchant Payment",IF(ISNUMBER(SEARCH("Sent to",C398)),"Sent to Person",IF(ISNUMBER(SEARCH("Customer Transfer to",C398)),"Sent to Person",IF(ISNUMBER(SEARCH("Business Payment",C398)),"Money In",IF(ISNUMBER(SEARCH("Funds Received",C398)),"Money In",IF(ISNUMBER(SEARCH("Receive International",C398)),"Money In",IF(ISNUMBER(SEARCH("Send Money Reversal",C398)),"Money In",IF(ISNUMBER(SEARCH("Pay Utility Reversal",C398)),"Money In",IF(ISNUMBER(SEARCH("Customer Transfer",C398)),"Money In",IF(ISNUMBER(SEARCH("Ziidi",C398)),"Investment",IF(ISNUMBER(SEARCH("Nabo",C398)),"Investment",IF(ISNUMBER(SEARCH("Paybill Online",C398)),"Pay Bill",IF(ISNUMBER(SEARCH("Pay Bill",C398)),"Pay Bill",IF(ISNUMBER(SEARCH("Spotify",C398)),"Pay Bill",IF(ISNUMBER(SEARCH("M-Shwari",C398)),"Mshwari",IF(ISNUMBER(SEARCH("Mshwari",C398)),"Mshwari",IF(ISNUMBER(SEARCH("Withdrawal charge",C398)),"Fees",IF(ISNUMBER(SEARCH("Customer Withdrawal",C398)),"Fees",IF(ISNUMBER(SEARCH("charge",C398)),"Fees","Other")))))))))))))))))))))))))</f>
        <v>Merchant Payment</v>
      </c>
      <c r="R398" s="1" t="str">
        <f aca="false">TEXT(B398,"MMM YYYY")</f>
        <v>Mar 2026</v>
      </c>
    </row>
    <row r="399" customFormat="false" ht="13.8" hidden="false" customHeight="false" outlineLevel="0" collapsed="false">
      <c r="A399" s="4" t="s">
        <v>855</v>
      </c>
      <c r="B399" s="4" t="s">
        <v>856</v>
      </c>
      <c r="C399" s="4" t="s">
        <v>857</v>
      </c>
      <c r="D399" s="4" t="s">
        <v>18</v>
      </c>
      <c r="E399" s="4"/>
      <c r="F399" s="4" t="n">
        <v>50</v>
      </c>
      <c r="G399" s="4" t="n">
        <v>416</v>
      </c>
      <c r="L399" s="1" t="str">
        <f aca="false">IF(ISNUMBER(SEARCH("Bundle",C399)),"Bundles",IF(ISNUMBER(SEARCH("Airtime",C399)),"Bundles",IF(ISNUMBER(SEARCH("Merchant",C399)),"Merchant Payment",IF(ISNUMBER(SEARCH("Offnet C2B",C399)),"Merchant Payment",IF(ISNUMBER(SEARCH("Offnet B2C",C399)),"Merchant Payment",IF(ISNUMBER(SEARCH("Customer Payment to Small",C399)),"Merchant Payment",IF(ISNUMBER(SEARCH("Payment to Small Business",C399)),"Merchant Payment",IF(ISNUMBER(SEARCH("Sent to",C399)),"Sent to Person",IF(ISNUMBER(SEARCH("Customer Transfer to",C399)),"Sent to Person",IF(ISNUMBER(SEARCH("Business Payment",C399)),"Money In",IF(ISNUMBER(SEARCH("Funds Received",C399)),"Money In",IF(ISNUMBER(SEARCH("Receive International",C399)),"Money In",IF(ISNUMBER(SEARCH("Send Money Reversal",C399)),"Money In",IF(ISNUMBER(SEARCH("Pay Utility Reversal",C399)),"Money In",IF(ISNUMBER(SEARCH("Customer Transfer",C399)),"Money In",IF(ISNUMBER(SEARCH("Ziidi",C399)),"Investment",IF(ISNUMBER(SEARCH("Nabo",C399)),"Investment",IF(ISNUMBER(SEARCH("Paybill Online",C399)),"Pay Bill",IF(ISNUMBER(SEARCH("Pay Bill",C399)),"Pay Bill",IF(ISNUMBER(SEARCH("Spotify",C399)),"Pay Bill",IF(ISNUMBER(SEARCH("M-Shwari",C399)),"Mshwari",IF(ISNUMBER(SEARCH("Mshwari",C399)),"Mshwari",IF(ISNUMBER(SEARCH("Withdrawal charge",C399)),"Fees",IF(ISNUMBER(SEARCH("Customer Withdrawal",C399)),"Fees",IF(ISNUMBER(SEARCH("charge",C399)),"Fees","Other")))))))))))))))))))))))))</f>
        <v>Merchant Payment</v>
      </c>
      <c r="R399" s="1" t="str">
        <f aca="false">TEXT(B399,"MMM YYYY")</f>
        <v>Mar 2026</v>
      </c>
    </row>
    <row r="400" customFormat="false" ht="13.8" hidden="false" customHeight="false" outlineLevel="0" collapsed="false">
      <c r="A400" s="4" t="s">
        <v>858</v>
      </c>
      <c r="B400" s="4" t="s">
        <v>859</v>
      </c>
      <c r="C400" s="4" t="s">
        <v>860</v>
      </c>
      <c r="D400" s="4" t="s">
        <v>18</v>
      </c>
      <c r="E400" s="4"/>
      <c r="F400" s="4" t="n">
        <v>70</v>
      </c>
      <c r="G400" s="4" t="n">
        <v>346</v>
      </c>
      <c r="L400" s="1" t="str">
        <f aca="false">IF(ISNUMBER(SEARCH("Bundle",C400)),"Bundles",IF(ISNUMBER(SEARCH("Airtime",C400)),"Bundles",IF(ISNUMBER(SEARCH("Merchant",C400)),"Merchant Payment",IF(ISNUMBER(SEARCH("Offnet C2B",C400)),"Merchant Payment",IF(ISNUMBER(SEARCH("Offnet B2C",C400)),"Merchant Payment",IF(ISNUMBER(SEARCH("Customer Payment to Small",C400)),"Merchant Payment",IF(ISNUMBER(SEARCH("Payment to Small Business",C400)),"Merchant Payment",IF(ISNUMBER(SEARCH("Sent to",C400)),"Sent to Person",IF(ISNUMBER(SEARCH("Customer Transfer to",C400)),"Sent to Person",IF(ISNUMBER(SEARCH("Business Payment",C400)),"Money In",IF(ISNUMBER(SEARCH("Funds Received",C400)),"Money In",IF(ISNUMBER(SEARCH("Receive International",C400)),"Money In",IF(ISNUMBER(SEARCH("Send Money Reversal",C400)),"Money In",IF(ISNUMBER(SEARCH("Pay Utility Reversal",C400)),"Money In",IF(ISNUMBER(SEARCH("Customer Transfer",C400)),"Money In",IF(ISNUMBER(SEARCH("Ziidi",C400)),"Investment",IF(ISNUMBER(SEARCH("Nabo",C400)),"Investment",IF(ISNUMBER(SEARCH("Paybill Online",C400)),"Pay Bill",IF(ISNUMBER(SEARCH("Pay Bill",C400)),"Pay Bill",IF(ISNUMBER(SEARCH("Spotify",C400)),"Pay Bill",IF(ISNUMBER(SEARCH("M-Shwari",C400)),"Mshwari",IF(ISNUMBER(SEARCH("Mshwari",C400)),"Mshwari",IF(ISNUMBER(SEARCH("Withdrawal charge",C400)),"Fees",IF(ISNUMBER(SEARCH("Customer Withdrawal",C400)),"Fees",IF(ISNUMBER(SEARCH("charge",C400)),"Fees","Other")))))))))))))))))))))))))</f>
        <v>Merchant Payment</v>
      </c>
      <c r="R400" s="1" t="str">
        <f aca="false">TEXT(B400,"MMM YYYY")</f>
        <v>Mar 2026</v>
      </c>
    </row>
    <row r="401" customFormat="false" ht="13.8" hidden="false" customHeight="false" outlineLevel="0" collapsed="false">
      <c r="A401" s="4" t="s">
        <v>861</v>
      </c>
      <c r="B401" s="4" t="s">
        <v>862</v>
      </c>
      <c r="C401" s="4" t="s">
        <v>17</v>
      </c>
      <c r="D401" s="4" t="s">
        <v>18</v>
      </c>
      <c r="E401" s="4"/>
      <c r="F401" s="4" t="n">
        <v>20</v>
      </c>
      <c r="G401" s="4" t="n">
        <v>326</v>
      </c>
      <c r="L401" s="1" t="str">
        <f aca="false">IF(ISNUMBER(SEARCH("Bundle",C401)),"Bundles",IF(ISNUMBER(SEARCH("Airtime",C401)),"Bundles",IF(ISNUMBER(SEARCH("Merchant",C401)),"Merchant Payment",IF(ISNUMBER(SEARCH("Offnet C2B",C401)),"Merchant Payment",IF(ISNUMBER(SEARCH("Offnet B2C",C401)),"Merchant Payment",IF(ISNUMBER(SEARCH("Customer Payment to Small",C401)),"Merchant Payment",IF(ISNUMBER(SEARCH("Payment to Small Business",C401)),"Merchant Payment",IF(ISNUMBER(SEARCH("Sent to",C401)),"Sent to Person",IF(ISNUMBER(SEARCH("Customer Transfer to",C401)),"Sent to Person",IF(ISNUMBER(SEARCH("Business Payment",C401)),"Money In",IF(ISNUMBER(SEARCH("Funds Received",C401)),"Money In",IF(ISNUMBER(SEARCH("Receive International",C401)),"Money In",IF(ISNUMBER(SEARCH("Send Money Reversal",C401)),"Money In",IF(ISNUMBER(SEARCH("Pay Utility Reversal",C401)),"Money In",IF(ISNUMBER(SEARCH("Customer Transfer",C401)),"Money In",IF(ISNUMBER(SEARCH("Ziidi",C401)),"Investment",IF(ISNUMBER(SEARCH("Nabo",C401)),"Investment",IF(ISNUMBER(SEARCH("Paybill Online",C401)),"Pay Bill",IF(ISNUMBER(SEARCH("Pay Bill",C401)),"Pay Bill",IF(ISNUMBER(SEARCH("Spotify",C401)),"Pay Bill",IF(ISNUMBER(SEARCH("M-Shwari",C401)),"Mshwari",IF(ISNUMBER(SEARCH("Mshwari",C401)),"Mshwari",IF(ISNUMBER(SEARCH("Withdrawal charge",C401)),"Fees",IF(ISNUMBER(SEARCH("Customer Withdrawal",C401)),"Fees",IF(ISNUMBER(SEARCH("charge",C401)),"Fees","Other")))))))))))))))))))))))))</f>
        <v>Bundles</v>
      </c>
      <c r="R401" s="1" t="str">
        <f aca="false">TEXT(B401,"MMM YYYY")</f>
        <v>Mar 2026</v>
      </c>
    </row>
    <row r="402" customFormat="false" ht="13.8" hidden="false" customHeight="false" outlineLevel="0" collapsed="false">
      <c r="A402" s="4" t="s">
        <v>863</v>
      </c>
      <c r="B402" s="4" t="s">
        <v>864</v>
      </c>
      <c r="C402" s="4" t="s">
        <v>29</v>
      </c>
      <c r="D402" s="4" t="s">
        <v>18</v>
      </c>
      <c r="E402" s="4"/>
      <c r="F402" s="4" t="n">
        <v>30</v>
      </c>
      <c r="G402" s="4" t="n">
        <v>296</v>
      </c>
      <c r="L402" s="1" t="str">
        <f aca="false">IF(ISNUMBER(SEARCH("Bundle",C402)),"Bundles",IF(ISNUMBER(SEARCH("Airtime",C402)),"Bundles",IF(ISNUMBER(SEARCH("Merchant",C402)),"Merchant Payment",IF(ISNUMBER(SEARCH("Offnet C2B",C402)),"Merchant Payment",IF(ISNUMBER(SEARCH("Offnet B2C",C402)),"Merchant Payment",IF(ISNUMBER(SEARCH("Customer Payment to Small",C402)),"Merchant Payment",IF(ISNUMBER(SEARCH("Payment to Small Business",C402)),"Merchant Payment",IF(ISNUMBER(SEARCH("Sent to",C402)),"Sent to Person",IF(ISNUMBER(SEARCH("Customer Transfer to",C402)),"Sent to Person",IF(ISNUMBER(SEARCH("Business Payment",C402)),"Money In",IF(ISNUMBER(SEARCH("Funds Received",C402)),"Money In",IF(ISNUMBER(SEARCH("Receive International",C402)),"Money In",IF(ISNUMBER(SEARCH("Send Money Reversal",C402)),"Money In",IF(ISNUMBER(SEARCH("Pay Utility Reversal",C402)),"Money In",IF(ISNUMBER(SEARCH("Customer Transfer",C402)),"Money In",IF(ISNUMBER(SEARCH("Ziidi",C402)),"Investment",IF(ISNUMBER(SEARCH("Nabo",C402)),"Investment",IF(ISNUMBER(SEARCH("Paybill Online",C402)),"Pay Bill",IF(ISNUMBER(SEARCH("Pay Bill",C402)),"Pay Bill",IF(ISNUMBER(SEARCH("Spotify",C402)),"Pay Bill",IF(ISNUMBER(SEARCH("M-Shwari",C402)),"Mshwari",IF(ISNUMBER(SEARCH("Mshwari",C402)),"Mshwari",IF(ISNUMBER(SEARCH("Withdrawal charge",C402)),"Fees",IF(ISNUMBER(SEARCH("Customer Withdrawal",C402)),"Fees",IF(ISNUMBER(SEARCH("charge",C402)),"Fees","Other")))))))))))))))))))))))))</f>
        <v>Bundles</v>
      </c>
      <c r="R402" s="1" t="str">
        <f aca="false">TEXT(B402,"MMM YYYY")</f>
        <v>Mar 2026</v>
      </c>
    </row>
    <row r="403" customFormat="false" ht="13.8" hidden="false" customHeight="false" outlineLevel="0" collapsed="false">
      <c r="A403" s="4" t="s">
        <v>865</v>
      </c>
      <c r="B403" s="4" t="s">
        <v>866</v>
      </c>
      <c r="C403" s="4" t="s">
        <v>29</v>
      </c>
      <c r="D403" s="4" t="s">
        <v>18</v>
      </c>
      <c r="E403" s="4"/>
      <c r="F403" s="4" t="n">
        <v>10</v>
      </c>
      <c r="G403" s="4" t="n">
        <v>286</v>
      </c>
      <c r="L403" s="1" t="str">
        <f aca="false">IF(ISNUMBER(SEARCH("Bundle",C403)),"Bundles",IF(ISNUMBER(SEARCH("Airtime",C403)),"Bundles",IF(ISNUMBER(SEARCH("Merchant",C403)),"Merchant Payment",IF(ISNUMBER(SEARCH("Offnet C2B",C403)),"Merchant Payment",IF(ISNUMBER(SEARCH("Offnet B2C",C403)),"Merchant Payment",IF(ISNUMBER(SEARCH("Customer Payment to Small",C403)),"Merchant Payment",IF(ISNUMBER(SEARCH("Payment to Small Business",C403)),"Merchant Payment",IF(ISNUMBER(SEARCH("Sent to",C403)),"Sent to Person",IF(ISNUMBER(SEARCH("Customer Transfer to",C403)),"Sent to Person",IF(ISNUMBER(SEARCH("Business Payment",C403)),"Money In",IF(ISNUMBER(SEARCH("Funds Received",C403)),"Money In",IF(ISNUMBER(SEARCH("Receive International",C403)),"Money In",IF(ISNUMBER(SEARCH("Send Money Reversal",C403)),"Money In",IF(ISNUMBER(SEARCH("Pay Utility Reversal",C403)),"Money In",IF(ISNUMBER(SEARCH("Customer Transfer",C403)),"Money In",IF(ISNUMBER(SEARCH("Ziidi",C403)),"Investment",IF(ISNUMBER(SEARCH("Nabo",C403)),"Investment",IF(ISNUMBER(SEARCH("Paybill Online",C403)),"Pay Bill",IF(ISNUMBER(SEARCH("Pay Bill",C403)),"Pay Bill",IF(ISNUMBER(SEARCH("Spotify",C403)),"Pay Bill",IF(ISNUMBER(SEARCH("M-Shwari",C403)),"Mshwari",IF(ISNUMBER(SEARCH("Mshwari",C403)),"Mshwari",IF(ISNUMBER(SEARCH("Withdrawal charge",C403)),"Fees",IF(ISNUMBER(SEARCH("Customer Withdrawal",C403)),"Fees",IF(ISNUMBER(SEARCH("charge",C403)),"Fees","Other")))))))))))))))))))))))))</f>
        <v>Bundles</v>
      </c>
      <c r="R403" s="1" t="str">
        <f aca="false">TEXT(B403,"MMM YYYY")</f>
        <v>Mar 2026</v>
      </c>
    </row>
    <row r="404" customFormat="false" ht="13.8" hidden="false" customHeight="false" outlineLevel="0" collapsed="false">
      <c r="A404" s="4" t="s">
        <v>867</v>
      </c>
      <c r="B404" s="4" t="s">
        <v>868</v>
      </c>
      <c r="C404" s="4" t="s">
        <v>17</v>
      </c>
      <c r="D404" s="4" t="s">
        <v>18</v>
      </c>
      <c r="E404" s="4"/>
      <c r="F404" s="4" t="n">
        <v>20</v>
      </c>
      <c r="G404" s="4" t="n">
        <v>266</v>
      </c>
      <c r="L404" s="1" t="str">
        <f aca="false">IF(ISNUMBER(SEARCH("Bundle",C404)),"Bundles",IF(ISNUMBER(SEARCH("Airtime",C404)),"Bundles",IF(ISNUMBER(SEARCH("Merchant",C404)),"Merchant Payment",IF(ISNUMBER(SEARCH("Offnet C2B",C404)),"Merchant Payment",IF(ISNUMBER(SEARCH("Offnet B2C",C404)),"Merchant Payment",IF(ISNUMBER(SEARCH("Customer Payment to Small",C404)),"Merchant Payment",IF(ISNUMBER(SEARCH("Payment to Small Business",C404)),"Merchant Payment",IF(ISNUMBER(SEARCH("Sent to",C404)),"Sent to Person",IF(ISNUMBER(SEARCH("Customer Transfer to",C404)),"Sent to Person",IF(ISNUMBER(SEARCH("Business Payment",C404)),"Money In",IF(ISNUMBER(SEARCH("Funds Received",C404)),"Money In",IF(ISNUMBER(SEARCH("Receive International",C404)),"Money In",IF(ISNUMBER(SEARCH("Send Money Reversal",C404)),"Money In",IF(ISNUMBER(SEARCH("Pay Utility Reversal",C404)),"Money In",IF(ISNUMBER(SEARCH("Customer Transfer",C404)),"Money In",IF(ISNUMBER(SEARCH("Ziidi",C404)),"Investment",IF(ISNUMBER(SEARCH("Nabo",C404)),"Investment",IF(ISNUMBER(SEARCH("Paybill Online",C404)),"Pay Bill",IF(ISNUMBER(SEARCH("Pay Bill",C404)),"Pay Bill",IF(ISNUMBER(SEARCH("Spotify",C404)),"Pay Bill",IF(ISNUMBER(SEARCH("M-Shwari",C404)),"Mshwari",IF(ISNUMBER(SEARCH("Mshwari",C404)),"Mshwari",IF(ISNUMBER(SEARCH("Withdrawal charge",C404)),"Fees",IF(ISNUMBER(SEARCH("Customer Withdrawal",C404)),"Fees",IF(ISNUMBER(SEARCH("charge",C404)),"Fees","Other")))))))))))))))))))))))))</f>
        <v>Bundles</v>
      </c>
      <c r="R404" s="1" t="str">
        <f aca="false">TEXT(B404,"MMM YYYY")</f>
        <v>Mar 2026</v>
      </c>
    </row>
    <row r="405" customFormat="false" ht="13.8" hidden="false" customHeight="false" outlineLevel="0" collapsed="false">
      <c r="A405" s="4" t="s">
        <v>869</v>
      </c>
      <c r="B405" s="4" t="s">
        <v>870</v>
      </c>
      <c r="C405" s="4" t="s">
        <v>17</v>
      </c>
      <c r="D405" s="4" t="s">
        <v>18</v>
      </c>
      <c r="E405" s="4"/>
      <c r="F405" s="4" t="n">
        <v>20</v>
      </c>
      <c r="G405" s="4" t="n">
        <v>246</v>
      </c>
      <c r="L405" s="1" t="str">
        <f aca="false">IF(ISNUMBER(SEARCH("Bundle",C405)),"Bundles",IF(ISNUMBER(SEARCH("Airtime",C405)),"Bundles",IF(ISNUMBER(SEARCH("Merchant",C405)),"Merchant Payment",IF(ISNUMBER(SEARCH("Offnet C2B",C405)),"Merchant Payment",IF(ISNUMBER(SEARCH("Offnet B2C",C405)),"Merchant Payment",IF(ISNUMBER(SEARCH("Customer Payment to Small",C405)),"Merchant Payment",IF(ISNUMBER(SEARCH("Payment to Small Business",C405)),"Merchant Payment",IF(ISNUMBER(SEARCH("Sent to",C405)),"Sent to Person",IF(ISNUMBER(SEARCH("Customer Transfer to",C405)),"Sent to Person",IF(ISNUMBER(SEARCH("Business Payment",C405)),"Money In",IF(ISNUMBER(SEARCH("Funds Received",C405)),"Money In",IF(ISNUMBER(SEARCH("Receive International",C405)),"Money In",IF(ISNUMBER(SEARCH("Send Money Reversal",C405)),"Money In",IF(ISNUMBER(SEARCH("Pay Utility Reversal",C405)),"Money In",IF(ISNUMBER(SEARCH("Customer Transfer",C405)),"Money In",IF(ISNUMBER(SEARCH("Ziidi",C405)),"Investment",IF(ISNUMBER(SEARCH("Nabo",C405)),"Investment",IF(ISNUMBER(SEARCH("Paybill Online",C405)),"Pay Bill",IF(ISNUMBER(SEARCH("Pay Bill",C405)),"Pay Bill",IF(ISNUMBER(SEARCH("Spotify",C405)),"Pay Bill",IF(ISNUMBER(SEARCH("M-Shwari",C405)),"Mshwari",IF(ISNUMBER(SEARCH("Mshwari",C405)),"Mshwari",IF(ISNUMBER(SEARCH("Withdrawal charge",C405)),"Fees",IF(ISNUMBER(SEARCH("Customer Withdrawal",C405)),"Fees",IF(ISNUMBER(SEARCH("charge",C405)),"Fees","Other")))))))))))))))))))))))))</f>
        <v>Bundles</v>
      </c>
      <c r="R405" s="1" t="str">
        <f aca="false">TEXT(B405,"MMM YYYY")</f>
        <v>Mar 2026</v>
      </c>
    </row>
    <row r="406" customFormat="false" ht="13.8" hidden="false" customHeight="false" outlineLevel="0" collapsed="false">
      <c r="A406" s="4" t="s">
        <v>871</v>
      </c>
      <c r="B406" s="4" t="s">
        <v>872</v>
      </c>
      <c r="C406" s="4" t="s">
        <v>17</v>
      </c>
      <c r="D406" s="4" t="s">
        <v>18</v>
      </c>
      <c r="E406" s="4"/>
      <c r="F406" s="4" t="n">
        <v>20</v>
      </c>
      <c r="G406" s="4" t="n">
        <v>226</v>
      </c>
      <c r="L406" s="1" t="str">
        <f aca="false">IF(ISNUMBER(SEARCH("Bundle",C406)),"Bundles",IF(ISNUMBER(SEARCH("Airtime",C406)),"Bundles",IF(ISNUMBER(SEARCH("Merchant",C406)),"Merchant Payment",IF(ISNUMBER(SEARCH("Offnet C2B",C406)),"Merchant Payment",IF(ISNUMBER(SEARCH("Offnet B2C",C406)),"Merchant Payment",IF(ISNUMBER(SEARCH("Customer Payment to Small",C406)),"Merchant Payment",IF(ISNUMBER(SEARCH("Payment to Small Business",C406)),"Merchant Payment",IF(ISNUMBER(SEARCH("Sent to",C406)),"Sent to Person",IF(ISNUMBER(SEARCH("Customer Transfer to",C406)),"Sent to Person",IF(ISNUMBER(SEARCH("Business Payment",C406)),"Money In",IF(ISNUMBER(SEARCH("Funds Received",C406)),"Money In",IF(ISNUMBER(SEARCH("Receive International",C406)),"Money In",IF(ISNUMBER(SEARCH("Send Money Reversal",C406)),"Money In",IF(ISNUMBER(SEARCH("Pay Utility Reversal",C406)),"Money In",IF(ISNUMBER(SEARCH("Customer Transfer",C406)),"Money In",IF(ISNUMBER(SEARCH("Ziidi",C406)),"Investment",IF(ISNUMBER(SEARCH("Nabo",C406)),"Investment",IF(ISNUMBER(SEARCH("Paybill Online",C406)),"Pay Bill",IF(ISNUMBER(SEARCH("Pay Bill",C406)),"Pay Bill",IF(ISNUMBER(SEARCH("Spotify",C406)),"Pay Bill",IF(ISNUMBER(SEARCH("M-Shwari",C406)),"Mshwari",IF(ISNUMBER(SEARCH("Mshwari",C406)),"Mshwari",IF(ISNUMBER(SEARCH("Withdrawal charge",C406)),"Fees",IF(ISNUMBER(SEARCH("Customer Withdrawal",C406)),"Fees",IF(ISNUMBER(SEARCH("charge",C406)),"Fees","Other")))))))))))))))))))))))))</f>
        <v>Bundles</v>
      </c>
      <c r="R406" s="1" t="str">
        <f aca="false">TEXT(B406,"MMM YYYY")</f>
        <v>Mar 2026</v>
      </c>
    </row>
    <row r="407" customFormat="false" ht="13.8" hidden="false" customHeight="false" outlineLevel="0" collapsed="false">
      <c r="A407" s="4" t="s">
        <v>873</v>
      </c>
      <c r="B407" s="4" t="s">
        <v>874</v>
      </c>
      <c r="C407" s="4" t="s">
        <v>29</v>
      </c>
      <c r="D407" s="4" t="s">
        <v>18</v>
      </c>
      <c r="E407" s="4"/>
      <c r="F407" s="4" t="n">
        <v>20</v>
      </c>
      <c r="G407" s="4" t="n">
        <v>206</v>
      </c>
      <c r="L407" s="1" t="str">
        <f aca="false">IF(ISNUMBER(SEARCH("Bundle",C407)),"Bundles",IF(ISNUMBER(SEARCH("Airtime",C407)),"Bundles",IF(ISNUMBER(SEARCH("Merchant",C407)),"Merchant Payment",IF(ISNUMBER(SEARCH("Offnet C2B",C407)),"Merchant Payment",IF(ISNUMBER(SEARCH("Offnet B2C",C407)),"Merchant Payment",IF(ISNUMBER(SEARCH("Customer Payment to Small",C407)),"Merchant Payment",IF(ISNUMBER(SEARCH("Payment to Small Business",C407)),"Merchant Payment",IF(ISNUMBER(SEARCH("Sent to",C407)),"Sent to Person",IF(ISNUMBER(SEARCH("Customer Transfer to",C407)),"Sent to Person",IF(ISNUMBER(SEARCH("Business Payment",C407)),"Money In",IF(ISNUMBER(SEARCH("Funds Received",C407)),"Money In",IF(ISNUMBER(SEARCH("Receive International",C407)),"Money In",IF(ISNUMBER(SEARCH("Send Money Reversal",C407)),"Money In",IF(ISNUMBER(SEARCH("Pay Utility Reversal",C407)),"Money In",IF(ISNUMBER(SEARCH("Customer Transfer",C407)),"Money In",IF(ISNUMBER(SEARCH("Ziidi",C407)),"Investment",IF(ISNUMBER(SEARCH("Nabo",C407)),"Investment",IF(ISNUMBER(SEARCH("Paybill Online",C407)),"Pay Bill",IF(ISNUMBER(SEARCH("Pay Bill",C407)),"Pay Bill",IF(ISNUMBER(SEARCH("Spotify",C407)),"Pay Bill",IF(ISNUMBER(SEARCH("M-Shwari",C407)),"Mshwari",IF(ISNUMBER(SEARCH("Mshwari",C407)),"Mshwari",IF(ISNUMBER(SEARCH("Withdrawal charge",C407)),"Fees",IF(ISNUMBER(SEARCH("Customer Withdrawal",C407)),"Fees",IF(ISNUMBER(SEARCH("charge",C407)),"Fees","Other")))))))))))))))))))))))))</f>
        <v>Bundles</v>
      </c>
      <c r="R407" s="1" t="str">
        <f aca="false">TEXT(B407,"MMM YYYY")</f>
        <v>Mar 2026</v>
      </c>
    </row>
    <row r="408" customFormat="false" ht="13.8" hidden="false" customHeight="false" outlineLevel="0" collapsed="false">
      <c r="A408" s="4" t="s">
        <v>875</v>
      </c>
      <c r="B408" s="4" t="s">
        <v>876</v>
      </c>
      <c r="C408" s="4" t="s">
        <v>17</v>
      </c>
      <c r="D408" s="4" t="s">
        <v>18</v>
      </c>
      <c r="E408" s="4"/>
      <c r="F408" s="4" t="n">
        <v>20</v>
      </c>
      <c r="G408" s="4" t="n">
        <v>186</v>
      </c>
      <c r="L408" s="1" t="str">
        <f aca="false">IF(ISNUMBER(SEARCH("Bundle",C408)),"Bundles",IF(ISNUMBER(SEARCH("Airtime",C408)),"Bundles",IF(ISNUMBER(SEARCH("Merchant",C408)),"Merchant Payment",IF(ISNUMBER(SEARCH("Offnet C2B",C408)),"Merchant Payment",IF(ISNUMBER(SEARCH("Offnet B2C",C408)),"Merchant Payment",IF(ISNUMBER(SEARCH("Customer Payment to Small",C408)),"Merchant Payment",IF(ISNUMBER(SEARCH("Payment to Small Business",C408)),"Merchant Payment",IF(ISNUMBER(SEARCH("Sent to",C408)),"Sent to Person",IF(ISNUMBER(SEARCH("Customer Transfer to",C408)),"Sent to Person",IF(ISNUMBER(SEARCH("Business Payment",C408)),"Money In",IF(ISNUMBER(SEARCH("Funds Received",C408)),"Money In",IF(ISNUMBER(SEARCH("Receive International",C408)),"Money In",IF(ISNUMBER(SEARCH("Send Money Reversal",C408)),"Money In",IF(ISNUMBER(SEARCH("Pay Utility Reversal",C408)),"Money In",IF(ISNUMBER(SEARCH("Customer Transfer",C408)),"Money In",IF(ISNUMBER(SEARCH("Ziidi",C408)),"Investment",IF(ISNUMBER(SEARCH("Nabo",C408)),"Investment",IF(ISNUMBER(SEARCH("Paybill Online",C408)),"Pay Bill",IF(ISNUMBER(SEARCH("Pay Bill",C408)),"Pay Bill",IF(ISNUMBER(SEARCH("Spotify",C408)),"Pay Bill",IF(ISNUMBER(SEARCH("M-Shwari",C408)),"Mshwari",IF(ISNUMBER(SEARCH("Mshwari",C408)),"Mshwari",IF(ISNUMBER(SEARCH("Withdrawal charge",C408)),"Fees",IF(ISNUMBER(SEARCH("Customer Withdrawal",C408)),"Fees",IF(ISNUMBER(SEARCH("charge",C408)),"Fees","Other")))))))))))))))))))))))))</f>
        <v>Bundles</v>
      </c>
      <c r="R408" s="1" t="str">
        <f aca="false">TEXT(B408,"MMM YYYY")</f>
        <v>Mar 2026</v>
      </c>
    </row>
    <row r="409" customFormat="false" ht="13.8" hidden="false" customHeight="false" outlineLevel="0" collapsed="false">
      <c r="A409" s="4" t="s">
        <v>877</v>
      </c>
      <c r="B409" s="4" t="s">
        <v>878</v>
      </c>
      <c r="C409" s="4" t="s">
        <v>29</v>
      </c>
      <c r="D409" s="4" t="s">
        <v>18</v>
      </c>
      <c r="E409" s="4"/>
      <c r="F409" s="4" t="n">
        <v>10</v>
      </c>
      <c r="G409" s="4" t="n">
        <v>176</v>
      </c>
      <c r="L409" s="1" t="str">
        <f aca="false">IF(ISNUMBER(SEARCH("Bundle",C409)),"Bundles",IF(ISNUMBER(SEARCH("Airtime",C409)),"Bundles",IF(ISNUMBER(SEARCH("Merchant",C409)),"Merchant Payment",IF(ISNUMBER(SEARCH("Offnet C2B",C409)),"Merchant Payment",IF(ISNUMBER(SEARCH("Offnet B2C",C409)),"Merchant Payment",IF(ISNUMBER(SEARCH("Customer Payment to Small",C409)),"Merchant Payment",IF(ISNUMBER(SEARCH("Payment to Small Business",C409)),"Merchant Payment",IF(ISNUMBER(SEARCH("Sent to",C409)),"Sent to Person",IF(ISNUMBER(SEARCH("Customer Transfer to",C409)),"Sent to Person",IF(ISNUMBER(SEARCH("Business Payment",C409)),"Money In",IF(ISNUMBER(SEARCH("Funds Received",C409)),"Money In",IF(ISNUMBER(SEARCH("Receive International",C409)),"Money In",IF(ISNUMBER(SEARCH("Send Money Reversal",C409)),"Money In",IF(ISNUMBER(SEARCH("Pay Utility Reversal",C409)),"Money In",IF(ISNUMBER(SEARCH("Customer Transfer",C409)),"Money In",IF(ISNUMBER(SEARCH("Ziidi",C409)),"Investment",IF(ISNUMBER(SEARCH("Nabo",C409)),"Investment",IF(ISNUMBER(SEARCH("Paybill Online",C409)),"Pay Bill",IF(ISNUMBER(SEARCH("Pay Bill",C409)),"Pay Bill",IF(ISNUMBER(SEARCH("Spotify",C409)),"Pay Bill",IF(ISNUMBER(SEARCH("M-Shwari",C409)),"Mshwari",IF(ISNUMBER(SEARCH("Mshwari",C409)),"Mshwari",IF(ISNUMBER(SEARCH("Withdrawal charge",C409)),"Fees",IF(ISNUMBER(SEARCH("Customer Withdrawal",C409)),"Fees",IF(ISNUMBER(SEARCH("charge",C409)),"Fees","Other")))))))))))))))))))))))))</f>
        <v>Bundles</v>
      </c>
      <c r="R409" s="1" t="str">
        <f aca="false">TEXT(B409,"MMM YYYY")</f>
        <v>Mar 2026</v>
      </c>
    </row>
    <row r="410" customFormat="false" ht="13.8" hidden="false" customHeight="false" outlineLevel="0" collapsed="false">
      <c r="A410" s="4" t="s">
        <v>879</v>
      </c>
      <c r="B410" s="4" t="s">
        <v>880</v>
      </c>
      <c r="C410" s="4" t="s">
        <v>29</v>
      </c>
      <c r="D410" s="4" t="s">
        <v>18</v>
      </c>
      <c r="E410" s="4"/>
      <c r="F410" s="4" t="n">
        <v>20</v>
      </c>
      <c r="G410" s="4" t="n">
        <v>156</v>
      </c>
      <c r="L410" s="1" t="str">
        <f aca="false">IF(ISNUMBER(SEARCH("Bundle",C410)),"Bundles",IF(ISNUMBER(SEARCH("Airtime",C410)),"Bundles",IF(ISNUMBER(SEARCH("Merchant",C410)),"Merchant Payment",IF(ISNUMBER(SEARCH("Offnet C2B",C410)),"Merchant Payment",IF(ISNUMBER(SEARCH("Offnet B2C",C410)),"Merchant Payment",IF(ISNUMBER(SEARCH("Customer Payment to Small",C410)),"Merchant Payment",IF(ISNUMBER(SEARCH("Payment to Small Business",C410)),"Merchant Payment",IF(ISNUMBER(SEARCH("Sent to",C410)),"Sent to Person",IF(ISNUMBER(SEARCH("Customer Transfer to",C410)),"Sent to Person",IF(ISNUMBER(SEARCH("Business Payment",C410)),"Money In",IF(ISNUMBER(SEARCH("Funds Received",C410)),"Money In",IF(ISNUMBER(SEARCH("Receive International",C410)),"Money In",IF(ISNUMBER(SEARCH("Send Money Reversal",C410)),"Money In",IF(ISNUMBER(SEARCH("Pay Utility Reversal",C410)),"Money In",IF(ISNUMBER(SEARCH("Customer Transfer",C410)),"Money In",IF(ISNUMBER(SEARCH("Ziidi",C410)),"Investment",IF(ISNUMBER(SEARCH("Nabo",C410)),"Investment",IF(ISNUMBER(SEARCH("Paybill Online",C410)),"Pay Bill",IF(ISNUMBER(SEARCH("Pay Bill",C410)),"Pay Bill",IF(ISNUMBER(SEARCH("Spotify",C410)),"Pay Bill",IF(ISNUMBER(SEARCH("M-Shwari",C410)),"Mshwari",IF(ISNUMBER(SEARCH("Mshwari",C410)),"Mshwari",IF(ISNUMBER(SEARCH("Withdrawal charge",C410)),"Fees",IF(ISNUMBER(SEARCH("Customer Withdrawal",C410)),"Fees",IF(ISNUMBER(SEARCH("charge",C410)),"Fees","Other")))))))))))))))))))))))))</f>
        <v>Bundles</v>
      </c>
      <c r="R410" s="1" t="str">
        <f aca="false">TEXT(B410,"MMM YYYY")</f>
        <v>Mar 2026</v>
      </c>
    </row>
    <row r="411" customFormat="false" ht="13.8" hidden="false" customHeight="false" outlineLevel="0" collapsed="false">
      <c r="A411" s="4" t="s">
        <v>881</v>
      </c>
      <c r="B411" s="4" t="s">
        <v>882</v>
      </c>
      <c r="C411" s="4" t="s">
        <v>192</v>
      </c>
      <c r="D411" s="4" t="s">
        <v>18</v>
      </c>
      <c r="E411" s="4" t="n">
        <v>200</v>
      </c>
      <c r="F411" s="4"/>
      <c r="G411" s="4" t="n">
        <v>356</v>
      </c>
      <c r="L411" s="1" t="str">
        <f aca="false">IF(ISNUMBER(SEARCH("Bundle",C411)),"Bundles",IF(ISNUMBER(SEARCH("Airtime",C411)),"Bundles",IF(ISNUMBER(SEARCH("Merchant",C411)),"Merchant Payment",IF(ISNUMBER(SEARCH("Offnet C2B",C411)),"Merchant Payment",IF(ISNUMBER(SEARCH("Offnet B2C",C411)),"Merchant Payment",IF(ISNUMBER(SEARCH("Customer Payment to Small",C411)),"Merchant Payment",IF(ISNUMBER(SEARCH("Payment to Small Business",C411)),"Merchant Payment",IF(ISNUMBER(SEARCH("Sent to",C411)),"Sent to Person",IF(ISNUMBER(SEARCH("Customer Transfer to",C411)),"Sent to Person",IF(ISNUMBER(SEARCH("Business Payment",C411)),"Money In",IF(ISNUMBER(SEARCH("Funds Received",C411)),"Money In",IF(ISNUMBER(SEARCH("Receive International",C411)),"Money In",IF(ISNUMBER(SEARCH("Send Money Reversal",C411)),"Money In",IF(ISNUMBER(SEARCH("Pay Utility Reversal",C411)),"Money In",IF(ISNUMBER(SEARCH("Customer Transfer",C411)),"Money In",IF(ISNUMBER(SEARCH("Ziidi",C411)),"Investment",IF(ISNUMBER(SEARCH("Nabo",C411)),"Investment",IF(ISNUMBER(SEARCH("Paybill Online",C411)),"Pay Bill",IF(ISNUMBER(SEARCH("Pay Bill",C411)),"Pay Bill",IF(ISNUMBER(SEARCH("Spotify",C411)),"Pay Bill",IF(ISNUMBER(SEARCH("M-Shwari",C411)),"Mshwari",IF(ISNUMBER(SEARCH("Mshwari",C411)),"Mshwari",IF(ISNUMBER(SEARCH("Withdrawal charge",C411)),"Fees",IF(ISNUMBER(SEARCH("Customer Withdrawal",C411)),"Fees",IF(ISNUMBER(SEARCH("charge",C411)),"Fees","Other")))))))))))))))))))))))))</f>
        <v>Mshwari</v>
      </c>
      <c r="R411" s="1" t="str">
        <f aca="false">TEXT(B411,"MMM YYYY")</f>
        <v>Mar 2026</v>
      </c>
    </row>
    <row r="412" customFormat="false" ht="13.8" hidden="false" customHeight="false" outlineLevel="0" collapsed="false">
      <c r="A412" s="4" t="s">
        <v>883</v>
      </c>
      <c r="B412" s="4" t="s">
        <v>884</v>
      </c>
      <c r="C412" s="4" t="s">
        <v>435</v>
      </c>
      <c r="D412" s="4" t="s">
        <v>18</v>
      </c>
      <c r="E412" s="4"/>
      <c r="F412" s="4" t="n">
        <v>80</v>
      </c>
      <c r="G412" s="4" t="n">
        <v>276</v>
      </c>
      <c r="L412" s="1" t="str">
        <f aca="false">IF(ISNUMBER(SEARCH("Bundle",C412)),"Bundles",IF(ISNUMBER(SEARCH("Airtime",C412)),"Bundles",IF(ISNUMBER(SEARCH("Merchant",C412)),"Merchant Payment",IF(ISNUMBER(SEARCH("Offnet C2B",C412)),"Merchant Payment",IF(ISNUMBER(SEARCH("Offnet B2C",C412)),"Merchant Payment",IF(ISNUMBER(SEARCH("Customer Payment to Small",C412)),"Merchant Payment",IF(ISNUMBER(SEARCH("Payment to Small Business",C412)),"Merchant Payment",IF(ISNUMBER(SEARCH("Sent to",C412)),"Sent to Person",IF(ISNUMBER(SEARCH("Customer Transfer to",C412)),"Sent to Person",IF(ISNUMBER(SEARCH("Business Payment",C412)),"Money In",IF(ISNUMBER(SEARCH("Funds Received",C412)),"Money In",IF(ISNUMBER(SEARCH("Receive International",C412)),"Money In",IF(ISNUMBER(SEARCH("Send Money Reversal",C412)),"Money In",IF(ISNUMBER(SEARCH("Pay Utility Reversal",C412)),"Money In",IF(ISNUMBER(SEARCH("Customer Transfer",C412)),"Money In",IF(ISNUMBER(SEARCH("Ziidi",C412)),"Investment",IF(ISNUMBER(SEARCH("Nabo",C412)),"Investment",IF(ISNUMBER(SEARCH("Paybill Online",C412)),"Pay Bill",IF(ISNUMBER(SEARCH("Pay Bill",C412)),"Pay Bill",IF(ISNUMBER(SEARCH("Spotify",C412)),"Pay Bill",IF(ISNUMBER(SEARCH("M-Shwari",C412)),"Mshwari",IF(ISNUMBER(SEARCH("Mshwari",C412)),"Mshwari",IF(ISNUMBER(SEARCH("Withdrawal charge",C412)),"Fees",IF(ISNUMBER(SEARCH("Customer Withdrawal",C412)),"Fees",IF(ISNUMBER(SEARCH("charge",C412)),"Fees","Other")))))))))))))))))))))))))</f>
        <v>Merchant Payment</v>
      </c>
      <c r="R412" s="1" t="str">
        <f aca="false">TEXT(B412,"MMM YYYY")</f>
        <v>Mar 2026</v>
      </c>
    </row>
    <row r="413" customFormat="false" ht="13.8" hidden="false" customHeight="false" outlineLevel="0" collapsed="false">
      <c r="A413" s="4" t="s">
        <v>885</v>
      </c>
      <c r="B413" s="4" t="s">
        <v>886</v>
      </c>
      <c r="C413" s="4" t="s">
        <v>666</v>
      </c>
      <c r="D413" s="4" t="s">
        <v>18</v>
      </c>
      <c r="E413" s="4"/>
      <c r="F413" s="4" t="n">
        <v>60</v>
      </c>
      <c r="G413" s="4" t="n">
        <v>216</v>
      </c>
      <c r="L413" s="1" t="str">
        <f aca="false">IF(ISNUMBER(SEARCH("Bundle",C413)),"Bundles",IF(ISNUMBER(SEARCH("Airtime",C413)),"Bundles",IF(ISNUMBER(SEARCH("Merchant",C413)),"Merchant Payment",IF(ISNUMBER(SEARCH("Offnet C2B",C413)),"Merchant Payment",IF(ISNUMBER(SEARCH("Offnet B2C",C413)),"Merchant Payment",IF(ISNUMBER(SEARCH("Customer Payment to Small",C413)),"Merchant Payment",IF(ISNUMBER(SEARCH("Payment to Small Business",C413)),"Merchant Payment",IF(ISNUMBER(SEARCH("Sent to",C413)),"Sent to Person",IF(ISNUMBER(SEARCH("Customer Transfer to",C413)),"Sent to Person",IF(ISNUMBER(SEARCH("Business Payment",C413)),"Money In",IF(ISNUMBER(SEARCH("Funds Received",C413)),"Money In",IF(ISNUMBER(SEARCH("Receive International",C413)),"Money In",IF(ISNUMBER(SEARCH("Send Money Reversal",C413)),"Money In",IF(ISNUMBER(SEARCH("Pay Utility Reversal",C413)),"Money In",IF(ISNUMBER(SEARCH("Customer Transfer",C413)),"Money In",IF(ISNUMBER(SEARCH("Ziidi",C413)),"Investment",IF(ISNUMBER(SEARCH("Nabo",C413)),"Investment",IF(ISNUMBER(SEARCH("Paybill Online",C413)),"Pay Bill",IF(ISNUMBER(SEARCH("Pay Bill",C413)),"Pay Bill",IF(ISNUMBER(SEARCH("Spotify",C413)),"Pay Bill",IF(ISNUMBER(SEARCH("M-Shwari",C413)),"Mshwari",IF(ISNUMBER(SEARCH("Mshwari",C413)),"Mshwari",IF(ISNUMBER(SEARCH("Withdrawal charge",C413)),"Fees",IF(ISNUMBER(SEARCH("Customer Withdrawal",C413)),"Fees",IF(ISNUMBER(SEARCH("charge",C413)),"Fees","Other")))))))))))))))))))))))))</f>
        <v>Merchant Payment</v>
      </c>
      <c r="R413" s="1" t="str">
        <f aca="false">TEXT(B413,"MMM YYYY")</f>
        <v>Mar 2026</v>
      </c>
    </row>
    <row r="414" customFormat="false" ht="13.8" hidden="false" customHeight="false" outlineLevel="0" collapsed="false">
      <c r="A414" s="4" t="s">
        <v>887</v>
      </c>
      <c r="B414" s="4" t="s">
        <v>888</v>
      </c>
      <c r="C414" s="4" t="s">
        <v>316</v>
      </c>
      <c r="D414" s="4" t="s">
        <v>18</v>
      </c>
      <c r="E414" s="4"/>
      <c r="F414" s="4" t="n">
        <v>130</v>
      </c>
      <c r="G414" s="4" t="n">
        <v>86</v>
      </c>
      <c r="L414" s="1" t="str">
        <f aca="false">IF(ISNUMBER(SEARCH("Bundle",C414)),"Bundles",IF(ISNUMBER(SEARCH("Airtime",C414)),"Bundles",IF(ISNUMBER(SEARCH("Merchant",C414)),"Merchant Payment",IF(ISNUMBER(SEARCH("Offnet C2B",C414)),"Merchant Payment",IF(ISNUMBER(SEARCH("Offnet B2C",C414)),"Merchant Payment",IF(ISNUMBER(SEARCH("Customer Payment to Small",C414)),"Merchant Payment",IF(ISNUMBER(SEARCH("Payment to Small Business",C414)),"Merchant Payment",IF(ISNUMBER(SEARCH("Sent to",C414)),"Sent to Person",IF(ISNUMBER(SEARCH("Customer Transfer to",C414)),"Sent to Person",IF(ISNUMBER(SEARCH("Business Payment",C414)),"Money In",IF(ISNUMBER(SEARCH("Funds Received",C414)),"Money In",IF(ISNUMBER(SEARCH("Receive International",C414)),"Money In",IF(ISNUMBER(SEARCH("Send Money Reversal",C414)),"Money In",IF(ISNUMBER(SEARCH("Pay Utility Reversal",C414)),"Money In",IF(ISNUMBER(SEARCH("Customer Transfer",C414)),"Money In",IF(ISNUMBER(SEARCH("Ziidi",C414)),"Investment",IF(ISNUMBER(SEARCH("Nabo",C414)),"Investment",IF(ISNUMBER(SEARCH("Paybill Online",C414)),"Pay Bill",IF(ISNUMBER(SEARCH("Pay Bill",C414)),"Pay Bill",IF(ISNUMBER(SEARCH("Spotify",C414)),"Pay Bill",IF(ISNUMBER(SEARCH("M-Shwari",C414)),"Mshwari",IF(ISNUMBER(SEARCH("Mshwari",C414)),"Mshwari",IF(ISNUMBER(SEARCH("Withdrawal charge",C414)),"Fees",IF(ISNUMBER(SEARCH("Customer Withdrawal",C414)),"Fees",IF(ISNUMBER(SEARCH("charge",C414)),"Fees","Other")))))))))))))))))))))))))</f>
        <v>Merchant Payment</v>
      </c>
      <c r="R414" s="1" t="str">
        <f aca="false">TEXT(B414,"MMM YYYY")</f>
        <v>Mar 2026</v>
      </c>
    </row>
    <row r="415" customFormat="false" ht="13.8" hidden="false" customHeight="false" outlineLevel="0" collapsed="false">
      <c r="A415" s="4" t="s">
        <v>889</v>
      </c>
      <c r="B415" s="4" t="s">
        <v>890</v>
      </c>
      <c r="C415" s="4" t="s">
        <v>29</v>
      </c>
      <c r="D415" s="4" t="s">
        <v>18</v>
      </c>
      <c r="E415" s="4"/>
      <c r="F415" s="4" t="n">
        <v>10</v>
      </c>
      <c r="G415" s="4" t="n">
        <v>76</v>
      </c>
      <c r="L415" s="1" t="str">
        <f aca="false">IF(ISNUMBER(SEARCH("Bundle",C415)),"Bundles",IF(ISNUMBER(SEARCH("Airtime",C415)),"Bundles",IF(ISNUMBER(SEARCH("Merchant",C415)),"Merchant Payment",IF(ISNUMBER(SEARCH("Offnet C2B",C415)),"Merchant Payment",IF(ISNUMBER(SEARCH("Offnet B2C",C415)),"Merchant Payment",IF(ISNUMBER(SEARCH("Customer Payment to Small",C415)),"Merchant Payment",IF(ISNUMBER(SEARCH("Payment to Small Business",C415)),"Merchant Payment",IF(ISNUMBER(SEARCH("Sent to",C415)),"Sent to Person",IF(ISNUMBER(SEARCH("Customer Transfer to",C415)),"Sent to Person",IF(ISNUMBER(SEARCH("Business Payment",C415)),"Money In",IF(ISNUMBER(SEARCH("Funds Received",C415)),"Money In",IF(ISNUMBER(SEARCH("Receive International",C415)),"Money In",IF(ISNUMBER(SEARCH("Send Money Reversal",C415)),"Money In",IF(ISNUMBER(SEARCH("Pay Utility Reversal",C415)),"Money In",IF(ISNUMBER(SEARCH("Customer Transfer",C415)),"Money In",IF(ISNUMBER(SEARCH("Ziidi",C415)),"Investment",IF(ISNUMBER(SEARCH("Nabo",C415)),"Investment",IF(ISNUMBER(SEARCH("Paybill Online",C415)),"Pay Bill",IF(ISNUMBER(SEARCH("Pay Bill",C415)),"Pay Bill",IF(ISNUMBER(SEARCH("Spotify",C415)),"Pay Bill",IF(ISNUMBER(SEARCH("M-Shwari",C415)),"Mshwari",IF(ISNUMBER(SEARCH("Mshwari",C415)),"Mshwari",IF(ISNUMBER(SEARCH("Withdrawal charge",C415)),"Fees",IF(ISNUMBER(SEARCH("Customer Withdrawal",C415)),"Fees",IF(ISNUMBER(SEARCH("charge",C415)),"Fees","Other")))))))))))))))))))))))))</f>
        <v>Bundles</v>
      </c>
      <c r="R415" s="1" t="str">
        <f aca="false">TEXT(B415,"MMM YYYY")</f>
        <v>Mar 2026</v>
      </c>
    </row>
    <row r="416" customFormat="false" ht="13.8" hidden="false" customHeight="false" outlineLevel="0" collapsed="false">
      <c r="A416" s="4" t="s">
        <v>891</v>
      </c>
      <c r="B416" s="4" t="s">
        <v>892</v>
      </c>
      <c r="C416" s="4" t="s">
        <v>29</v>
      </c>
      <c r="D416" s="4" t="s">
        <v>18</v>
      </c>
      <c r="E416" s="4"/>
      <c r="F416" s="4" t="n">
        <v>10</v>
      </c>
      <c r="G416" s="4" t="n">
        <v>66</v>
      </c>
      <c r="L416" s="1" t="str">
        <f aca="false">IF(ISNUMBER(SEARCH("Bundle",C416)),"Bundles",IF(ISNUMBER(SEARCH("Airtime",C416)),"Bundles",IF(ISNUMBER(SEARCH("Merchant",C416)),"Merchant Payment",IF(ISNUMBER(SEARCH("Offnet C2B",C416)),"Merchant Payment",IF(ISNUMBER(SEARCH("Offnet B2C",C416)),"Merchant Payment",IF(ISNUMBER(SEARCH("Customer Payment to Small",C416)),"Merchant Payment",IF(ISNUMBER(SEARCH("Payment to Small Business",C416)),"Merchant Payment",IF(ISNUMBER(SEARCH("Sent to",C416)),"Sent to Person",IF(ISNUMBER(SEARCH("Customer Transfer to",C416)),"Sent to Person",IF(ISNUMBER(SEARCH("Business Payment",C416)),"Money In",IF(ISNUMBER(SEARCH("Funds Received",C416)),"Money In",IF(ISNUMBER(SEARCH("Receive International",C416)),"Money In",IF(ISNUMBER(SEARCH("Send Money Reversal",C416)),"Money In",IF(ISNUMBER(SEARCH("Pay Utility Reversal",C416)),"Money In",IF(ISNUMBER(SEARCH("Customer Transfer",C416)),"Money In",IF(ISNUMBER(SEARCH("Ziidi",C416)),"Investment",IF(ISNUMBER(SEARCH("Nabo",C416)),"Investment",IF(ISNUMBER(SEARCH("Paybill Online",C416)),"Pay Bill",IF(ISNUMBER(SEARCH("Pay Bill",C416)),"Pay Bill",IF(ISNUMBER(SEARCH("Spotify",C416)),"Pay Bill",IF(ISNUMBER(SEARCH("M-Shwari",C416)),"Mshwari",IF(ISNUMBER(SEARCH("Mshwari",C416)),"Mshwari",IF(ISNUMBER(SEARCH("Withdrawal charge",C416)),"Fees",IF(ISNUMBER(SEARCH("Customer Withdrawal",C416)),"Fees",IF(ISNUMBER(SEARCH("charge",C416)),"Fees","Other")))))))))))))))))))))))))</f>
        <v>Bundles</v>
      </c>
      <c r="R416" s="1" t="str">
        <f aca="false">TEXT(B416,"MMM YYYY")</f>
        <v>Mar 2026</v>
      </c>
    </row>
    <row r="417" customFormat="false" ht="13.8" hidden="false" customHeight="false" outlineLevel="0" collapsed="false">
      <c r="A417" s="4" t="s">
        <v>893</v>
      </c>
      <c r="B417" s="4" t="s">
        <v>894</v>
      </c>
      <c r="C417" s="4" t="s">
        <v>29</v>
      </c>
      <c r="D417" s="4" t="s">
        <v>18</v>
      </c>
      <c r="E417" s="4"/>
      <c r="F417" s="4" t="n">
        <v>20</v>
      </c>
      <c r="G417" s="4" t="n">
        <v>46</v>
      </c>
      <c r="L417" s="1" t="str">
        <f aca="false">IF(ISNUMBER(SEARCH("Bundle",C417)),"Bundles",IF(ISNUMBER(SEARCH("Airtime",C417)),"Bundles",IF(ISNUMBER(SEARCH("Merchant",C417)),"Merchant Payment",IF(ISNUMBER(SEARCH("Offnet C2B",C417)),"Merchant Payment",IF(ISNUMBER(SEARCH("Offnet B2C",C417)),"Merchant Payment",IF(ISNUMBER(SEARCH("Customer Payment to Small",C417)),"Merchant Payment",IF(ISNUMBER(SEARCH("Payment to Small Business",C417)),"Merchant Payment",IF(ISNUMBER(SEARCH("Sent to",C417)),"Sent to Person",IF(ISNUMBER(SEARCH("Customer Transfer to",C417)),"Sent to Person",IF(ISNUMBER(SEARCH("Business Payment",C417)),"Money In",IF(ISNUMBER(SEARCH("Funds Received",C417)),"Money In",IF(ISNUMBER(SEARCH("Receive International",C417)),"Money In",IF(ISNUMBER(SEARCH("Send Money Reversal",C417)),"Money In",IF(ISNUMBER(SEARCH("Pay Utility Reversal",C417)),"Money In",IF(ISNUMBER(SEARCH("Customer Transfer",C417)),"Money In",IF(ISNUMBER(SEARCH("Ziidi",C417)),"Investment",IF(ISNUMBER(SEARCH("Nabo",C417)),"Investment",IF(ISNUMBER(SEARCH("Paybill Online",C417)),"Pay Bill",IF(ISNUMBER(SEARCH("Pay Bill",C417)),"Pay Bill",IF(ISNUMBER(SEARCH("Spotify",C417)),"Pay Bill",IF(ISNUMBER(SEARCH("M-Shwari",C417)),"Mshwari",IF(ISNUMBER(SEARCH("Mshwari",C417)),"Mshwari",IF(ISNUMBER(SEARCH("Withdrawal charge",C417)),"Fees",IF(ISNUMBER(SEARCH("Customer Withdrawal",C417)),"Fees",IF(ISNUMBER(SEARCH("charge",C417)),"Fees","Other")))))))))))))))))))))))))</f>
        <v>Bundles</v>
      </c>
      <c r="R417" s="1" t="str">
        <f aca="false">TEXT(B417,"MMM YYYY")</f>
        <v>Mar 2026</v>
      </c>
    </row>
    <row r="418" customFormat="false" ht="13.8" hidden="false" customHeight="false" outlineLevel="0" collapsed="false">
      <c r="A418" s="4" t="s">
        <v>895</v>
      </c>
      <c r="B418" s="4" t="s">
        <v>896</v>
      </c>
      <c r="C418" s="4" t="s">
        <v>897</v>
      </c>
      <c r="D418" s="4" t="s">
        <v>18</v>
      </c>
      <c r="E418" s="4" t="n">
        <v>3000</v>
      </c>
      <c r="F418" s="4"/>
      <c r="G418" s="4" t="n">
        <v>3046</v>
      </c>
      <c r="L418" s="1" t="str">
        <f aca="false">IF(ISNUMBER(SEARCH("Bundle",C418)),"Bundles",IF(ISNUMBER(SEARCH("Airtime",C418)),"Bundles",IF(ISNUMBER(SEARCH("Merchant",C418)),"Merchant Payment",IF(ISNUMBER(SEARCH("Offnet C2B",C418)),"Merchant Payment",IF(ISNUMBER(SEARCH("Offnet B2C",C418)),"Merchant Payment",IF(ISNUMBER(SEARCH("Customer Payment to Small",C418)),"Merchant Payment",IF(ISNUMBER(SEARCH("Payment to Small Business",C418)),"Merchant Payment",IF(ISNUMBER(SEARCH("Sent to",C418)),"Sent to Person",IF(ISNUMBER(SEARCH("Customer Transfer to",C418)),"Sent to Person",IF(ISNUMBER(SEARCH("Business Payment",C418)),"Money In",IF(ISNUMBER(SEARCH("Funds Received",C418)),"Money In",IF(ISNUMBER(SEARCH("Receive International",C418)),"Money In",IF(ISNUMBER(SEARCH("Send Money Reversal",C418)),"Money In",IF(ISNUMBER(SEARCH("Pay Utility Reversal",C418)),"Money In",IF(ISNUMBER(SEARCH("Customer Transfer",C418)),"Money In",IF(ISNUMBER(SEARCH("Ziidi",C418)),"Investment",IF(ISNUMBER(SEARCH("Nabo",C418)),"Investment",IF(ISNUMBER(SEARCH("Paybill Online",C418)),"Pay Bill",IF(ISNUMBER(SEARCH("Pay Bill",C418)),"Pay Bill",IF(ISNUMBER(SEARCH("Spotify",C418)),"Pay Bill",IF(ISNUMBER(SEARCH("M-Shwari",C418)),"Mshwari",IF(ISNUMBER(SEARCH("Mshwari",C418)),"Mshwari",IF(ISNUMBER(SEARCH("Withdrawal charge",C418)),"Fees",IF(ISNUMBER(SEARCH("Customer Withdrawal",C418)),"Fees",IF(ISNUMBER(SEARCH("charge",C418)),"Fees","Other")))))))))))))))))))))))))</f>
        <v>Money In</v>
      </c>
      <c r="R418" s="1" t="str">
        <f aca="false">TEXT(B418,"MMM YYYY")</f>
        <v>Mar 2026</v>
      </c>
    </row>
    <row r="419" customFormat="false" ht="13.8" hidden="false" customHeight="false" outlineLevel="0" collapsed="false">
      <c r="A419" s="4" t="s">
        <v>898</v>
      </c>
      <c r="B419" s="4" t="s">
        <v>899</v>
      </c>
      <c r="C419" s="4" t="s">
        <v>29</v>
      </c>
      <c r="D419" s="4" t="s">
        <v>18</v>
      </c>
      <c r="E419" s="4"/>
      <c r="F419" s="4" t="n">
        <v>10</v>
      </c>
      <c r="G419" s="4" t="n">
        <v>3036</v>
      </c>
      <c r="L419" s="1" t="str">
        <f aca="false">IF(ISNUMBER(SEARCH("Bundle",C419)),"Bundles",IF(ISNUMBER(SEARCH("Airtime",C419)),"Bundles",IF(ISNUMBER(SEARCH("Merchant",C419)),"Merchant Payment",IF(ISNUMBER(SEARCH("Offnet C2B",C419)),"Merchant Payment",IF(ISNUMBER(SEARCH("Offnet B2C",C419)),"Merchant Payment",IF(ISNUMBER(SEARCH("Customer Payment to Small",C419)),"Merchant Payment",IF(ISNUMBER(SEARCH("Payment to Small Business",C419)),"Merchant Payment",IF(ISNUMBER(SEARCH("Sent to",C419)),"Sent to Person",IF(ISNUMBER(SEARCH("Customer Transfer to",C419)),"Sent to Person",IF(ISNUMBER(SEARCH("Business Payment",C419)),"Money In",IF(ISNUMBER(SEARCH("Funds Received",C419)),"Money In",IF(ISNUMBER(SEARCH("Receive International",C419)),"Money In",IF(ISNUMBER(SEARCH("Send Money Reversal",C419)),"Money In",IF(ISNUMBER(SEARCH("Pay Utility Reversal",C419)),"Money In",IF(ISNUMBER(SEARCH("Customer Transfer",C419)),"Money In",IF(ISNUMBER(SEARCH("Ziidi",C419)),"Investment",IF(ISNUMBER(SEARCH("Nabo",C419)),"Investment",IF(ISNUMBER(SEARCH("Paybill Online",C419)),"Pay Bill",IF(ISNUMBER(SEARCH("Pay Bill",C419)),"Pay Bill",IF(ISNUMBER(SEARCH("Spotify",C419)),"Pay Bill",IF(ISNUMBER(SEARCH("M-Shwari",C419)),"Mshwari",IF(ISNUMBER(SEARCH("Mshwari",C419)),"Mshwari",IF(ISNUMBER(SEARCH("Withdrawal charge",C419)),"Fees",IF(ISNUMBER(SEARCH("Customer Withdrawal",C419)),"Fees",IF(ISNUMBER(SEARCH("charge",C419)),"Fees","Other")))))))))))))))))))))))))</f>
        <v>Bundles</v>
      </c>
      <c r="R419" s="1" t="str">
        <f aca="false">TEXT(B419,"MMM YYYY")</f>
        <v>Mar 2026</v>
      </c>
    </row>
    <row r="420" customFormat="false" ht="13.8" hidden="false" customHeight="false" outlineLevel="0" collapsed="false">
      <c r="A420" s="4" t="s">
        <v>900</v>
      </c>
      <c r="B420" s="4" t="s">
        <v>901</v>
      </c>
      <c r="C420" s="4" t="s">
        <v>192</v>
      </c>
      <c r="D420" s="4" t="s">
        <v>18</v>
      </c>
      <c r="E420" s="4" t="n">
        <v>1400</v>
      </c>
      <c r="F420" s="4"/>
      <c r="G420" s="4" t="n">
        <v>4436</v>
      </c>
      <c r="L420" s="1" t="str">
        <f aca="false">IF(ISNUMBER(SEARCH("Bundle",C420)),"Bundles",IF(ISNUMBER(SEARCH("Airtime",C420)),"Bundles",IF(ISNUMBER(SEARCH("Merchant",C420)),"Merchant Payment",IF(ISNUMBER(SEARCH("Offnet C2B",C420)),"Merchant Payment",IF(ISNUMBER(SEARCH("Offnet B2C",C420)),"Merchant Payment",IF(ISNUMBER(SEARCH("Customer Payment to Small",C420)),"Merchant Payment",IF(ISNUMBER(SEARCH("Payment to Small Business",C420)),"Merchant Payment",IF(ISNUMBER(SEARCH("Sent to",C420)),"Sent to Person",IF(ISNUMBER(SEARCH("Customer Transfer to",C420)),"Sent to Person",IF(ISNUMBER(SEARCH("Business Payment",C420)),"Money In",IF(ISNUMBER(SEARCH("Funds Received",C420)),"Money In",IF(ISNUMBER(SEARCH("Receive International",C420)),"Money In",IF(ISNUMBER(SEARCH("Send Money Reversal",C420)),"Money In",IF(ISNUMBER(SEARCH("Pay Utility Reversal",C420)),"Money In",IF(ISNUMBER(SEARCH("Customer Transfer",C420)),"Money In",IF(ISNUMBER(SEARCH("Ziidi",C420)),"Investment",IF(ISNUMBER(SEARCH("Nabo",C420)),"Investment",IF(ISNUMBER(SEARCH("Paybill Online",C420)),"Pay Bill",IF(ISNUMBER(SEARCH("Pay Bill",C420)),"Pay Bill",IF(ISNUMBER(SEARCH("Spotify",C420)),"Pay Bill",IF(ISNUMBER(SEARCH("M-Shwari",C420)),"Mshwari",IF(ISNUMBER(SEARCH("Mshwari",C420)),"Mshwari",IF(ISNUMBER(SEARCH("Withdrawal charge",C420)),"Fees",IF(ISNUMBER(SEARCH("Customer Withdrawal",C420)),"Fees",IF(ISNUMBER(SEARCH("charge",C420)),"Fees","Other")))))))))))))))))))))))))</f>
        <v>Mshwari</v>
      </c>
      <c r="R420" s="1" t="str">
        <f aca="false">TEXT(B420,"MMM YYYY")</f>
        <v>Mar 2026</v>
      </c>
    </row>
    <row r="421" customFormat="false" ht="13.8" hidden="false" customHeight="false" outlineLevel="0" collapsed="false">
      <c r="A421" s="4" t="s">
        <v>902</v>
      </c>
      <c r="B421" s="4" t="s">
        <v>903</v>
      </c>
      <c r="C421" s="4" t="s">
        <v>621</v>
      </c>
      <c r="D421" s="4" t="s">
        <v>18</v>
      </c>
      <c r="E421" s="4"/>
      <c r="F421" s="4" t="n">
        <v>4000</v>
      </c>
      <c r="G421" s="4" t="n">
        <v>436</v>
      </c>
      <c r="L421" s="1" t="str">
        <f aca="false">IF(ISNUMBER(SEARCH("Bundle",C421)),"Bundles",IF(ISNUMBER(SEARCH("Airtime",C421)),"Bundles",IF(ISNUMBER(SEARCH("Merchant",C421)),"Merchant Payment",IF(ISNUMBER(SEARCH("Offnet C2B",C421)),"Merchant Payment",IF(ISNUMBER(SEARCH("Offnet B2C",C421)),"Merchant Payment",IF(ISNUMBER(SEARCH("Customer Payment to Small",C421)),"Merchant Payment",IF(ISNUMBER(SEARCH("Payment to Small Business",C421)),"Merchant Payment",IF(ISNUMBER(SEARCH("Sent to",C421)),"Sent to Person",IF(ISNUMBER(SEARCH("Customer Transfer to",C421)),"Sent to Person",IF(ISNUMBER(SEARCH("Business Payment",C421)),"Money In",IF(ISNUMBER(SEARCH("Funds Received",C421)),"Money In",IF(ISNUMBER(SEARCH("Receive International",C421)),"Money In",IF(ISNUMBER(SEARCH("Send Money Reversal",C421)),"Money In",IF(ISNUMBER(SEARCH("Pay Utility Reversal",C421)),"Money In",IF(ISNUMBER(SEARCH("Customer Transfer",C421)),"Money In",IF(ISNUMBER(SEARCH("Ziidi",C421)),"Investment",IF(ISNUMBER(SEARCH("Nabo",C421)),"Investment",IF(ISNUMBER(SEARCH("Paybill Online",C421)),"Pay Bill",IF(ISNUMBER(SEARCH("Pay Bill",C421)),"Pay Bill",IF(ISNUMBER(SEARCH("Spotify",C421)),"Pay Bill",IF(ISNUMBER(SEARCH("M-Shwari",C421)),"Mshwari",IF(ISNUMBER(SEARCH("Mshwari",C421)),"Mshwari",IF(ISNUMBER(SEARCH("Withdrawal charge",C421)),"Fees",IF(ISNUMBER(SEARCH("Customer Withdrawal",C421)),"Fees",IF(ISNUMBER(SEARCH("charge",C421)),"Fees","Other")))))))))))))))))))))))))</f>
        <v>Mshwari</v>
      </c>
      <c r="R421" s="1" t="str">
        <f aca="false">TEXT(B421,"MMM YYYY")</f>
        <v>Mar 2026</v>
      </c>
    </row>
    <row r="422" customFormat="false" ht="13.8" hidden="false" customHeight="false" outlineLevel="0" collapsed="false">
      <c r="A422" s="4" t="s">
        <v>904</v>
      </c>
      <c r="B422" s="4" t="s">
        <v>905</v>
      </c>
      <c r="C422" s="4" t="s">
        <v>29</v>
      </c>
      <c r="D422" s="4" t="s">
        <v>18</v>
      </c>
      <c r="E422" s="4"/>
      <c r="F422" s="4" t="n">
        <v>20</v>
      </c>
      <c r="G422" s="4" t="n">
        <v>416</v>
      </c>
      <c r="L422" s="1" t="str">
        <f aca="false">IF(ISNUMBER(SEARCH("Bundle",C422)),"Bundles",IF(ISNUMBER(SEARCH("Airtime",C422)),"Bundles",IF(ISNUMBER(SEARCH("Merchant",C422)),"Merchant Payment",IF(ISNUMBER(SEARCH("Offnet C2B",C422)),"Merchant Payment",IF(ISNUMBER(SEARCH("Offnet B2C",C422)),"Merchant Payment",IF(ISNUMBER(SEARCH("Customer Payment to Small",C422)),"Merchant Payment",IF(ISNUMBER(SEARCH("Payment to Small Business",C422)),"Merchant Payment",IF(ISNUMBER(SEARCH("Sent to",C422)),"Sent to Person",IF(ISNUMBER(SEARCH("Customer Transfer to",C422)),"Sent to Person",IF(ISNUMBER(SEARCH("Business Payment",C422)),"Money In",IF(ISNUMBER(SEARCH("Funds Received",C422)),"Money In",IF(ISNUMBER(SEARCH("Receive International",C422)),"Money In",IF(ISNUMBER(SEARCH("Send Money Reversal",C422)),"Money In",IF(ISNUMBER(SEARCH("Pay Utility Reversal",C422)),"Money In",IF(ISNUMBER(SEARCH("Customer Transfer",C422)),"Money In",IF(ISNUMBER(SEARCH("Ziidi",C422)),"Investment",IF(ISNUMBER(SEARCH("Nabo",C422)),"Investment",IF(ISNUMBER(SEARCH("Paybill Online",C422)),"Pay Bill",IF(ISNUMBER(SEARCH("Pay Bill",C422)),"Pay Bill",IF(ISNUMBER(SEARCH("Spotify",C422)),"Pay Bill",IF(ISNUMBER(SEARCH("M-Shwari",C422)),"Mshwari",IF(ISNUMBER(SEARCH("Mshwari",C422)),"Mshwari",IF(ISNUMBER(SEARCH("Withdrawal charge",C422)),"Fees",IF(ISNUMBER(SEARCH("Customer Withdrawal",C422)),"Fees",IF(ISNUMBER(SEARCH("charge",C422)),"Fees","Other")))))))))))))))))))))))))</f>
        <v>Bundles</v>
      </c>
      <c r="R422" s="1" t="str">
        <f aca="false">TEXT(B422,"MMM YYYY")</f>
        <v>Mar 2026</v>
      </c>
    </row>
    <row r="423" customFormat="false" ht="13.8" hidden="false" customHeight="false" outlineLevel="0" collapsed="false">
      <c r="A423" s="4" t="s">
        <v>906</v>
      </c>
      <c r="B423" s="4" t="s">
        <v>907</v>
      </c>
      <c r="C423" s="4" t="s">
        <v>908</v>
      </c>
      <c r="D423" s="4" t="s">
        <v>18</v>
      </c>
      <c r="E423" s="4"/>
      <c r="F423" s="4" t="n">
        <v>80</v>
      </c>
      <c r="G423" s="4" t="n">
        <v>336</v>
      </c>
      <c r="L423" s="1" t="str">
        <f aca="false">IF(ISNUMBER(SEARCH("Bundle",C423)),"Bundles",IF(ISNUMBER(SEARCH("Airtime",C423)),"Bundles",IF(ISNUMBER(SEARCH("Merchant",C423)),"Merchant Payment",IF(ISNUMBER(SEARCH("Offnet C2B",C423)),"Merchant Payment",IF(ISNUMBER(SEARCH("Offnet B2C",C423)),"Merchant Payment",IF(ISNUMBER(SEARCH("Customer Payment to Small",C423)),"Merchant Payment",IF(ISNUMBER(SEARCH("Payment to Small Business",C423)),"Merchant Payment",IF(ISNUMBER(SEARCH("Sent to",C423)),"Sent to Person",IF(ISNUMBER(SEARCH("Customer Transfer to",C423)),"Sent to Person",IF(ISNUMBER(SEARCH("Business Payment",C423)),"Money In",IF(ISNUMBER(SEARCH("Funds Received",C423)),"Money In",IF(ISNUMBER(SEARCH("Receive International",C423)),"Money In",IF(ISNUMBER(SEARCH("Send Money Reversal",C423)),"Money In",IF(ISNUMBER(SEARCH("Pay Utility Reversal",C423)),"Money In",IF(ISNUMBER(SEARCH("Customer Transfer",C423)),"Money In",IF(ISNUMBER(SEARCH("Ziidi",C423)),"Investment",IF(ISNUMBER(SEARCH("Nabo",C423)),"Investment",IF(ISNUMBER(SEARCH("Paybill Online",C423)),"Pay Bill",IF(ISNUMBER(SEARCH("Pay Bill",C423)),"Pay Bill",IF(ISNUMBER(SEARCH("Spotify",C423)),"Pay Bill",IF(ISNUMBER(SEARCH("M-Shwari",C423)),"Mshwari",IF(ISNUMBER(SEARCH("Mshwari",C423)),"Mshwari",IF(ISNUMBER(SEARCH("Withdrawal charge",C423)),"Fees",IF(ISNUMBER(SEARCH("Customer Withdrawal",C423)),"Fees",IF(ISNUMBER(SEARCH("charge",C423)),"Fees","Other")))))))))))))))))))))))))</f>
        <v>Merchant Payment</v>
      </c>
      <c r="R423" s="1" t="str">
        <f aca="false">TEXT(B423,"MMM YYYY")</f>
        <v>Mar 2026</v>
      </c>
    </row>
    <row r="424" customFormat="false" ht="13.8" hidden="false" customHeight="false" outlineLevel="0" collapsed="false">
      <c r="A424" s="4" t="s">
        <v>909</v>
      </c>
      <c r="B424" s="4" t="s">
        <v>910</v>
      </c>
      <c r="C424" s="4" t="s">
        <v>635</v>
      </c>
      <c r="D424" s="4" t="s">
        <v>18</v>
      </c>
      <c r="E424" s="4"/>
      <c r="F424" s="4" t="n">
        <v>20</v>
      </c>
      <c r="G424" s="4" t="n">
        <v>316</v>
      </c>
      <c r="L424" s="1" t="str">
        <f aca="false">IF(ISNUMBER(SEARCH("Bundle",C424)),"Bundles",IF(ISNUMBER(SEARCH("Airtime",C424)),"Bundles",IF(ISNUMBER(SEARCH("Merchant",C424)),"Merchant Payment",IF(ISNUMBER(SEARCH("Offnet C2B",C424)),"Merchant Payment",IF(ISNUMBER(SEARCH("Offnet B2C",C424)),"Merchant Payment",IF(ISNUMBER(SEARCH("Customer Payment to Small",C424)),"Merchant Payment",IF(ISNUMBER(SEARCH("Payment to Small Business",C424)),"Merchant Payment",IF(ISNUMBER(SEARCH("Sent to",C424)),"Sent to Person",IF(ISNUMBER(SEARCH("Customer Transfer to",C424)),"Sent to Person",IF(ISNUMBER(SEARCH("Business Payment",C424)),"Money In",IF(ISNUMBER(SEARCH("Funds Received",C424)),"Money In",IF(ISNUMBER(SEARCH("Receive International",C424)),"Money In",IF(ISNUMBER(SEARCH("Send Money Reversal",C424)),"Money In",IF(ISNUMBER(SEARCH("Pay Utility Reversal",C424)),"Money In",IF(ISNUMBER(SEARCH("Customer Transfer",C424)),"Money In",IF(ISNUMBER(SEARCH("Ziidi",C424)),"Investment",IF(ISNUMBER(SEARCH("Nabo",C424)),"Investment",IF(ISNUMBER(SEARCH("Paybill Online",C424)),"Pay Bill",IF(ISNUMBER(SEARCH("Pay Bill",C424)),"Pay Bill",IF(ISNUMBER(SEARCH("Spotify",C424)),"Pay Bill",IF(ISNUMBER(SEARCH("M-Shwari",C424)),"Mshwari",IF(ISNUMBER(SEARCH("Mshwari",C424)),"Mshwari",IF(ISNUMBER(SEARCH("Withdrawal charge",C424)),"Fees",IF(ISNUMBER(SEARCH("Customer Withdrawal",C424)),"Fees",IF(ISNUMBER(SEARCH("charge",C424)),"Fees","Other")))))))))))))))))))))))))</f>
        <v>Merchant Payment</v>
      </c>
      <c r="R424" s="1" t="str">
        <f aca="false">TEXT(B424,"MMM YYYY")</f>
        <v>Mar 2026</v>
      </c>
    </row>
    <row r="425" customFormat="false" ht="13.8" hidden="false" customHeight="false" outlineLevel="0" collapsed="false">
      <c r="A425" s="4" t="s">
        <v>911</v>
      </c>
      <c r="B425" s="4" t="s">
        <v>912</v>
      </c>
      <c r="C425" s="4" t="s">
        <v>29</v>
      </c>
      <c r="D425" s="4" t="s">
        <v>18</v>
      </c>
      <c r="E425" s="4"/>
      <c r="F425" s="4" t="n">
        <v>10</v>
      </c>
      <c r="G425" s="4" t="n">
        <v>306</v>
      </c>
      <c r="L425" s="1" t="str">
        <f aca="false">IF(ISNUMBER(SEARCH("Bundle",C425)),"Bundles",IF(ISNUMBER(SEARCH("Airtime",C425)),"Bundles",IF(ISNUMBER(SEARCH("Merchant",C425)),"Merchant Payment",IF(ISNUMBER(SEARCH("Offnet C2B",C425)),"Merchant Payment",IF(ISNUMBER(SEARCH("Offnet B2C",C425)),"Merchant Payment",IF(ISNUMBER(SEARCH("Customer Payment to Small",C425)),"Merchant Payment",IF(ISNUMBER(SEARCH("Payment to Small Business",C425)),"Merchant Payment",IF(ISNUMBER(SEARCH("Sent to",C425)),"Sent to Person",IF(ISNUMBER(SEARCH("Customer Transfer to",C425)),"Sent to Person",IF(ISNUMBER(SEARCH("Business Payment",C425)),"Money In",IF(ISNUMBER(SEARCH("Funds Received",C425)),"Money In",IF(ISNUMBER(SEARCH("Receive International",C425)),"Money In",IF(ISNUMBER(SEARCH("Send Money Reversal",C425)),"Money In",IF(ISNUMBER(SEARCH("Pay Utility Reversal",C425)),"Money In",IF(ISNUMBER(SEARCH("Customer Transfer",C425)),"Money In",IF(ISNUMBER(SEARCH("Ziidi",C425)),"Investment",IF(ISNUMBER(SEARCH("Nabo",C425)),"Investment",IF(ISNUMBER(SEARCH("Paybill Online",C425)),"Pay Bill",IF(ISNUMBER(SEARCH("Pay Bill",C425)),"Pay Bill",IF(ISNUMBER(SEARCH("Spotify",C425)),"Pay Bill",IF(ISNUMBER(SEARCH("M-Shwari",C425)),"Mshwari",IF(ISNUMBER(SEARCH("Mshwari",C425)),"Mshwari",IF(ISNUMBER(SEARCH("Withdrawal charge",C425)),"Fees",IF(ISNUMBER(SEARCH("Customer Withdrawal",C425)),"Fees",IF(ISNUMBER(SEARCH("charge",C425)),"Fees","Other")))))))))))))))))))))))))</f>
        <v>Bundles</v>
      </c>
      <c r="R425" s="1" t="str">
        <f aca="false">TEXT(B425,"MMM YYYY")</f>
        <v>Mar 2026</v>
      </c>
    </row>
    <row r="426" customFormat="false" ht="13.8" hidden="false" customHeight="false" outlineLevel="0" collapsed="false">
      <c r="A426" s="4" t="s">
        <v>913</v>
      </c>
      <c r="B426" s="4" t="s">
        <v>914</v>
      </c>
      <c r="C426" s="4" t="s">
        <v>29</v>
      </c>
      <c r="D426" s="4" t="s">
        <v>18</v>
      </c>
      <c r="E426" s="4"/>
      <c r="F426" s="4" t="n">
        <v>20</v>
      </c>
      <c r="G426" s="4" t="n">
        <v>286</v>
      </c>
      <c r="L426" s="1" t="str">
        <f aca="false">IF(ISNUMBER(SEARCH("Bundle",C426)),"Bundles",IF(ISNUMBER(SEARCH("Airtime",C426)),"Bundles",IF(ISNUMBER(SEARCH("Merchant",C426)),"Merchant Payment",IF(ISNUMBER(SEARCH("Offnet C2B",C426)),"Merchant Payment",IF(ISNUMBER(SEARCH("Offnet B2C",C426)),"Merchant Payment",IF(ISNUMBER(SEARCH("Customer Payment to Small",C426)),"Merchant Payment",IF(ISNUMBER(SEARCH("Payment to Small Business",C426)),"Merchant Payment",IF(ISNUMBER(SEARCH("Sent to",C426)),"Sent to Person",IF(ISNUMBER(SEARCH("Customer Transfer to",C426)),"Sent to Person",IF(ISNUMBER(SEARCH("Business Payment",C426)),"Money In",IF(ISNUMBER(SEARCH("Funds Received",C426)),"Money In",IF(ISNUMBER(SEARCH("Receive International",C426)),"Money In",IF(ISNUMBER(SEARCH("Send Money Reversal",C426)),"Money In",IF(ISNUMBER(SEARCH("Pay Utility Reversal",C426)),"Money In",IF(ISNUMBER(SEARCH("Customer Transfer",C426)),"Money In",IF(ISNUMBER(SEARCH("Ziidi",C426)),"Investment",IF(ISNUMBER(SEARCH("Nabo",C426)),"Investment",IF(ISNUMBER(SEARCH("Paybill Online",C426)),"Pay Bill",IF(ISNUMBER(SEARCH("Pay Bill",C426)),"Pay Bill",IF(ISNUMBER(SEARCH("Spotify",C426)),"Pay Bill",IF(ISNUMBER(SEARCH("M-Shwari",C426)),"Mshwari",IF(ISNUMBER(SEARCH("Mshwari",C426)),"Mshwari",IF(ISNUMBER(SEARCH("Withdrawal charge",C426)),"Fees",IF(ISNUMBER(SEARCH("Customer Withdrawal",C426)),"Fees",IF(ISNUMBER(SEARCH("charge",C426)),"Fees","Other")))))))))))))))))))))))))</f>
        <v>Bundles</v>
      </c>
      <c r="R426" s="1" t="str">
        <f aca="false">TEXT(B426,"MMM YYYY")</f>
        <v>Mar 2026</v>
      </c>
    </row>
    <row r="427" customFormat="false" ht="13.8" hidden="false" customHeight="false" outlineLevel="0" collapsed="false">
      <c r="A427" s="4" t="s">
        <v>915</v>
      </c>
      <c r="B427" s="4" t="s">
        <v>916</v>
      </c>
      <c r="C427" s="4" t="s">
        <v>29</v>
      </c>
      <c r="D427" s="4" t="s">
        <v>18</v>
      </c>
      <c r="E427" s="4"/>
      <c r="F427" s="4" t="n">
        <v>20</v>
      </c>
      <c r="G427" s="4" t="n">
        <v>266</v>
      </c>
      <c r="L427" s="1" t="str">
        <f aca="false">IF(ISNUMBER(SEARCH("Bundle",C427)),"Bundles",IF(ISNUMBER(SEARCH("Airtime",C427)),"Bundles",IF(ISNUMBER(SEARCH("Merchant",C427)),"Merchant Payment",IF(ISNUMBER(SEARCH("Offnet C2B",C427)),"Merchant Payment",IF(ISNUMBER(SEARCH("Offnet B2C",C427)),"Merchant Payment",IF(ISNUMBER(SEARCH("Customer Payment to Small",C427)),"Merchant Payment",IF(ISNUMBER(SEARCH("Payment to Small Business",C427)),"Merchant Payment",IF(ISNUMBER(SEARCH("Sent to",C427)),"Sent to Person",IF(ISNUMBER(SEARCH("Customer Transfer to",C427)),"Sent to Person",IF(ISNUMBER(SEARCH("Business Payment",C427)),"Money In",IF(ISNUMBER(SEARCH("Funds Received",C427)),"Money In",IF(ISNUMBER(SEARCH("Receive International",C427)),"Money In",IF(ISNUMBER(SEARCH("Send Money Reversal",C427)),"Money In",IF(ISNUMBER(SEARCH("Pay Utility Reversal",C427)),"Money In",IF(ISNUMBER(SEARCH("Customer Transfer",C427)),"Money In",IF(ISNUMBER(SEARCH("Ziidi",C427)),"Investment",IF(ISNUMBER(SEARCH("Nabo",C427)),"Investment",IF(ISNUMBER(SEARCH("Paybill Online",C427)),"Pay Bill",IF(ISNUMBER(SEARCH("Pay Bill",C427)),"Pay Bill",IF(ISNUMBER(SEARCH("Spotify",C427)),"Pay Bill",IF(ISNUMBER(SEARCH("M-Shwari",C427)),"Mshwari",IF(ISNUMBER(SEARCH("Mshwari",C427)),"Mshwari",IF(ISNUMBER(SEARCH("Withdrawal charge",C427)),"Fees",IF(ISNUMBER(SEARCH("Customer Withdrawal",C427)),"Fees",IF(ISNUMBER(SEARCH("charge",C427)),"Fees","Other")))))))))))))))))))))))))</f>
        <v>Bundles</v>
      </c>
      <c r="R427" s="1" t="str">
        <f aca="false">TEXT(B427,"MMM YYYY")</f>
        <v>Mar 2026</v>
      </c>
    </row>
    <row r="428" customFormat="false" ht="13.8" hidden="false" customHeight="false" outlineLevel="0" collapsed="false">
      <c r="A428" s="4" t="s">
        <v>917</v>
      </c>
      <c r="B428" s="4" t="s">
        <v>918</v>
      </c>
      <c r="C428" s="4" t="s">
        <v>635</v>
      </c>
      <c r="D428" s="4" t="s">
        <v>18</v>
      </c>
      <c r="E428" s="4"/>
      <c r="F428" s="4" t="n">
        <v>40</v>
      </c>
      <c r="G428" s="4" t="n">
        <v>226</v>
      </c>
      <c r="L428" s="1" t="str">
        <f aca="false">IF(ISNUMBER(SEARCH("Bundle",C428)),"Bundles",IF(ISNUMBER(SEARCH("Airtime",C428)),"Bundles",IF(ISNUMBER(SEARCH("Merchant",C428)),"Merchant Payment",IF(ISNUMBER(SEARCH("Offnet C2B",C428)),"Merchant Payment",IF(ISNUMBER(SEARCH("Offnet B2C",C428)),"Merchant Payment",IF(ISNUMBER(SEARCH("Customer Payment to Small",C428)),"Merchant Payment",IF(ISNUMBER(SEARCH("Payment to Small Business",C428)),"Merchant Payment",IF(ISNUMBER(SEARCH("Sent to",C428)),"Sent to Person",IF(ISNUMBER(SEARCH("Customer Transfer to",C428)),"Sent to Person",IF(ISNUMBER(SEARCH("Business Payment",C428)),"Money In",IF(ISNUMBER(SEARCH("Funds Received",C428)),"Money In",IF(ISNUMBER(SEARCH("Receive International",C428)),"Money In",IF(ISNUMBER(SEARCH("Send Money Reversal",C428)),"Money In",IF(ISNUMBER(SEARCH("Pay Utility Reversal",C428)),"Money In",IF(ISNUMBER(SEARCH("Customer Transfer",C428)),"Money In",IF(ISNUMBER(SEARCH("Ziidi",C428)),"Investment",IF(ISNUMBER(SEARCH("Nabo",C428)),"Investment",IF(ISNUMBER(SEARCH("Paybill Online",C428)),"Pay Bill",IF(ISNUMBER(SEARCH("Pay Bill",C428)),"Pay Bill",IF(ISNUMBER(SEARCH("Spotify",C428)),"Pay Bill",IF(ISNUMBER(SEARCH("M-Shwari",C428)),"Mshwari",IF(ISNUMBER(SEARCH("Mshwari",C428)),"Mshwari",IF(ISNUMBER(SEARCH("Withdrawal charge",C428)),"Fees",IF(ISNUMBER(SEARCH("Customer Withdrawal",C428)),"Fees",IF(ISNUMBER(SEARCH("charge",C428)),"Fees","Other")))))))))))))))))))))))))</f>
        <v>Merchant Payment</v>
      </c>
      <c r="R428" s="1" t="str">
        <f aca="false">TEXT(B428,"MMM YYYY")</f>
        <v>Mar 2026</v>
      </c>
    </row>
    <row r="429" customFormat="false" ht="13.8" hidden="false" customHeight="false" outlineLevel="0" collapsed="false">
      <c r="A429" s="4" t="s">
        <v>919</v>
      </c>
      <c r="B429" s="4" t="s">
        <v>920</v>
      </c>
      <c r="C429" s="4" t="s">
        <v>29</v>
      </c>
      <c r="D429" s="4" t="s">
        <v>18</v>
      </c>
      <c r="E429" s="4"/>
      <c r="F429" s="4" t="n">
        <v>10</v>
      </c>
      <c r="G429" s="4" t="n">
        <v>216</v>
      </c>
      <c r="L429" s="1" t="str">
        <f aca="false">IF(ISNUMBER(SEARCH("Bundle",C429)),"Bundles",IF(ISNUMBER(SEARCH("Airtime",C429)),"Bundles",IF(ISNUMBER(SEARCH("Merchant",C429)),"Merchant Payment",IF(ISNUMBER(SEARCH("Offnet C2B",C429)),"Merchant Payment",IF(ISNUMBER(SEARCH("Offnet B2C",C429)),"Merchant Payment",IF(ISNUMBER(SEARCH("Customer Payment to Small",C429)),"Merchant Payment",IF(ISNUMBER(SEARCH("Payment to Small Business",C429)),"Merchant Payment",IF(ISNUMBER(SEARCH("Sent to",C429)),"Sent to Person",IF(ISNUMBER(SEARCH("Customer Transfer to",C429)),"Sent to Person",IF(ISNUMBER(SEARCH("Business Payment",C429)),"Money In",IF(ISNUMBER(SEARCH("Funds Received",C429)),"Money In",IF(ISNUMBER(SEARCH("Receive International",C429)),"Money In",IF(ISNUMBER(SEARCH("Send Money Reversal",C429)),"Money In",IF(ISNUMBER(SEARCH("Pay Utility Reversal",C429)),"Money In",IF(ISNUMBER(SEARCH("Customer Transfer",C429)),"Money In",IF(ISNUMBER(SEARCH("Ziidi",C429)),"Investment",IF(ISNUMBER(SEARCH("Nabo",C429)),"Investment",IF(ISNUMBER(SEARCH("Paybill Online",C429)),"Pay Bill",IF(ISNUMBER(SEARCH("Pay Bill",C429)),"Pay Bill",IF(ISNUMBER(SEARCH("Spotify",C429)),"Pay Bill",IF(ISNUMBER(SEARCH("M-Shwari",C429)),"Mshwari",IF(ISNUMBER(SEARCH("Mshwari",C429)),"Mshwari",IF(ISNUMBER(SEARCH("Withdrawal charge",C429)),"Fees",IF(ISNUMBER(SEARCH("Customer Withdrawal",C429)),"Fees",IF(ISNUMBER(SEARCH("charge",C429)),"Fees","Other")))))))))))))))))))))))))</f>
        <v>Bundles</v>
      </c>
      <c r="R429" s="1" t="str">
        <f aca="false">TEXT(B429,"MMM YYYY")</f>
        <v>Mar 2026</v>
      </c>
    </row>
    <row r="430" customFormat="false" ht="13.8" hidden="false" customHeight="false" outlineLevel="0" collapsed="false">
      <c r="A430" s="4" t="s">
        <v>921</v>
      </c>
      <c r="B430" s="4" t="s">
        <v>922</v>
      </c>
      <c r="C430" s="4" t="s">
        <v>445</v>
      </c>
      <c r="D430" s="4" t="s">
        <v>18</v>
      </c>
      <c r="E430" s="4" t="n">
        <v>2000</v>
      </c>
      <c r="F430" s="4"/>
      <c r="G430" s="4" t="n">
        <v>2216</v>
      </c>
      <c r="L430" s="1" t="str">
        <f aca="false">IF(ISNUMBER(SEARCH("Bundle",C430)),"Bundles",IF(ISNUMBER(SEARCH("Airtime",C430)),"Bundles",IF(ISNUMBER(SEARCH("Merchant",C430)),"Merchant Payment",IF(ISNUMBER(SEARCH("Offnet C2B",C430)),"Merchant Payment",IF(ISNUMBER(SEARCH("Offnet B2C",C430)),"Merchant Payment",IF(ISNUMBER(SEARCH("Customer Payment to Small",C430)),"Merchant Payment",IF(ISNUMBER(SEARCH("Payment to Small Business",C430)),"Merchant Payment",IF(ISNUMBER(SEARCH("Sent to",C430)),"Sent to Person",IF(ISNUMBER(SEARCH("Customer Transfer to",C430)),"Sent to Person",IF(ISNUMBER(SEARCH("Business Payment",C430)),"Money In",IF(ISNUMBER(SEARCH("Funds Received",C430)),"Money In",IF(ISNUMBER(SEARCH("Receive International",C430)),"Money In",IF(ISNUMBER(SEARCH("Send Money Reversal",C430)),"Money In",IF(ISNUMBER(SEARCH("Pay Utility Reversal",C430)),"Money In",IF(ISNUMBER(SEARCH("Customer Transfer",C430)),"Money In",IF(ISNUMBER(SEARCH("Ziidi",C430)),"Investment",IF(ISNUMBER(SEARCH("Nabo",C430)),"Investment",IF(ISNUMBER(SEARCH("Paybill Online",C430)),"Pay Bill",IF(ISNUMBER(SEARCH("Pay Bill",C430)),"Pay Bill",IF(ISNUMBER(SEARCH("Spotify",C430)),"Pay Bill",IF(ISNUMBER(SEARCH("M-Shwari",C430)),"Mshwari",IF(ISNUMBER(SEARCH("Mshwari",C430)),"Mshwari",IF(ISNUMBER(SEARCH("Withdrawal charge",C430)),"Fees",IF(ISNUMBER(SEARCH("Customer Withdrawal",C430)),"Fees",IF(ISNUMBER(SEARCH("charge",C430)),"Fees","Other")))))))))))))))))))))))))</f>
        <v>Money In</v>
      </c>
      <c r="R430" s="1" t="str">
        <f aca="false">TEXT(B430,"MMM YYYY")</f>
        <v>Mar 2026</v>
      </c>
    </row>
    <row r="431" customFormat="false" ht="13.8" hidden="false" customHeight="false" outlineLevel="0" collapsed="false">
      <c r="A431" s="4" t="s">
        <v>923</v>
      </c>
      <c r="B431" s="4" t="s">
        <v>924</v>
      </c>
      <c r="C431" s="4" t="s">
        <v>29</v>
      </c>
      <c r="D431" s="4" t="s">
        <v>18</v>
      </c>
      <c r="E431" s="4"/>
      <c r="F431" s="4" t="n">
        <v>20</v>
      </c>
      <c r="G431" s="4" t="n">
        <v>2196</v>
      </c>
      <c r="L431" s="1" t="str">
        <f aca="false">IF(ISNUMBER(SEARCH("Bundle",C431)),"Bundles",IF(ISNUMBER(SEARCH("Airtime",C431)),"Bundles",IF(ISNUMBER(SEARCH("Merchant",C431)),"Merchant Payment",IF(ISNUMBER(SEARCH("Offnet C2B",C431)),"Merchant Payment",IF(ISNUMBER(SEARCH("Offnet B2C",C431)),"Merchant Payment",IF(ISNUMBER(SEARCH("Customer Payment to Small",C431)),"Merchant Payment",IF(ISNUMBER(SEARCH("Payment to Small Business",C431)),"Merchant Payment",IF(ISNUMBER(SEARCH("Sent to",C431)),"Sent to Person",IF(ISNUMBER(SEARCH("Customer Transfer to",C431)),"Sent to Person",IF(ISNUMBER(SEARCH("Business Payment",C431)),"Money In",IF(ISNUMBER(SEARCH("Funds Received",C431)),"Money In",IF(ISNUMBER(SEARCH("Receive International",C431)),"Money In",IF(ISNUMBER(SEARCH("Send Money Reversal",C431)),"Money In",IF(ISNUMBER(SEARCH("Pay Utility Reversal",C431)),"Money In",IF(ISNUMBER(SEARCH("Customer Transfer",C431)),"Money In",IF(ISNUMBER(SEARCH("Ziidi",C431)),"Investment",IF(ISNUMBER(SEARCH("Nabo",C431)),"Investment",IF(ISNUMBER(SEARCH("Paybill Online",C431)),"Pay Bill",IF(ISNUMBER(SEARCH("Pay Bill",C431)),"Pay Bill",IF(ISNUMBER(SEARCH("Spotify",C431)),"Pay Bill",IF(ISNUMBER(SEARCH("M-Shwari",C431)),"Mshwari",IF(ISNUMBER(SEARCH("Mshwari",C431)),"Mshwari",IF(ISNUMBER(SEARCH("Withdrawal charge",C431)),"Fees",IF(ISNUMBER(SEARCH("Customer Withdrawal",C431)),"Fees",IF(ISNUMBER(SEARCH("charge",C431)),"Fees","Other")))))))))))))))))))))))))</f>
        <v>Bundles</v>
      </c>
      <c r="R431" s="1" t="str">
        <f aca="false">TEXT(B431,"MMM YYYY")</f>
        <v>Mar 2026</v>
      </c>
    </row>
    <row r="432" customFormat="false" ht="13.8" hidden="false" customHeight="false" outlineLevel="0" collapsed="false">
      <c r="A432" s="4" t="s">
        <v>925</v>
      </c>
      <c r="B432" s="4" t="s">
        <v>926</v>
      </c>
      <c r="C432" s="4" t="s">
        <v>435</v>
      </c>
      <c r="D432" s="4" t="s">
        <v>18</v>
      </c>
      <c r="E432" s="4"/>
      <c r="F432" s="4" t="n">
        <v>80</v>
      </c>
      <c r="G432" s="4" t="n">
        <v>2116</v>
      </c>
      <c r="L432" s="1" t="str">
        <f aca="false">IF(ISNUMBER(SEARCH("Bundle",C432)),"Bundles",IF(ISNUMBER(SEARCH("Airtime",C432)),"Bundles",IF(ISNUMBER(SEARCH("Merchant",C432)),"Merchant Payment",IF(ISNUMBER(SEARCH("Offnet C2B",C432)),"Merchant Payment",IF(ISNUMBER(SEARCH("Offnet B2C",C432)),"Merchant Payment",IF(ISNUMBER(SEARCH("Customer Payment to Small",C432)),"Merchant Payment",IF(ISNUMBER(SEARCH("Payment to Small Business",C432)),"Merchant Payment",IF(ISNUMBER(SEARCH("Sent to",C432)),"Sent to Person",IF(ISNUMBER(SEARCH("Customer Transfer to",C432)),"Sent to Person",IF(ISNUMBER(SEARCH("Business Payment",C432)),"Money In",IF(ISNUMBER(SEARCH("Funds Received",C432)),"Money In",IF(ISNUMBER(SEARCH("Receive International",C432)),"Money In",IF(ISNUMBER(SEARCH("Send Money Reversal",C432)),"Money In",IF(ISNUMBER(SEARCH("Pay Utility Reversal",C432)),"Money In",IF(ISNUMBER(SEARCH("Customer Transfer",C432)),"Money In",IF(ISNUMBER(SEARCH("Ziidi",C432)),"Investment",IF(ISNUMBER(SEARCH("Nabo",C432)),"Investment",IF(ISNUMBER(SEARCH("Paybill Online",C432)),"Pay Bill",IF(ISNUMBER(SEARCH("Pay Bill",C432)),"Pay Bill",IF(ISNUMBER(SEARCH("Spotify",C432)),"Pay Bill",IF(ISNUMBER(SEARCH("M-Shwari",C432)),"Mshwari",IF(ISNUMBER(SEARCH("Mshwari",C432)),"Mshwari",IF(ISNUMBER(SEARCH("Withdrawal charge",C432)),"Fees",IF(ISNUMBER(SEARCH("Customer Withdrawal",C432)),"Fees",IF(ISNUMBER(SEARCH("charge",C432)),"Fees","Other")))))))))))))))))))))))))</f>
        <v>Merchant Payment</v>
      </c>
      <c r="R432" s="1" t="str">
        <f aca="false">TEXT(B432,"MMM YYYY")</f>
        <v>Mar 2026</v>
      </c>
    </row>
    <row r="433" customFormat="false" ht="13.8" hidden="false" customHeight="false" outlineLevel="0" collapsed="false">
      <c r="A433" s="4" t="s">
        <v>927</v>
      </c>
      <c r="B433" s="4" t="s">
        <v>928</v>
      </c>
      <c r="C433" s="4" t="s">
        <v>666</v>
      </c>
      <c r="D433" s="4" t="s">
        <v>18</v>
      </c>
      <c r="E433" s="4"/>
      <c r="F433" s="4" t="n">
        <v>60</v>
      </c>
      <c r="G433" s="4" t="n">
        <v>2056</v>
      </c>
      <c r="L433" s="1" t="str">
        <f aca="false">IF(ISNUMBER(SEARCH("Bundle",C433)),"Bundles",IF(ISNUMBER(SEARCH("Airtime",C433)),"Bundles",IF(ISNUMBER(SEARCH("Merchant",C433)),"Merchant Payment",IF(ISNUMBER(SEARCH("Offnet C2B",C433)),"Merchant Payment",IF(ISNUMBER(SEARCH("Offnet B2C",C433)),"Merchant Payment",IF(ISNUMBER(SEARCH("Customer Payment to Small",C433)),"Merchant Payment",IF(ISNUMBER(SEARCH("Payment to Small Business",C433)),"Merchant Payment",IF(ISNUMBER(SEARCH("Sent to",C433)),"Sent to Person",IF(ISNUMBER(SEARCH("Customer Transfer to",C433)),"Sent to Person",IF(ISNUMBER(SEARCH("Business Payment",C433)),"Money In",IF(ISNUMBER(SEARCH("Funds Received",C433)),"Money In",IF(ISNUMBER(SEARCH("Receive International",C433)),"Money In",IF(ISNUMBER(SEARCH("Send Money Reversal",C433)),"Money In",IF(ISNUMBER(SEARCH("Pay Utility Reversal",C433)),"Money In",IF(ISNUMBER(SEARCH("Customer Transfer",C433)),"Money In",IF(ISNUMBER(SEARCH("Ziidi",C433)),"Investment",IF(ISNUMBER(SEARCH("Nabo",C433)),"Investment",IF(ISNUMBER(SEARCH("Paybill Online",C433)),"Pay Bill",IF(ISNUMBER(SEARCH("Pay Bill",C433)),"Pay Bill",IF(ISNUMBER(SEARCH("Spotify",C433)),"Pay Bill",IF(ISNUMBER(SEARCH("M-Shwari",C433)),"Mshwari",IF(ISNUMBER(SEARCH("Mshwari",C433)),"Mshwari",IF(ISNUMBER(SEARCH("Withdrawal charge",C433)),"Fees",IF(ISNUMBER(SEARCH("Customer Withdrawal",C433)),"Fees",IF(ISNUMBER(SEARCH("charge",C433)),"Fees","Other")))))))))))))))))))))))))</f>
        <v>Merchant Payment</v>
      </c>
      <c r="R433" s="1" t="str">
        <f aca="false">TEXT(B433,"MMM YYYY")</f>
        <v>Mar 2026</v>
      </c>
    </row>
    <row r="434" customFormat="false" ht="13.8" hidden="false" customHeight="false" outlineLevel="0" collapsed="false">
      <c r="A434" s="4" t="s">
        <v>929</v>
      </c>
      <c r="B434" s="4" t="s">
        <v>930</v>
      </c>
      <c r="C434" s="4" t="s">
        <v>182</v>
      </c>
      <c r="D434" s="4" t="s">
        <v>18</v>
      </c>
      <c r="E434" s="4"/>
      <c r="F434" s="4" t="n">
        <v>10</v>
      </c>
      <c r="G434" s="4" t="n">
        <v>2046</v>
      </c>
      <c r="L434" s="1" t="str">
        <f aca="false">IF(ISNUMBER(SEARCH("Bundle",C434)),"Bundles",IF(ISNUMBER(SEARCH("Airtime",C434)),"Bundles",IF(ISNUMBER(SEARCH("Merchant",C434)),"Merchant Payment",IF(ISNUMBER(SEARCH("Offnet C2B",C434)),"Merchant Payment",IF(ISNUMBER(SEARCH("Offnet B2C",C434)),"Merchant Payment",IF(ISNUMBER(SEARCH("Customer Payment to Small",C434)),"Merchant Payment",IF(ISNUMBER(SEARCH("Payment to Small Business",C434)),"Merchant Payment",IF(ISNUMBER(SEARCH("Sent to",C434)),"Sent to Person",IF(ISNUMBER(SEARCH("Customer Transfer to",C434)),"Sent to Person",IF(ISNUMBER(SEARCH("Business Payment",C434)),"Money In",IF(ISNUMBER(SEARCH("Funds Received",C434)),"Money In",IF(ISNUMBER(SEARCH("Receive International",C434)),"Money In",IF(ISNUMBER(SEARCH("Send Money Reversal",C434)),"Money In",IF(ISNUMBER(SEARCH("Pay Utility Reversal",C434)),"Money In",IF(ISNUMBER(SEARCH("Customer Transfer",C434)),"Money In",IF(ISNUMBER(SEARCH("Ziidi",C434)),"Investment",IF(ISNUMBER(SEARCH("Nabo",C434)),"Investment",IF(ISNUMBER(SEARCH("Paybill Online",C434)),"Pay Bill",IF(ISNUMBER(SEARCH("Pay Bill",C434)),"Pay Bill",IF(ISNUMBER(SEARCH("Spotify",C434)),"Pay Bill",IF(ISNUMBER(SEARCH("M-Shwari",C434)),"Mshwari",IF(ISNUMBER(SEARCH("Mshwari",C434)),"Mshwari",IF(ISNUMBER(SEARCH("Withdrawal charge",C434)),"Fees",IF(ISNUMBER(SEARCH("Customer Withdrawal",C434)),"Fees",IF(ISNUMBER(SEARCH("charge",C434)),"Fees","Other")))))))))))))))))))))))))</f>
        <v>Pay Bill</v>
      </c>
      <c r="R434" s="1" t="str">
        <f aca="false">TEXT(B434,"MMM YYYY")</f>
        <v>Mar 2026</v>
      </c>
    </row>
    <row r="435" customFormat="false" ht="13.8" hidden="false" customHeight="false" outlineLevel="0" collapsed="false">
      <c r="A435" s="4" t="s">
        <v>929</v>
      </c>
      <c r="B435" s="4" t="s">
        <v>930</v>
      </c>
      <c r="C435" s="4" t="s">
        <v>931</v>
      </c>
      <c r="D435" s="4" t="s">
        <v>18</v>
      </c>
      <c r="E435" s="4"/>
      <c r="F435" s="4" t="n">
        <v>800</v>
      </c>
      <c r="G435" s="4" t="n">
        <v>1246</v>
      </c>
      <c r="L435" s="1" t="str">
        <f aca="false">IF(ISNUMBER(SEARCH("Bundle",C435)),"Bundles",IF(ISNUMBER(SEARCH("Airtime",C435)),"Bundles",IF(ISNUMBER(SEARCH("Merchant",C435)),"Merchant Payment",IF(ISNUMBER(SEARCH("Offnet C2B",C435)),"Merchant Payment",IF(ISNUMBER(SEARCH("Offnet B2C",C435)),"Merchant Payment",IF(ISNUMBER(SEARCH("Customer Payment to Small",C435)),"Merchant Payment",IF(ISNUMBER(SEARCH("Payment to Small Business",C435)),"Merchant Payment",IF(ISNUMBER(SEARCH("Sent to",C435)),"Sent to Person",IF(ISNUMBER(SEARCH("Customer Transfer to",C435)),"Sent to Person",IF(ISNUMBER(SEARCH("Business Payment",C435)),"Money In",IF(ISNUMBER(SEARCH("Funds Received",C435)),"Money In",IF(ISNUMBER(SEARCH("Receive International",C435)),"Money In",IF(ISNUMBER(SEARCH("Send Money Reversal",C435)),"Money In",IF(ISNUMBER(SEARCH("Pay Utility Reversal",C435)),"Money In",IF(ISNUMBER(SEARCH("Customer Transfer",C435)),"Money In",IF(ISNUMBER(SEARCH("Ziidi",C435)),"Investment",IF(ISNUMBER(SEARCH("Nabo",C435)),"Investment",IF(ISNUMBER(SEARCH("Paybill Online",C435)),"Pay Bill",IF(ISNUMBER(SEARCH("Pay Bill",C435)),"Pay Bill",IF(ISNUMBER(SEARCH("Spotify",C435)),"Pay Bill",IF(ISNUMBER(SEARCH("M-Shwari",C435)),"Mshwari",IF(ISNUMBER(SEARCH("Mshwari",C435)),"Mshwari",IF(ISNUMBER(SEARCH("Withdrawal charge",C435)),"Fees",IF(ISNUMBER(SEARCH("Customer Withdrawal",C435)),"Fees",IF(ISNUMBER(SEARCH("charge",C435)),"Fees","Other")))))))))))))))))))))))))</f>
        <v>Pay Bill</v>
      </c>
      <c r="R435" s="1" t="str">
        <f aca="false">TEXT(B435,"MMM YYYY")</f>
        <v>Mar 2026</v>
      </c>
    </row>
    <row r="436" customFormat="false" ht="13.8" hidden="false" customHeight="false" outlineLevel="0" collapsed="false">
      <c r="A436" s="4" t="s">
        <v>932</v>
      </c>
      <c r="B436" s="4" t="s">
        <v>933</v>
      </c>
      <c r="C436" s="4" t="s">
        <v>29</v>
      </c>
      <c r="D436" s="4" t="s">
        <v>18</v>
      </c>
      <c r="E436" s="4"/>
      <c r="F436" s="4" t="n">
        <v>20</v>
      </c>
      <c r="G436" s="4" t="n">
        <v>1226</v>
      </c>
      <c r="L436" s="1" t="str">
        <f aca="false">IF(ISNUMBER(SEARCH("Bundle",C436)),"Bundles",IF(ISNUMBER(SEARCH("Airtime",C436)),"Bundles",IF(ISNUMBER(SEARCH("Merchant",C436)),"Merchant Payment",IF(ISNUMBER(SEARCH("Offnet C2B",C436)),"Merchant Payment",IF(ISNUMBER(SEARCH("Offnet B2C",C436)),"Merchant Payment",IF(ISNUMBER(SEARCH("Customer Payment to Small",C436)),"Merchant Payment",IF(ISNUMBER(SEARCH("Payment to Small Business",C436)),"Merchant Payment",IF(ISNUMBER(SEARCH("Sent to",C436)),"Sent to Person",IF(ISNUMBER(SEARCH("Customer Transfer to",C436)),"Sent to Person",IF(ISNUMBER(SEARCH("Business Payment",C436)),"Money In",IF(ISNUMBER(SEARCH("Funds Received",C436)),"Money In",IF(ISNUMBER(SEARCH("Receive International",C436)),"Money In",IF(ISNUMBER(SEARCH("Send Money Reversal",C436)),"Money In",IF(ISNUMBER(SEARCH("Pay Utility Reversal",C436)),"Money In",IF(ISNUMBER(SEARCH("Customer Transfer",C436)),"Money In",IF(ISNUMBER(SEARCH("Ziidi",C436)),"Investment",IF(ISNUMBER(SEARCH("Nabo",C436)),"Investment",IF(ISNUMBER(SEARCH("Paybill Online",C436)),"Pay Bill",IF(ISNUMBER(SEARCH("Pay Bill",C436)),"Pay Bill",IF(ISNUMBER(SEARCH("Spotify",C436)),"Pay Bill",IF(ISNUMBER(SEARCH("M-Shwari",C436)),"Mshwari",IF(ISNUMBER(SEARCH("Mshwari",C436)),"Mshwari",IF(ISNUMBER(SEARCH("Withdrawal charge",C436)),"Fees",IF(ISNUMBER(SEARCH("Customer Withdrawal",C436)),"Fees",IF(ISNUMBER(SEARCH("charge",C436)),"Fees","Other")))))))))))))))))))))))))</f>
        <v>Bundles</v>
      </c>
      <c r="R436" s="1" t="str">
        <f aca="false">TEXT(B436,"MMM YYYY")</f>
        <v>Mar 2026</v>
      </c>
    </row>
    <row r="437" customFormat="false" ht="13.8" hidden="false" customHeight="false" outlineLevel="0" collapsed="false">
      <c r="A437" s="4" t="s">
        <v>934</v>
      </c>
      <c r="B437" s="4" t="s">
        <v>935</v>
      </c>
      <c r="C437" s="4" t="s">
        <v>635</v>
      </c>
      <c r="D437" s="4" t="s">
        <v>18</v>
      </c>
      <c r="E437" s="4"/>
      <c r="F437" s="4" t="n">
        <v>40</v>
      </c>
      <c r="G437" s="4" t="n">
        <v>1186</v>
      </c>
      <c r="L437" s="1" t="str">
        <f aca="false">IF(ISNUMBER(SEARCH("Bundle",C437)),"Bundles",IF(ISNUMBER(SEARCH("Airtime",C437)),"Bundles",IF(ISNUMBER(SEARCH("Merchant",C437)),"Merchant Payment",IF(ISNUMBER(SEARCH("Offnet C2B",C437)),"Merchant Payment",IF(ISNUMBER(SEARCH("Offnet B2C",C437)),"Merchant Payment",IF(ISNUMBER(SEARCH("Customer Payment to Small",C437)),"Merchant Payment",IF(ISNUMBER(SEARCH("Payment to Small Business",C437)),"Merchant Payment",IF(ISNUMBER(SEARCH("Sent to",C437)),"Sent to Person",IF(ISNUMBER(SEARCH("Customer Transfer to",C437)),"Sent to Person",IF(ISNUMBER(SEARCH("Business Payment",C437)),"Money In",IF(ISNUMBER(SEARCH("Funds Received",C437)),"Money In",IF(ISNUMBER(SEARCH("Receive International",C437)),"Money In",IF(ISNUMBER(SEARCH("Send Money Reversal",C437)),"Money In",IF(ISNUMBER(SEARCH("Pay Utility Reversal",C437)),"Money In",IF(ISNUMBER(SEARCH("Customer Transfer",C437)),"Money In",IF(ISNUMBER(SEARCH("Ziidi",C437)),"Investment",IF(ISNUMBER(SEARCH("Nabo",C437)),"Investment",IF(ISNUMBER(SEARCH("Paybill Online",C437)),"Pay Bill",IF(ISNUMBER(SEARCH("Pay Bill",C437)),"Pay Bill",IF(ISNUMBER(SEARCH("Spotify",C437)),"Pay Bill",IF(ISNUMBER(SEARCH("M-Shwari",C437)),"Mshwari",IF(ISNUMBER(SEARCH("Mshwari",C437)),"Mshwari",IF(ISNUMBER(SEARCH("Withdrawal charge",C437)),"Fees",IF(ISNUMBER(SEARCH("Customer Withdrawal",C437)),"Fees",IF(ISNUMBER(SEARCH("charge",C437)),"Fees","Other")))))))))))))))))))))))))</f>
        <v>Merchant Payment</v>
      </c>
      <c r="R437" s="1" t="str">
        <f aca="false">TEXT(B437,"MMM YYYY")</f>
        <v>Mar 2026</v>
      </c>
    </row>
    <row r="438" customFormat="false" ht="13.8" hidden="false" customHeight="false" outlineLevel="0" collapsed="false">
      <c r="A438" s="4" t="s">
        <v>936</v>
      </c>
      <c r="B438" s="4" t="s">
        <v>937</v>
      </c>
      <c r="C438" s="4" t="s">
        <v>938</v>
      </c>
      <c r="D438" s="4" t="s">
        <v>18</v>
      </c>
      <c r="E438" s="4"/>
      <c r="F438" s="4" t="n">
        <v>20</v>
      </c>
      <c r="G438" s="4" t="n">
        <v>1166</v>
      </c>
      <c r="L438" s="1" t="str">
        <f aca="false">IF(ISNUMBER(SEARCH("Bundle",C438)),"Bundles",IF(ISNUMBER(SEARCH("Airtime",C438)),"Bundles",IF(ISNUMBER(SEARCH("Merchant",C438)),"Merchant Payment",IF(ISNUMBER(SEARCH("Offnet C2B",C438)),"Merchant Payment",IF(ISNUMBER(SEARCH("Offnet B2C",C438)),"Merchant Payment",IF(ISNUMBER(SEARCH("Customer Payment to Small",C438)),"Merchant Payment",IF(ISNUMBER(SEARCH("Payment to Small Business",C438)),"Merchant Payment",IF(ISNUMBER(SEARCH("Sent to",C438)),"Sent to Person",IF(ISNUMBER(SEARCH("Customer Transfer to",C438)),"Sent to Person",IF(ISNUMBER(SEARCH("Business Payment",C438)),"Money In",IF(ISNUMBER(SEARCH("Funds Received",C438)),"Money In",IF(ISNUMBER(SEARCH("Receive International",C438)),"Money In",IF(ISNUMBER(SEARCH("Send Money Reversal",C438)),"Money In",IF(ISNUMBER(SEARCH("Pay Utility Reversal",C438)),"Money In",IF(ISNUMBER(SEARCH("Customer Transfer",C438)),"Money In",IF(ISNUMBER(SEARCH("Ziidi",C438)),"Investment",IF(ISNUMBER(SEARCH("Nabo",C438)),"Investment",IF(ISNUMBER(SEARCH("Paybill Online",C438)),"Pay Bill",IF(ISNUMBER(SEARCH("Pay Bill",C438)),"Pay Bill",IF(ISNUMBER(SEARCH("Spotify",C438)),"Pay Bill",IF(ISNUMBER(SEARCH("M-Shwari",C438)),"Mshwari",IF(ISNUMBER(SEARCH("Mshwari",C438)),"Mshwari",IF(ISNUMBER(SEARCH("Withdrawal charge",C438)),"Fees",IF(ISNUMBER(SEARCH("Customer Withdrawal",C438)),"Fees",IF(ISNUMBER(SEARCH("charge",C438)),"Fees","Other")))))))))))))))))))))))))</f>
        <v>Merchant Payment</v>
      </c>
      <c r="R438" s="1" t="str">
        <f aca="false">TEXT(B438,"MMM YYYY")</f>
        <v>Mar 2026</v>
      </c>
    </row>
    <row r="439" customFormat="false" ht="13.8" hidden="false" customHeight="false" outlineLevel="0" collapsed="false">
      <c r="A439" s="4" t="s">
        <v>939</v>
      </c>
      <c r="B439" s="4" t="s">
        <v>940</v>
      </c>
      <c r="C439" s="4" t="s">
        <v>17</v>
      </c>
      <c r="D439" s="4" t="s">
        <v>18</v>
      </c>
      <c r="E439" s="4"/>
      <c r="F439" s="4" t="n">
        <v>20</v>
      </c>
      <c r="G439" s="4" t="n">
        <v>1146</v>
      </c>
      <c r="L439" s="1" t="str">
        <f aca="false">IF(ISNUMBER(SEARCH("Bundle",C439)),"Bundles",IF(ISNUMBER(SEARCH("Airtime",C439)),"Bundles",IF(ISNUMBER(SEARCH("Merchant",C439)),"Merchant Payment",IF(ISNUMBER(SEARCH("Offnet C2B",C439)),"Merchant Payment",IF(ISNUMBER(SEARCH("Offnet B2C",C439)),"Merchant Payment",IF(ISNUMBER(SEARCH("Customer Payment to Small",C439)),"Merchant Payment",IF(ISNUMBER(SEARCH("Payment to Small Business",C439)),"Merchant Payment",IF(ISNUMBER(SEARCH("Sent to",C439)),"Sent to Person",IF(ISNUMBER(SEARCH("Customer Transfer to",C439)),"Sent to Person",IF(ISNUMBER(SEARCH("Business Payment",C439)),"Money In",IF(ISNUMBER(SEARCH("Funds Received",C439)),"Money In",IF(ISNUMBER(SEARCH("Receive International",C439)),"Money In",IF(ISNUMBER(SEARCH("Send Money Reversal",C439)),"Money In",IF(ISNUMBER(SEARCH("Pay Utility Reversal",C439)),"Money In",IF(ISNUMBER(SEARCH("Customer Transfer",C439)),"Money In",IF(ISNUMBER(SEARCH("Ziidi",C439)),"Investment",IF(ISNUMBER(SEARCH("Nabo",C439)),"Investment",IF(ISNUMBER(SEARCH("Paybill Online",C439)),"Pay Bill",IF(ISNUMBER(SEARCH("Pay Bill",C439)),"Pay Bill",IF(ISNUMBER(SEARCH("Spotify",C439)),"Pay Bill",IF(ISNUMBER(SEARCH("M-Shwari",C439)),"Mshwari",IF(ISNUMBER(SEARCH("Mshwari",C439)),"Mshwari",IF(ISNUMBER(SEARCH("Withdrawal charge",C439)),"Fees",IF(ISNUMBER(SEARCH("Customer Withdrawal",C439)),"Fees",IF(ISNUMBER(SEARCH("charge",C439)),"Fees","Other")))))))))))))))))))))))))</f>
        <v>Bundles</v>
      </c>
      <c r="R439" s="1" t="str">
        <f aca="false">TEXT(B439,"MMM YYYY")</f>
        <v>Mar 2026</v>
      </c>
    </row>
    <row r="440" customFormat="false" ht="13.8" hidden="false" customHeight="false" outlineLevel="0" collapsed="false">
      <c r="A440" s="4" t="s">
        <v>941</v>
      </c>
      <c r="B440" s="4" t="s">
        <v>942</v>
      </c>
      <c r="C440" s="4" t="s">
        <v>818</v>
      </c>
      <c r="D440" s="4" t="s">
        <v>18</v>
      </c>
      <c r="E440" s="4"/>
      <c r="F440" s="4" t="n">
        <v>130</v>
      </c>
      <c r="G440" s="4" t="n">
        <v>1016</v>
      </c>
      <c r="L440" s="1" t="str">
        <f aca="false">IF(ISNUMBER(SEARCH("Bundle",C440)),"Bundles",IF(ISNUMBER(SEARCH("Airtime",C440)),"Bundles",IF(ISNUMBER(SEARCH("Merchant",C440)),"Merchant Payment",IF(ISNUMBER(SEARCH("Offnet C2B",C440)),"Merchant Payment",IF(ISNUMBER(SEARCH("Offnet B2C",C440)),"Merchant Payment",IF(ISNUMBER(SEARCH("Customer Payment to Small",C440)),"Merchant Payment",IF(ISNUMBER(SEARCH("Payment to Small Business",C440)),"Merchant Payment",IF(ISNUMBER(SEARCH("Sent to",C440)),"Sent to Person",IF(ISNUMBER(SEARCH("Customer Transfer to",C440)),"Sent to Person",IF(ISNUMBER(SEARCH("Business Payment",C440)),"Money In",IF(ISNUMBER(SEARCH("Funds Received",C440)),"Money In",IF(ISNUMBER(SEARCH("Receive International",C440)),"Money In",IF(ISNUMBER(SEARCH("Send Money Reversal",C440)),"Money In",IF(ISNUMBER(SEARCH("Pay Utility Reversal",C440)),"Money In",IF(ISNUMBER(SEARCH("Customer Transfer",C440)),"Money In",IF(ISNUMBER(SEARCH("Ziidi",C440)),"Investment",IF(ISNUMBER(SEARCH("Nabo",C440)),"Investment",IF(ISNUMBER(SEARCH("Paybill Online",C440)),"Pay Bill",IF(ISNUMBER(SEARCH("Pay Bill",C440)),"Pay Bill",IF(ISNUMBER(SEARCH("Spotify",C440)),"Pay Bill",IF(ISNUMBER(SEARCH("M-Shwari",C440)),"Mshwari",IF(ISNUMBER(SEARCH("Mshwari",C440)),"Mshwari",IF(ISNUMBER(SEARCH("Withdrawal charge",C440)),"Fees",IF(ISNUMBER(SEARCH("Customer Withdrawal",C440)),"Fees",IF(ISNUMBER(SEARCH("charge",C440)),"Fees","Other")))))))))))))))))))))))))</f>
        <v>Merchant Payment</v>
      </c>
      <c r="R440" s="1" t="str">
        <f aca="false">TEXT(B440,"MMM YYYY")</f>
        <v>Mar 2026</v>
      </c>
    </row>
    <row r="441" customFormat="false" ht="13.8" hidden="false" customHeight="false" outlineLevel="0" collapsed="false">
      <c r="A441" s="4" t="s">
        <v>943</v>
      </c>
      <c r="B441" s="4" t="s">
        <v>944</v>
      </c>
      <c r="C441" s="4" t="s">
        <v>263</v>
      </c>
      <c r="D441" s="4" t="s">
        <v>18</v>
      </c>
      <c r="E441" s="4"/>
      <c r="F441" s="4" t="n">
        <v>470</v>
      </c>
      <c r="G441" s="4" t="n">
        <v>546</v>
      </c>
      <c r="L441" s="1" t="str">
        <f aca="false">IF(ISNUMBER(SEARCH("Bundle",C441)),"Bundles",IF(ISNUMBER(SEARCH("Airtime",C441)),"Bundles",IF(ISNUMBER(SEARCH("Merchant",C441)),"Merchant Payment",IF(ISNUMBER(SEARCH("Offnet C2B",C441)),"Merchant Payment",IF(ISNUMBER(SEARCH("Offnet B2C",C441)),"Merchant Payment",IF(ISNUMBER(SEARCH("Customer Payment to Small",C441)),"Merchant Payment",IF(ISNUMBER(SEARCH("Payment to Small Business",C441)),"Merchant Payment",IF(ISNUMBER(SEARCH("Sent to",C441)),"Sent to Person",IF(ISNUMBER(SEARCH("Customer Transfer to",C441)),"Sent to Person",IF(ISNUMBER(SEARCH("Business Payment",C441)),"Money In",IF(ISNUMBER(SEARCH("Funds Received",C441)),"Money In",IF(ISNUMBER(SEARCH("Receive International",C441)),"Money In",IF(ISNUMBER(SEARCH("Send Money Reversal",C441)),"Money In",IF(ISNUMBER(SEARCH("Pay Utility Reversal",C441)),"Money In",IF(ISNUMBER(SEARCH("Customer Transfer",C441)),"Money In",IF(ISNUMBER(SEARCH("Ziidi",C441)),"Investment",IF(ISNUMBER(SEARCH("Nabo",C441)),"Investment",IF(ISNUMBER(SEARCH("Paybill Online",C441)),"Pay Bill",IF(ISNUMBER(SEARCH("Pay Bill",C441)),"Pay Bill",IF(ISNUMBER(SEARCH("Spotify",C441)),"Pay Bill",IF(ISNUMBER(SEARCH("M-Shwari",C441)),"Mshwari",IF(ISNUMBER(SEARCH("Mshwari",C441)),"Mshwari",IF(ISNUMBER(SEARCH("Withdrawal charge",C441)),"Fees",IF(ISNUMBER(SEARCH("Customer Withdrawal",C441)),"Fees",IF(ISNUMBER(SEARCH("charge",C441)),"Fees","Other")))))))))))))))))))))))))</f>
        <v>Merchant Payment</v>
      </c>
      <c r="R441" s="1" t="str">
        <f aca="false">TEXT(B441,"MMM YYYY")</f>
        <v>Mar 2026</v>
      </c>
    </row>
    <row r="442" customFormat="false" ht="13.8" hidden="false" customHeight="false" outlineLevel="0" collapsed="false">
      <c r="A442" s="4" t="s">
        <v>945</v>
      </c>
      <c r="B442" s="4" t="s">
        <v>946</v>
      </c>
      <c r="C442" s="4" t="s">
        <v>435</v>
      </c>
      <c r="D442" s="4" t="s">
        <v>18</v>
      </c>
      <c r="E442" s="4"/>
      <c r="F442" s="4" t="n">
        <v>100</v>
      </c>
      <c r="G442" s="4" t="n">
        <v>446</v>
      </c>
      <c r="L442" s="1" t="str">
        <f aca="false">IF(ISNUMBER(SEARCH("Bundle",C442)),"Bundles",IF(ISNUMBER(SEARCH("Airtime",C442)),"Bundles",IF(ISNUMBER(SEARCH("Merchant",C442)),"Merchant Payment",IF(ISNUMBER(SEARCH("Offnet C2B",C442)),"Merchant Payment",IF(ISNUMBER(SEARCH("Offnet B2C",C442)),"Merchant Payment",IF(ISNUMBER(SEARCH("Customer Payment to Small",C442)),"Merchant Payment",IF(ISNUMBER(SEARCH("Payment to Small Business",C442)),"Merchant Payment",IF(ISNUMBER(SEARCH("Sent to",C442)),"Sent to Person",IF(ISNUMBER(SEARCH("Customer Transfer to",C442)),"Sent to Person",IF(ISNUMBER(SEARCH("Business Payment",C442)),"Money In",IF(ISNUMBER(SEARCH("Funds Received",C442)),"Money In",IF(ISNUMBER(SEARCH("Receive International",C442)),"Money In",IF(ISNUMBER(SEARCH("Send Money Reversal",C442)),"Money In",IF(ISNUMBER(SEARCH("Pay Utility Reversal",C442)),"Money In",IF(ISNUMBER(SEARCH("Customer Transfer",C442)),"Money In",IF(ISNUMBER(SEARCH("Ziidi",C442)),"Investment",IF(ISNUMBER(SEARCH("Nabo",C442)),"Investment",IF(ISNUMBER(SEARCH("Paybill Online",C442)),"Pay Bill",IF(ISNUMBER(SEARCH("Pay Bill",C442)),"Pay Bill",IF(ISNUMBER(SEARCH("Spotify",C442)),"Pay Bill",IF(ISNUMBER(SEARCH("M-Shwari",C442)),"Mshwari",IF(ISNUMBER(SEARCH("Mshwari",C442)),"Mshwari",IF(ISNUMBER(SEARCH("Withdrawal charge",C442)),"Fees",IF(ISNUMBER(SEARCH("Customer Withdrawal",C442)),"Fees",IF(ISNUMBER(SEARCH("charge",C442)),"Fees","Other")))))))))))))))))))))))))</f>
        <v>Merchant Payment</v>
      </c>
      <c r="R442" s="1" t="str">
        <f aca="false">TEXT(B442,"MMM YYYY")</f>
        <v>Mar 2026</v>
      </c>
    </row>
    <row r="443" customFormat="false" ht="13.8" hidden="false" customHeight="false" outlineLevel="0" collapsed="false">
      <c r="A443" s="4" t="s">
        <v>947</v>
      </c>
      <c r="B443" s="4" t="s">
        <v>948</v>
      </c>
      <c r="C443" s="4" t="s">
        <v>666</v>
      </c>
      <c r="D443" s="4" t="s">
        <v>18</v>
      </c>
      <c r="E443" s="4"/>
      <c r="F443" s="4" t="n">
        <v>30</v>
      </c>
      <c r="G443" s="4" t="n">
        <v>416</v>
      </c>
      <c r="L443" s="1" t="str">
        <f aca="false">IF(ISNUMBER(SEARCH("Bundle",C443)),"Bundles",IF(ISNUMBER(SEARCH("Airtime",C443)),"Bundles",IF(ISNUMBER(SEARCH("Merchant",C443)),"Merchant Payment",IF(ISNUMBER(SEARCH("Offnet C2B",C443)),"Merchant Payment",IF(ISNUMBER(SEARCH("Offnet B2C",C443)),"Merchant Payment",IF(ISNUMBER(SEARCH("Customer Payment to Small",C443)),"Merchant Payment",IF(ISNUMBER(SEARCH("Payment to Small Business",C443)),"Merchant Payment",IF(ISNUMBER(SEARCH("Sent to",C443)),"Sent to Person",IF(ISNUMBER(SEARCH("Customer Transfer to",C443)),"Sent to Person",IF(ISNUMBER(SEARCH("Business Payment",C443)),"Money In",IF(ISNUMBER(SEARCH("Funds Received",C443)),"Money In",IF(ISNUMBER(SEARCH("Receive International",C443)),"Money In",IF(ISNUMBER(SEARCH("Send Money Reversal",C443)),"Money In",IF(ISNUMBER(SEARCH("Pay Utility Reversal",C443)),"Money In",IF(ISNUMBER(SEARCH("Customer Transfer",C443)),"Money In",IF(ISNUMBER(SEARCH("Ziidi",C443)),"Investment",IF(ISNUMBER(SEARCH("Nabo",C443)),"Investment",IF(ISNUMBER(SEARCH("Paybill Online",C443)),"Pay Bill",IF(ISNUMBER(SEARCH("Pay Bill",C443)),"Pay Bill",IF(ISNUMBER(SEARCH("Spotify",C443)),"Pay Bill",IF(ISNUMBER(SEARCH("M-Shwari",C443)),"Mshwari",IF(ISNUMBER(SEARCH("Mshwari",C443)),"Mshwari",IF(ISNUMBER(SEARCH("Withdrawal charge",C443)),"Fees",IF(ISNUMBER(SEARCH("Customer Withdrawal",C443)),"Fees",IF(ISNUMBER(SEARCH("charge",C443)),"Fees","Other")))))))))))))))))))))))))</f>
        <v>Merchant Payment</v>
      </c>
      <c r="R443" s="1" t="str">
        <f aca="false">TEXT(B443,"MMM YYYY")</f>
        <v>Mar 2026</v>
      </c>
    </row>
    <row r="444" customFormat="false" ht="13.8" hidden="false" customHeight="false" outlineLevel="0" collapsed="false">
      <c r="A444" s="4" t="s">
        <v>949</v>
      </c>
      <c r="B444" s="4" t="s">
        <v>950</v>
      </c>
      <c r="C444" s="4" t="s">
        <v>29</v>
      </c>
      <c r="D444" s="4" t="s">
        <v>18</v>
      </c>
      <c r="E444" s="4"/>
      <c r="F444" s="4" t="n">
        <v>20</v>
      </c>
      <c r="G444" s="4" t="n">
        <v>396</v>
      </c>
      <c r="L444" s="1" t="str">
        <f aca="false">IF(ISNUMBER(SEARCH("Bundle",C444)),"Bundles",IF(ISNUMBER(SEARCH("Airtime",C444)),"Bundles",IF(ISNUMBER(SEARCH("Merchant",C444)),"Merchant Payment",IF(ISNUMBER(SEARCH("Offnet C2B",C444)),"Merchant Payment",IF(ISNUMBER(SEARCH("Offnet B2C",C444)),"Merchant Payment",IF(ISNUMBER(SEARCH("Customer Payment to Small",C444)),"Merchant Payment",IF(ISNUMBER(SEARCH("Payment to Small Business",C444)),"Merchant Payment",IF(ISNUMBER(SEARCH("Sent to",C444)),"Sent to Person",IF(ISNUMBER(SEARCH("Customer Transfer to",C444)),"Sent to Person",IF(ISNUMBER(SEARCH("Business Payment",C444)),"Money In",IF(ISNUMBER(SEARCH("Funds Received",C444)),"Money In",IF(ISNUMBER(SEARCH("Receive International",C444)),"Money In",IF(ISNUMBER(SEARCH("Send Money Reversal",C444)),"Money In",IF(ISNUMBER(SEARCH("Pay Utility Reversal",C444)),"Money In",IF(ISNUMBER(SEARCH("Customer Transfer",C444)),"Money In",IF(ISNUMBER(SEARCH("Ziidi",C444)),"Investment",IF(ISNUMBER(SEARCH("Nabo",C444)),"Investment",IF(ISNUMBER(SEARCH("Paybill Online",C444)),"Pay Bill",IF(ISNUMBER(SEARCH("Pay Bill",C444)),"Pay Bill",IF(ISNUMBER(SEARCH("Spotify",C444)),"Pay Bill",IF(ISNUMBER(SEARCH("M-Shwari",C444)),"Mshwari",IF(ISNUMBER(SEARCH("Mshwari",C444)),"Mshwari",IF(ISNUMBER(SEARCH("Withdrawal charge",C444)),"Fees",IF(ISNUMBER(SEARCH("Customer Withdrawal",C444)),"Fees",IF(ISNUMBER(SEARCH("charge",C444)),"Fees","Other")))))))))))))))))))))))))</f>
        <v>Bundles</v>
      </c>
      <c r="R444" s="1" t="str">
        <f aca="false">TEXT(B444,"MMM YYYY")</f>
        <v>Mar 2026</v>
      </c>
    </row>
    <row r="445" customFormat="false" ht="13.8" hidden="false" customHeight="false" outlineLevel="0" collapsed="false">
      <c r="A445" s="4" t="s">
        <v>951</v>
      </c>
      <c r="B445" s="4" t="s">
        <v>952</v>
      </c>
      <c r="C445" s="4" t="s">
        <v>29</v>
      </c>
      <c r="D445" s="4" t="s">
        <v>18</v>
      </c>
      <c r="E445" s="4"/>
      <c r="F445" s="4" t="n">
        <v>10</v>
      </c>
      <c r="G445" s="4" t="n">
        <v>386</v>
      </c>
      <c r="L445" s="1" t="str">
        <f aca="false">IF(ISNUMBER(SEARCH("Bundle",C445)),"Bundles",IF(ISNUMBER(SEARCH("Airtime",C445)),"Bundles",IF(ISNUMBER(SEARCH("Merchant",C445)),"Merchant Payment",IF(ISNUMBER(SEARCH("Offnet C2B",C445)),"Merchant Payment",IF(ISNUMBER(SEARCH("Offnet B2C",C445)),"Merchant Payment",IF(ISNUMBER(SEARCH("Customer Payment to Small",C445)),"Merchant Payment",IF(ISNUMBER(SEARCH("Payment to Small Business",C445)),"Merchant Payment",IF(ISNUMBER(SEARCH("Sent to",C445)),"Sent to Person",IF(ISNUMBER(SEARCH("Customer Transfer to",C445)),"Sent to Person",IF(ISNUMBER(SEARCH("Business Payment",C445)),"Money In",IF(ISNUMBER(SEARCH("Funds Received",C445)),"Money In",IF(ISNUMBER(SEARCH("Receive International",C445)),"Money In",IF(ISNUMBER(SEARCH("Send Money Reversal",C445)),"Money In",IF(ISNUMBER(SEARCH("Pay Utility Reversal",C445)),"Money In",IF(ISNUMBER(SEARCH("Customer Transfer",C445)),"Money In",IF(ISNUMBER(SEARCH("Ziidi",C445)),"Investment",IF(ISNUMBER(SEARCH("Nabo",C445)),"Investment",IF(ISNUMBER(SEARCH("Paybill Online",C445)),"Pay Bill",IF(ISNUMBER(SEARCH("Pay Bill",C445)),"Pay Bill",IF(ISNUMBER(SEARCH("Spotify",C445)),"Pay Bill",IF(ISNUMBER(SEARCH("M-Shwari",C445)),"Mshwari",IF(ISNUMBER(SEARCH("Mshwari",C445)),"Mshwari",IF(ISNUMBER(SEARCH("Withdrawal charge",C445)),"Fees",IF(ISNUMBER(SEARCH("Customer Withdrawal",C445)),"Fees",IF(ISNUMBER(SEARCH("charge",C445)),"Fees","Other")))))))))))))))))))))))))</f>
        <v>Bundles</v>
      </c>
      <c r="R445" s="1" t="str">
        <f aca="false">TEXT(B445,"MMM YYYY")</f>
        <v>Mar 2026</v>
      </c>
    </row>
    <row r="446" customFormat="false" ht="13.8" hidden="false" customHeight="false" outlineLevel="0" collapsed="false">
      <c r="A446" s="4" t="s">
        <v>953</v>
      </c>
      <c r="B446" s="4" t="s">
        <v>954</v>
      </c>
      <c r="C446" s="4" t="s">
        <v>29</v>
      </c>
      <c r="D446" s="4" t="s">
        <v>18</v>
      </c>
      <c r="E446" s="4"/>
      <c r="F446" s="4" t="n">
        <v>20</v>
      </c>
      <c r="G446" s="4" t="n">
        <v>366</v>
      </c>
      <c r="L446" s="1" t="str">
        <f aca="false">IF(ISNUMBER(SEARCH("Bundle",C446)),"Bundles",IF(ISNUMBER(SEARCH("Airtime",C446)),"Bundles",IF(ISNUMBER(SEARCH("Merchant",C446)),"Merchant Payment",IF(ISNUMBER(SEARCH("Offnet C2B",C446)),"Merchant Payment",IF(ISNUMBER(SEARCH("Offnet B2C",C446)),"Merchant Payment",IF(ISNUMBER(SEARCH("Customer Payment to Small",C446)),"Merchant Payment",IF(ISNUMBER(SEARCH("Payment to Small Business",C446)),"Merchant Payment",IF(ISNUMBER(SEARCH("Sent to",C446)),"Sent to Person",IF(ISNUMBER(SEARCH("Customer Transfer to",C446)),"Sent to Person",IF(ISNUMBER(SEARCH("Business Payment",C446)),"Money In",IF(ISNUMBER(SEARCH("Funds Received",C446)),"Money In",IF(ISNUMBER(SEARCH("Receive International",C446)),"Money In",IF(ISNUMBER(SEARCH("Send Money Reversal",C446)),"Money In",IF(ISNUMBER(SEARCH("Pay Utility Reversal",C446)),"Money In",IF(ISNUMBER(SEARCH("Customer Transfer",C446)),"Money In",IF(ISNUMBER(SEARCH("Ziidi",C446)),"Investment",IF(ISNUMBER(SEARCH("Nabo",C446)),"Investment",IF(ISNUMBER(SEARCH("Paybill Online",C446)),"Pay Bill",IF(ISNUMBER(SEARCH("Pay Bill",C446)),"Pay Bill",IF(ISNUMBER(SEARCH("Spotify",C446)),"Pay Bill",IF(ISNUMBER(SEARCH("M-Shwari",C446)),"Mshwari",IF(ISNUMBER(SEARCH("Mshwari",C446)),"Mshwari",IF(ISNUMBER(SEARCH("Withdrawal charge",C446)),"Fees",IF(ISNUMBER(SEARCH("Customer Withdrawal",C446)),"Fees",IF(ISNUMBER(SEARCH("charge",C446)),"Fees","Other")))))))))))))))))))))))))</f>
        <v>Bundles</v>
      </c>
      <c r="R446" s="1" t="str">
        <f aca="false">TEXT(B446,"MMM YYYY")</f>
        <v>Mar 2026</v>
      </c>
    </row>
    <row r="447" customFormat="false" ht="13.8" hidden="false" customHeight="false" outlineLevel="0" collapsed="false">
      <c r="A447" s="4" t="s">
        <v>955</v>
      </c>
      <c r="B447" s="4" t="s">
        <v>956</v>
      </c>
      <c r="C447" s="4" t="s">
        <v>29</v>
      </c>
      <c r="D447" s="4" t="s">
        <v>18</v>
      </c>
      <c r="E447" s="4"/>
      <c r="F447" s="4" t="n">
        <v>20</v>
      </c>
      <c r="G447" s="4" t="n">
        <v>346</v>
      </c>
      <c r="L447" s="1" t="str">
        <f aca="false">IF(ISNUMBER(SEARCH("Bundle",C447)),"Bundles",IF(ISNUMBER(SEARCH("Airtime",C447)),"Bundles",IF(ISNUMBER(SEARCH("Merchant",C447)),"Merchant Payment",IF(ISNUMBER(SEARCH("Offnet C2B",C447)),"Merchant Payment",IF(ISNUMBER(SEARCH("Offnet B2C",C447)),"Merchant Payment",IF(ISNUMBER(SEARCH("Customer Payment to Small",C447)),"Merchant Payment",IF(ISNUMBER(SEARCH("Payment to Small Business",C447)),"Merchant Payment",IF(ISNUMBER(SEARCH("Sent to",C447)),"Sent to Person",IF(ISNUMBER(SEARCH("Customer Transfer to",C447)),"Sent to Person",IF(ISNUMBER(SEARCH("Business Payment",C447)),"Money In",IF(ISNUMBER(SEARCH("Funds Received",C447)),"Money In",IF(ISNUMBER(SEARCH("Receive International",C447)),"Money In",IF(ISNUMBER(SEARCH("Send Money Reversal",C447)),"Money In",IF(ISNUMBER(SEARCH("Pay Utility Reversal",C447)),"Money In",IF(ISNUMBER(SEARCH("Customer Transfer",C447)),"Money In",IF(ISNUMBER(SEARCH("Ziidi",C447)),"Investment",IF(ISNUMBER(SEARCH("Nabo",C447)),"Investment",IF(ISNUMBER(SEARCH("Paybill Online",C447)),"Pay Bill",IF(ISNUMBER(SEARCH("Pay Bill",C447)),"Pay Bill",IF(ISNUMBER(SEARCH("Spotify",C447)),"Pay Bill",IF(ISNUMBER(SEARCH("M-Shwari",C447)),"Mshwari",IF(ISNUMBER(SEARCH("Mshwari",C447)),"Mshwari",IF(ISNUMBER(SEARCH("Withdrawal charge",C447)),"Fees",IF(ISNUMBER(SEARCH("Customer Withdrawal",C447)),"Fees",IF(ISNUMBER(SEARCH("charge",C447)),"Fees","Other")))))))))))))))))))))))))</f>
        <v>Bundles</v>
      </c>
      <c r="R447" s="1" t="str">
        <f aca="false">TEXT(B447,"MMM YYYY")</f>
        <v>Mar 2026</v>
      </c>
    </row>
    <row r="448" customFormat="false" ht="13.8" hidden="false" customHeight="false" outlineLevel="0" collapsed="false">
      <c r="A448" s="4" t="s">
        <v>957</v>
      </c>
      <c r="B448" s="4" t="s">
        <v>958</v>
      </c>
      <c r="C448" s="4" t="s">
        <v>45</v>
      </c>
      <c r="D448" s="4" t="s">
        <v>18</v>
      </c>
      <c r="E448" s="4"/>
      <c r="F448" s="4" t="n">
        <v>70</v>
      </c>
      <c r="G448" s="4" t="n">
        <v>276</v>
      </c>
      <c r="L448" s="1" t="str">
        <f aca="false">IF(ISNUMBER(SEARCH("Bundle",C448)),"Bundles",IF(ISNUMBER(SEARCH("Airtime",C448)),"Bundles",IF(ISNUMBER(SEARCH("Merchant",C448)),"Merchant Payment",IF(ISNUMBER(SEARCH("Offnet C2B",C448)),"Merchant Payment",IF(ISNUMBER(SEARCH("Offnet B2C",C448)),"Merchant Payment",IF(ISNUMBER(SEARCH("Customer Payment to Small",C448)),"Merchant Payment",IF(ISNUMBER(SEARCH("Payment to Small Business",C448)),"Merchant Payment",IF(ISNUMBER(SEARCH("Sent to",C448)),"Sent to Person",IF(ISNUMBER(SEARCH("Customer Transfer to",C448)),"Sent to Person",IF(ISNUMBER(SEARCH("Business Payment",C448)),"Money In",IF(ISNUMBER(SEARCH("Funds Received",C448)),"Money In",IF(ISNUMBER(SEARCH("Receive International",C448)),"Money In",IF(ISNUMBER(SEARCH("Send Money Reversal",C448)),"Money In",IF(ISNUMBER(SEARCH("Pay Utility Reversal",C448)),"Money In",IF(ISNUMBER(SEARCH("Customer Transfer",C448)),"Money In",IF(ISNUMBER(SEARCH("Ziidi",C448)),"Investment",IF(ISNUMBER(SEARCH("Nabo",C448)),"Investment",IF(ISNUMBER(SEARCH("Paybill Online",C448)),"Pay Bill",IF(ISNUMBER(SEARCH("Pay Bill",C448)),"Pay Bill",IF(ISNUMBER(SEARCH("Spotify",C448)),"Pay Bill",IF(ISNUMBER(SEARCH("M-Shwari",C448)),"Mshwari",IF(ISNUMBER(SEARCH("Mshwari",C448)),"Mshwari",IF(ISNUMBER(SEARCH("Withdrawal charge",C448)),"Fees",IF(ISNUMBER(SEARCH("Customer Withdrawal",C448)),"Fees",IF(ISNUMBER(SEARCH("charge",C448)),"Fees","Other")))))))))))))))))))))))))</f>
        <v>Merchant Payment</v>
      </c>
      <c r="R448" s="1" t="str">
        <f aca="false">TEXT(B448,"MMM YYYY")</f>
        <v>Mar 2026</v>
      </c>
    </row>
    <row r="449" customFormat="false" ht="13.8" hidden="false" customHeight="false" outlineLevel="0" collapsed="false">
      <c r="A449" s="4" t="s">
        <v>959</v>
      </c>
      <c r="B449" s="4" t="s">
        <v>960</v>
      </c>
      <c r="C449" s="4" t="s">
        <v>459</v>
      </c>
      <c r="D449" s="4" t="s">
        <v>18</v>
      </c>
      <c r="E449" s="4"/>
      <c r="F449" s="4" t="n">
        <v>100</v>
      </c>
      <c r="G449" s="4" t="n">
        <v>176</v>
      </c>
      <c r="L449" s="1" t="str">
        <f aca="false">IF(ISNUMBER(SEARCH("Bundle",C449)),"Bundles",IF(ISNUMBER(SEARCH("Airtime",C449)),"Bundles",IF(ISNUMBER(SEARCH("Merchant",C449)),"Merchant Payment",IF(ISNUMBER(SEARCH("Offnet C2B",C449)),"Merchant Payment",IF(ISNUMBER(SEARCH("Offnet B2C",C449)),"Merchant Payment",IF(ISNUMBER(SEARCH("Customer Payment to Small",C449)),"Merchant Payment",IF(ISNUMBER(SEARCH("Payment to Small Business",C449)),"Merchant Payment",IF(ISNUMBER(SEARCH("Sent to",C449)),"Sent to Person",IF(ISNUMBER(SEARCH("Customer Transfer to",C449)),"Sent to Person",IF(ISNUMBER(SEARCH("Business Payment",C449)),"Money In",IF(ISNUMBER(SEARCH("Funds Received",C449)),"Money In",IF(ISNUMBER(SEARCH("Receive International",C449)),"Money In",IF(ISNUMBER(SEARCH("Send Money Reversal",C449)),"Money In",IF(ISNUMBER(SEARCH("Pay Utility Reversal",C449)),"Money In",IF(ISNUMBER(SEARCH("Customer Transfer",C449)),"Money In",IF(ISNUMBER(SEARCH("Ziidi",C449)),"Investment",IF(ISNUMBER(SEARCH("Nabo",C449)),"Investment",IF(ISNUMBER(SEARCH("Paybill Online",C449)),"Pay Bill",IF(ISNUMBER(SEARCH("Pay Bill",C449)),"Pay Bill",IF(ISNUMBER(SEARCH("Spotify",C449)),"Pay Bill",IF(ISNUMBER(SEARCH("M-Shwari",C449)),"Mshwari",IF(ISNUMBER(SEARCH("Mshwari",C449)),"Mshwari",IF(ISNUMBER(SEARCH("Withdrawal charge",C449)),"Fees",IF(ISNUMBER(SEARCH("Customer Withdrawal",C449)),"Fees",IF(ISNUMBER(SEARCH("charge",C449)),"Fees","Other")))))))))))))))))))))))))</f>
        <v>Merchant Payment</v>
      </c>
      <c r="R449" s="1" t="str">
        <f aca="false">TEXT(B449,"MMM YYYY")</f>
        <v>Mar 2026</v>
      </c>
    </row>
    <row r="450" customFormat="false" ht="13.8" hidden="false" customHeight="false" outlineLevel="0" collapsed="false">
      <c r="A450" s="4" t="s">
        <v>961</v>
      </c>
      <c r="B450" s="4" t="s">
        <v>962</v>
      </c>
      <c r="C450" s="4" t="s">
        <v>29</v>
      </c>
      <c r="D450" s="4" t="s">
        <v>18</v>
      </c>
      <c r="E450" s="4"/>
      <c r="F450" s="4" t="n">
        <v>10</v>
      </c>
      <c r="G450" s="4" t="n">
        <v>166</v>
      </c>
      <c r="L450" s="1" t="str">
        <f aca="false">IF(ISNUMBER(SEARCH("Bundle",C450)),"Bundles",IF(ISNUMBER(SEARCH("Airtime",C450)),"Bundles",IF(ISNUMBER(SEARCH("Merchant",C450)),"Merchant Payment",IF(ISNUMBER(SEARCH("Offnet C2B",C450)),"Merchant Payment",IF(ISNUMBER(SEARCH("Offnet B2C",C450)),"Merchant Payment",IF(ISNUMBER(SEARCH("Customer Payment to Small",C450)),"Merchant Payment",IF(ISNUMBER(SEARCH("Payment to Small Business",C450)),"Merchant Payment",IF(ISNUMBER(SEARCH("Sent to",C450)),"Sent to Person",IF(ISNUMBER(SEARCH("Customer Transfer to",C450)),"Sent to Person",IF(ISNUMBER(SEARCH("Business Payment",C450)),"Money In",IF(ISNUMBER(SEARCH("Funds Received",C450)),"Money In",IF(ISNUMBER(SEARCH("Receive International",C450)),"Money In",IF(ISNUMBER(SEARCH("Send Money Reversal",C450)),"Money In",IF(ISNUMBER(SEARCH("Pay Utility Reversal",C450)),"Money In",IF(ISNUMBER(SEARCH("Customer Transfer",C450)),"Money In",IF(ISNUMBER(SEARCH("Ziidi",C450)),"Investment",IF(ISNUMBER(SEARCH("Nabo",C450)),"Investment",IF(ISNUMBER(SEARCH("Paybill Online",C450)),"Pay Bill",IF(ISNUMBER(SEARCH("Pay Bill",C450)),"Pay Bill",IF(ISNUMBER(SEARCH("Spotify",C450)),"Pay Bill",IF(ISNUMBER(SEARCH("M-Shwari",C450)),"Mshwari",IF(ISNUMBER(SEARCH("Mshwari",C450)),"Mshwari",IF(ISNUMBER(SEARCH("Withdrawal charge",C450)),"Fees",IF(ISNUMBER(SEARCH("Customer Withdrawal",C450)),"Fees",IF(ISNUMBER(SEARCH("charge",C450)),"Fees","Other")))))))))))))))))))))))))</f>
        <v>Bundles</v>
      </c>
      <c r="R450" s="1" t="str">
        <f aca="false">TEXT(B450,"MMM YYYY")</f>
        <v>Mar 2026</v>
      </c>
    </row>
    <row r="451" customFormat="false" ht="13.8" hidden="false" customHeight="false" outlineLevel="0" collapsed="false">
      <c r="A451" s="4" t="s">
        <v>963</v>
      </c>
      <c r="B451" s="4" t="s">
        <v>964</v>
      </c>
      <c r="C451" s="4" t="s">
        <v>45</v>
      </c>
      <c r="D451" s="4" t="s">
        <v>18</v>
      </c>
      <c r="E451" s="4"/>
      <c r="F451" s="4" t="n">
        <v>70</v>
      </c>
      <c r="G451" s="4" t="n">
        <v>96</v>
      </c>
      <c r="L451" s="1" t="str">
        <f aca="false">IF(ISNUMBER(SEARCH("Bundle",C451)),"Bundles",IF(ISNUMBER(SEARCH("Airtime",C451)),"Bundles",IF(ISNUMBER(SEARCH("Merchant",C451)),"Merchant Payment",IF(ISNUMBER(SEARCH("Offnet C2B",C451)),"Merchant Payment",IF(ISNUMBER(SEARCH("Offnet B2C",C451)),"Merchant Payment",IF(ISNUMBER(SEARCH("Customer Payment to Small",C451)),"Merchant Payment",IF(ISNUMBER(SEARCH("Payment to Small Business",C451)),"Merchant Payment",IF(ISNUMBER(SEARCH("Sent to",C451)),"Sent to Person",IF(ISNUMBER(SEARCH("Customer Transfer to",C451)),"Sent to Person",IF(ISNUMBER(SEARCH("Business Payment",C451)),"Money In",IF(ISNUMBER(SEARCH("Funds Received",C451)),"Money In",IF(ISNUMBER(SEARCH("Receive International",C451)),"Money In",IF(ISNUMBER(SEARCH("Send Money Reversal",C451)),"Money In",IF(ISNUMBER(SEARCH("Pay Utility Reversal",C451)),"Money In",IF(ISNUMBER(SEARCH("Customer Transfer",C451)),"Money In",IF(ISNUMBER(SEARCH("Ziidi",C451)),"Investment",IF(ISNUMBER(SEARCH("Nabo",C451)),"Investment",IF(ISNUMBER(SEARCH("Paybill Online",C451)),"Pay Bill",IF(ISNUMBER(SEARCH("Pay Bill",C451)),"Pay Bill",IF(ISNUMBER(SEARCH("Spotify",C451)),"Pay Bill",IF(ISNUMBER(SEARCH("M-Shwari",C451)),"Mshwari",IF(ISNUMBER(SEARCH("Mshwari",C451)),"Mshwari",IF(ISNUMBER(SEARCH("Withdrawal charge",C451)),"Fees",IF(ISNUMBER(SEARCH("Customer Withdrawal",C451)),"Fees",IF(ISNUMBER(SEARCH("charge",C451)),"Fees","Other")))))))))))))))))))))))))</f>
        <v>Merchant Payment</v>
      </c>
      <c r="R451" s="1" t="str">
        <f aca="false">TEXT(B451,"MMM YYYY")</f>
        <v>Mar 2026</v>
      </c>
    </row>
    <row r="452" customFormat="false" ht="13.8" hidden="false" customHeight="false" outlineLevel="0" collapsed="false">
      <c r="A452" s="4" t="s">
        <v>965</v>
      </c>
      <c r="B452" s="4" t="s">
        <v>966</v>
      </c>
      <c r="C452" s="4" t="s">
        <v>17</v>
      </c>
      <c r="D452" s="4" t="s">
        <v>18</v>
      </c>
      <c r="E452" s="4"/>
      <c r="F452" s="4" t="n">
        <v>20</v>
      </c>
      <c r="G452" s="4" t="n">
        <v>76</v>
      </c>
      <c r="L452" s="1" t="str">
        <f aca="false">IF(ISNUMBER(SEARCH("Bundle",C452)),"Bundles",IF(ISNUMBER(SEARCH("Airtime",C452)),"Bundles",IF(ISNUMBER(SEARCH("Merchant",C452)),"Merchant Payment",IF(ISNUMBER(SEARCH("Offnet C2B",C452)),"Merchant Payment",IF(ISNUMBER(SEARCH("Offnet B2C",C452)),"Merchant Payment",IF(ISNUMBER(SEARCH("Customer Payment to Small",C452)),"Merchant Payment",IF(ISNUMBER(SEARCH("Payment to Small Business",C452)),"Merchant Payment",IF(ISNUMBER(SEARCH("Sent to",C452)),"Sent to Person",IF(ISNUMBER(SEARCH("Customer Transfer to",C452)),"Sent to Person",IF(ISNUMBER(SEARCH("Business Payment",C452)),"Money In",IF(ISNUMBER(SEARCH("Funds Received",C452)),"Money In",IF(ISNUMBER(SEARCH("Receive International",C452)),"Money In",IF(ISNUMBER(SEARCH("Send Money Reversal",C452)),"Money In",IF(ISNUMBER(SEARCH("Pay Utility Reversal",C452)),"Money In",IF(ISNUMBER(SEARCH("Customer Transfer",C452)),"Money In",IF(ISNUMBER(SEARCH("Ziidi",C452)),"Investment",IF(ISNUMBER(SEARCH("Nabo",C452)),"Investment",IF(ISNUMBER(SEARCH("Paybill Online",C452)),"Pay Bill",IF(ISNUMBER(SEARCH("Pay Bill",C452)),"Pay Bill",IF(ISNUMBER(SEARCH("Spotify",C452)),"Pay Bill",IF(ISNUMBER(SEARCH("M-Shwari",C452)),"Mshwari",IF(ISNUMBER(SEARCH("Mshwari",C452)),"Mshwari",IF(ISNUMBER(SEARCH("Withdrawal charge",C452)),"Fees",IF(ISNUMBER(SEARCH("Customer Withdrawal",C452)),"Fees",IF(ISNUMBER(SEARCH("charge",C452)),"Fees","Other")))))))))))))))))))))))))</f>
        <v>Bundles</v>
      </c>
      <c r="R452" s="1" t="str">
        <f aca="false">TEXT(B452,"MMM YYYY")</f>
        <v>Mar 2026</v>
      </c>
    </row>
    <row r="453" customFormat="false" ht="13.8" hidden="false" customHeight="false" outlineLevel="0" collapsed="false">
      <c r="A453" s="4" t="s">
        <v>967</v>
      </c>
      <c r="B453" s="4" t="s">
        <v>968</v>
      </c>
      <c r="C453" s="4" t="s">
        <v>29</v>
      </c>
      <c r="D453" s="4" t="s">
        <v>18</v>
      </c>
      <c r="E453" s="4"/>
      <c r="F453" s="4" t="n">
        <v>10</v>
      </c>
      <c r="G453" s="4" t="n">
        <v>66</v>
      </c>
      <c r="L453" s="1" t="str">
        <f aca="false">IF(ISNUMBER(SEARCH("Bundle",C453)),"Bundles",IF(ISNUMBER(SEARCH("Airtime",C453)),"Bundles",IF(ISNUMBER(SEARCH("Merchant",C453)),"Merchant Payment",IF(ISNUMBER(SEARCH("Offnet C2B",C453)),"Merchant Payment",IF(ISNUMBER(SEARCH("Offnet B2C",C453)),"Merchant Payment",IF(ISNUMBER(SEARCH("Customer Payment to Small",C453)),"Merchant Payment",IF(ISNUMBER(SEARCH("Payment to Small Business",C453)),"Merchant Payment",IF(ISNUMBER(SEARCH("Sent to",C453)),"Sent to Person",IF(ISNUMBER(SEARCH("Customer Transfer to",C453)),"Sent to Person",IF(ISNUMBER(SEARCH("Business Payment",C453)),"Money In",IF(ISNUMBER(SEARCH("Funds Received",C453)),"Money In",IF(ISNUMBER(SEARCH("Receive International",C453)),"Money In",IF(ISNUMBER(SEARCH("Send Money Reversal",C453)),"Money In",IF(ISNUMBER(SEARCH("Pay Utility Reversal",C453)),"Money In",IF(ISNUMBER(SEARCH("Customer Transfer",C453)),"Money In",IF(ISNUMBER(SEARCH("Ziidi",C453)),"Investment",IF(ISNUMBER(SEARCH("Nabo",C453)),"Investment",IF(ISNUMBER(SEARCH("Paybill Online",C453)),"Pay Bill",IF(ISNUMBER(SEARCH("Pay Bill",C453)),"Pay Bill",IF(ISNUMBER(SEARCH("Spotify",C453)),"Pay Bill",IF(ISNUMBER(SEARCH("M-Shwari",C453)),"Mshwari",IF(ISNUMBER(SEARCH("Mshwari",C453)),"Mshwari",IF(ISNUMBER(SEARCH("Withdrawal charge",C453)),"Fees",IF(ISNUMBER(SEARCH("Customer Withdrawal",C453)),"Fees",IF(ISNUMBER(SEARCH("charge",C453)),"Fees","Other")))))))))))))))))))))))))</f>
        <v>Bundles</v>
      </c>
      <c r="R453" s="1" t="str">
        <f aca="false">TEXT(B453,"MMM YYYY")</f>
        <v>Mar 2026</v>
      </c>
    </row>
    <row r="454" customFormat="false" ht="13.8" hidden="false" customHeight="false" outlineLevel="0" collapsed="false">
      <c r="A454" s="4" t="s">
        <v>969</v>
      </c>
      <c r="B454" s="4" t="s">
        <v>970</v>
      </c>
      <c r="C454" s="4" t="s">
        <v>29</v>
      </c>
      <c r="D454" s="4" t="s">
        <v>18</v>
      </c>
      <c r="E454" s="4"/>
      <c r="F454" s="4" t="n">
        <v>10</v>
      </c>
      <c r="G454" s="4" t="n">
        <v>56</v>
      </c>
      <c r="L454" s="1" t="str">
        <f aca="false">IF(ISNUMBER(SEARCH("Bundle",C454)),"Bundles",IF(ISNUMBER(SEARCH("Airtime",C454)),"Bundles",IF(ISNUMBER(SEARCH("Merchant",C454)),"Merchant Payment",IF(ISNUMBER(SEARCH("Offnet C2B",C454)),"Merchant Payment",IF(ISNUMBER(SEARCH("Offnet B2C",C454)),"Merchant Payment",IF(ISNUMBER(SEARCH("Customer Payment to Small",C454)),"Merchant Payment",IF(ISNUMBER(SEARCH("Payment to Small Business",C454)),"Merchant Payment",IF(ISNUMBER(SEARCH("Sent to",C454)),"Sent to Person",IF(ISNUMBER(SEARCH("Customer Transfer to",C454)),"Sent to Person",IF(ISNUMBER(SEARCH("Business Payment",C454)),"Money In",IF(ISNUMBER(SEARCH("Funds Received",C454)),"Money In",IF(ISNUMBER(SEARCH("Receive International",C454)),"Money In",IF(ISNUMBER(SEARCH("Send Money Reversal",C454)),"Money In",IF(ISNUMBER(SEARCH("Pay Utility Reversal",C454)),"Money In",IF(ISNUMBER(SEARCH("Customer Transfer",C454)),"Money In",IF(ISNUMBER(SEARCH("Ziidi",C454)),"Investment",IF(ISNUMBER(SEARCH("Nabo",C454)),"Investment",IF(ISNUMBER(SEARCH("Paybill Online",C454)),"Pay Bill",IF(ISNUMBER(SEARCH("Pay Bill",C454)),"Pay Bill",IF(ISNUMBER(SEARCH("Spotify",C454)),"Pay Bill",IF(ISNUMBER(SEARCH("M-Shwari",C454)),"Mshwari",IF(ISNUMBER(SEARCH("Mshwari",C454)),"Mshwari",IF(ISNUMBER(SEARCH("Withdrawal charge",C454)),"Fees",IF(ISNUMBER(SEARCH("Customer Withdrawal",C454)),"Fees",IF(ISNUMBER(SEARCH("charge",C454)),"Fees","Other")))))))))))))))))))))))))</f>
        <v>Bundles</v>
      </c>
      <c r="R454" s="1" t="str">
        <f aca="false">TEXT(B454,"MMM YYYY")</f>
        <v>Mar 2026</v>
      </c>
    </row>
    <row r="455" customFormat="false" ht="13.8" hidden="false" customHeight="false" outlineLevel="0" collapsed="false">
      <c r="A455" s="4" t="s">
        <v>971</v>
      </c>
      <c r="B455" s="4" t="s">
        <v>972</v>
      </c>
      <c r="C455" s="4" t="s">
        <v>192</v>
      </c>
      <c r="D455" s="4" t="s">
        <v>18</v>
      </c>
      <c r="E455" s="4" t="n">
        <v>300</v>
      </c>
      <c r="F455" s="4"/>
      <c r="G455" s="4" t="n">
        <v>356</v>
      </c>
      <c r="L455" s="1" t="str">
        <f aca="false">IF(ISNUMBER(SEARCH("Bundle",C455)),"Bundles",IF(ISNUMBER(SEARCH("Airtime",C455)),"Bundles",IF(ISNUMBER(SEARCH("Merchant",C455)),"Merchant Payment",IF(ISNUMBER(SEARCH("Offnet C2B",C455)),"Merchant Payment",IF(ISNUMBER(SEARCH("Offnet B2C",C455)),"Merchant Payment",IF(ISNUMBER(SEARCH("Customer Payment to Small",C455)),"Merchant Payment",IF(ISNUMBER(SEARCH("Payment to Small Business",C455)),"Merchant Payment",IF(ISNUMBER(SEARCH("Sent to",C455)),"Sent to Person",IF(ISNUMBER(SEARCH("Customer Transfer to",C455)),"Sent to Person",IF(ISNUMBER(SEARCH("Business Payment",C455)),"Money In",IF(ISNUMBER(SEARCH("Funds Received",C455)),"Money In",IF(ISNUMBER(SEARCH("Receive International",C455)),"Money In",IF(ISNUMBER(SEARCH("Send Money Reversal",C455)),"Money In",IF(ISNUMBER(SEARCH("Pay Utility Reversal",C455)),"Money In",IF(ISNUMBER(SEARCH("Customer Transfer",C455)),"Money In",IF(ISNUMBER(SEARCH("Ziidi",C455)),"Investment",IF(ISNUMBER(SEARCH("Nabo",C455)),"Investment",IF(ISNUMBER(SEARCH("Paybill Online",C455)),"Pay Bill",IF(ISNUMBER(SEARCH("Pay Bill",C455)),"Pay Bill",IF(ISNUMBER(SEARCH("Spotify",C455)),"Pay Bill",IF(ISNUMBER(SEARCH("M-Shwari",C455)),"Mshwari",IF(ISNUMBER(SEARCH("Mshwari",C455)),"Mshwari",IF(ISNUMBER(SEARCH("Withdrawal charge",C455)),"Fees",IF(ISNUMBER(SEARCH("Customer Withdrawal",C455)),"Fees",IF(ISNUMBER(SEARCH("charge",C455)),"Fees","Other")))))))))))))))))))))))))</f>
        <v>Mshwari</v>
      </c>
      <c r="R455" s="1" t="str">
        <f aca="false">TEXT(B455,"MMM YYYY")</f>
        <v>Mar 2026</v>
      </c>
    </row>
    <row r="456" customFormat="false" ht="13.8" hidden="false" customHeight="false" outlineLevel="0" collapsed="false">
      <c r="A456" s="4" t="s">
        <v>973</v>
      </c>
      <c r="B456" s="4" t="s">
        <v>974</v>
      </c>
      <c r="C456" s="4" t="s">
        <v>243</v>
      </c>
      <c r="D456" s="4" t="s">
        <v>18</v>
      </c>
      <c r="E456" s="4"/>
      <c r="F456" s="4" t="n">
        <v>70</v>
      </c>
      <c r="G456" s="4" t="n">
        <v>286</v>
      </c>
      <c r="L456" s="1" t="str">
        <f aca="false">IF(ISNUMBER(SEARCH("Bundle",C456)),"Bundles",IF(ISNUMBER(SEARCH("Airtime",C456)),"Bundles",IF(ISNUMBER(SEARCH("Merchant",C456)),"Merchant Payment",IF(ISNUMBER(SEARCH("Offnet C2B",C456)),"Merchant Payment",IF(ISNUMBER(SEARCH("Offnet B2C",C456)),"Merchant Payment",IF(ISNUMBER(SEARCH("Customer Payment to Small",C456)),"Merchant Payment",IF(ISNUMBER(SEARCH("Payment to Small Business",C456)),"Merchant Payment",IF(ISNUMBER(SEARCH("Sent to",C456)),"Sent to Person",IF(ISNUMBER(SEARCH("Customer Transfer to",C456)),"Sent to Person",IF(ISNUMBER(SEARCH("Business Payment",C456)),"Money In",IF(ISNUMBER(SEARCH("Funds Received",C456)),"Money In",IF(ISNUMBER(SEARCH("Receive International",C456)),"Money In",IF(ISNUMBER(SEARCH("Send Money Reversal",C456)),"Money In",IF(ISNUMBER(SEARCH("Pay Utility Reversal",C456)),"Money In",IF(ISNUMBER(SEARCH("Customer Transfer",C456)),"Money In",IF(ISNUMBER(SEARCH("Ziidi",C456)),"Investment",IF(ISNUMBER(SEARCH("Nabo",C456)),"Investment",IF(ISNUMBER(SEARCH("Paybill Online",C456)),"Pay Bill",IF(ISNUMBER(SEARCH("Pay Bill",C456)),"Pay Bill",IF(ISNUMBER(SEARCH("Spotify",C456)),"Pay Bill",IF(ISNUMBER(SEARCH("M-Shwari",C456)),"Mshwari",IF(ISNUMBER(SEARCH("Mshwari",C456)),"Mshwari",IF(ISNUMBER(SEARCH("Withdrawal charge",C456)),"Fees",IF(ISNUMBER(SEARCH("Customer Withdrawal",C456)),"Fees",IF(ISNUMBER(SEARCH("charge",C456)),"Fees","Other")))))))))))))))))))))))))</f>
        <v>Merchant Payment</v>
      </c>
      <c r="R456" s="1" t="str">
        <f aca="false">TEXT(B456,"MMM YYYY")</f>
        <v>Mar 2026</v>
      </c>
    </row>
    <row r="457" customFormat="false" ht="13.8" hidden="false" customHeight="false" outlineLevel="0" collapsed="false">
      <c r="A457" s="4" t="s">
        <v>975</v>
      </c>
      <c r="B457" s="4" t="s">
        <v>976</v>
      </c>
      <c r="C457" s="4" t="s">
        <v>316</v>
      </c>
      <c r="D457" s="4" t="s">
        <v>18</v>
      </c>
      <c r="E457" s="4"/>
      <c r="F457" s="4" t="n">
        <v>160</v>
      </c>
      <c r="G457" s="4" t="n">
        <v>126</v>
      </c>
      <c r="L457" s="1" t="str">
        <f aca="false">IF(ISNUMBER(SEARCH("Bundle",C457)),"Bundles",IF(ISNUMBER(SEARCH("Airtime",C457)),"Bundles",IF(ISNUMBER(SEARCH("Merchant",C457)),"Merchant Payment",IF(ISNUMBER(SEARCH("Offnet C2B",C457)),"Merchant Payment",IF(ISNUMBER(SEARCH("Offnet B2C",C457)),"Merchant Payment",IF(ISNUMBER(SEARCH("Customer Payment to Small",C457)),"Merchant Payment",IF(ISNUMBER(SEARCH("Payment to Small Business",C457)),"Merchant Payment",IF(ISNUMBER(SEARCH("Sent to",C457)),"Sent to Person",IF(ISNUMBER(SEARCH("Customer Transfer to",C457)),"Sent to Person",IF(ISNUMBER(SEARCH("Business Payment",C457)),"Money In",IF(ISNUMBER(SEARCH("Funds Received",C457)),"Money In",IF(ISNUMBER(SEARCH("Receive International",C457)),"Money In",IF(ISNUMBER(SEARCH("Send Money Reversal",C457)),"Money In",IF(ISNUMBER(SEARCH("Pay Utility Reversal",C457)),"Money In",IF(ISNUMBER(SEARCH("Customer Transfer",C457)),"Money In",IF(ISNUMBER(SEARCH("Ziidi",C457)),"Investment",IF(ISNUMBER(SEARCH("Nabo",C457)),"Investment",IF(ISNUMBER(SEARCH("Paybill Online",C457)),"Pay Bill",IF(ISNUMBER(SEARCH("Pay Bill",C457)),"Pay Bill",IF(ISNUMBER(SEARCH("Spotify",C457)),"Pay Bill",IF(ISNUMBER(SEARCH("M-Shwari",C457)),"Mshwari",IF(ISNUMBER(SEARCH("Mshwari",C457)),"Mshwari",IF(ISNUMBER(SEARCH("Withdrawal charge",C457)),"Fees",IF(ISNUMBER(SEARCH("Customer Withdrawal",C457)),"Fees",IF(ISNUMBER(SEARCH("charge",C457)),"Fees","Other")))))))))))))))))))))))))</f>
        <v>Merchant Payment</v>
      </c>
      <c r="R457" s="1" t="str">
        <f aca="false">TEXT(B457,"MMM YYYY")</f>
        <v>Mar 2026</v>
      </c>
    </row>
    <row r="458" customFormat="false" ht="13.8" hidden="false" customHeight="false" outlineLevel="0" collapsed="false">
      <c r="A458" s="4" t="s">
        <v>977</v>
      </c>
      <c r="B458" s="4" t="s">
        <v>978</v>
      </c>
      <c r="C458" s="4" t="s">
        <v>29</v>
      </c>
      <c r="D458" s="4" t="s">
        <v>18</v>
      </c>
      <c r="E458" s="4"/>
      <c r="F458" s="4" t="n">
        <v>20</v>
      </c>
      <c r="G458" s="4" t="n">
        <v>106</v>
      </c>
      <c r="L458" s="1" t="str">
        <f aca="false">IF(ISNUMBER(SEARCH("Bundle",C458)),"Bundles",IF(ISNUMBER(SEARCH("Airtime",C458)),"Bundles",IF(ISNUMBER(SEARCH("Merchant",C458)),"Merchant Payment",IF(ISNUMBER(SEARCH("Offnet C2B",C458)),"Merchant Payment",IF(ISNUMBER(SEARCH("Offnet B2C",C458)),"Merchant Payment",IF(ISNUMBER(SEARCH("Customer Payment to Small",C458)),"Merchant Payment",IF(ISNUMBER(SEARCH("Payment to Small Business",C458)),"Merchant Payment",IF(ISNUMBER(SEARCH("Sent to",C458)),"Sent to Person",IF(ISNUMBER(SEARCH("Customer Transfer to",C458)),"Sent to Person",IF(ISNUMBER(SEARCH("Business Payment",C458)),"Money In",IF(ISNUMBER(SEARCH("Funds Received",C458)),"Money In",IF(ISNUMBER(SEARCH("Receive International",C458)),"Money In",IF(ISNUMBER(SEARCH("Send Money Reversal",C458)),"Money In",IF(ISNUMBER(SEARCH("Pay Utility Reversal",C458)),"Money In",IF(ISNUMBER(SEARCH("Customer Transfer",C458)),"Money In",IF(ISNUMBER(SEARCH("Ziidi",C458)),"Investment",IF(ISNUMBER(SEARCH("Nabo",C458)),"Investment",IF(ISNUMBER(SEARCH("Paybill Online",C458)),"Pay Bill",IF(ISNUMBER(SEARCH("Pay Bill",C458)),"Pay Bill",IF(ISNUMBER(SEARCH("Spotify",C458)),"Pay Bill",IF(ISNUMBER(SEARCH("M-Shwari",C458)),"Mshwari",IF(ISNUMBER(SEARCH("Mshwari",C458)),"Mshwari",IF(ISNUMBER(SEARCH("Withdrawal charge",C458)),"Fees",IF(ISNUMBER(SEARCH("Customer Withdrawal",C458)),"Fees",IF(ISNUMBER(SEARCH("charge",C458)),"Fees","Other")))))))))))))))))))))))))</f>
        <v>Bundles</v>
      </c>
      <c r="R458" s="1" t="str">
        <f aca="false">TEXT(B458,"MMM YYYY")</f>
        <v>Mar 2026</v>
      </c>
    </row>
    <row r="459" customFormat="false" ht="13.8" hidden="false" customHeight="false" outlineLevel="0" collapsed="false">
      <c r="A459" s="4" t="s">
        <v>979</v>
      </c>
      <c r="B459" s="4" t="s">
        <v>980</v>
      </c>
      <c r="C459" s="4" t="s">
        <v>618</v>
      </c>
      <c r="D459" s="4" t="s">
        <v>18</v>
      </c>
      <c r="E459" s="4" t="n">
        <v>3000</v>
      </c>
      <c r="F459" s="4"/>
      <c r="G459" s="4" t="n">
        <v>3106</v>
      </c>
      <c r="L459" s="1" t="str">
        <f aca="false">IF(ISNUMBER(SEARCH("Bundle",C459)),"Bundles",IF(ISNUMBER(SEARCH("Airtime",C459)),"Bundles",IF(ISNUMBER(SEARCH("Merchant",C459)),"Merchant Payment",IF(ISNUMBER(SEARCH("Offnet C2B",C459)),"Merchant Payment",IF(ISNUMBER(SEARCH("Offnet B2C",C459)),"Merchant Payment",IF(ISNUMBER(SEARCH("Customer Payment to Small",C459)),"Merchant Payment",IF(ISNUMBER(SEARCH("Payment to Small Business",C459)),"Merchant Payment",IF(ISNUMBER(SEARCH("Sent to",C459)),"Sent to Person",IF(ISNUMBER(SEARCH("Customer Transfer to",C459)),"Sent to Person",IF(ISNUMBER(SEARCH("Business Payment",C459)),"Money In",IF(ISNUMBER(SEARCH("Funds Received",C459)),"Money In",IF(ISNUMBER(SEARCH("Receive International",C459)),"Money In",IF(ISNUMBER(SEARCH("Send Money Reversal",C459)),"Money In",IF(ISNUMBER(SEARCH("Pay Utility Reversal",C459)),"Money In",IF(ISNUMBER(SEARCH("Customer Transfer",C459)),"Money In",IF(ISNUMBER(SEARCH("Ziidi",C459)),"Investment",IF(ISNUMBER(SEARCH("Nabo",C459)),"Investment",IF(ISNUMBER(SEARCH("Paybill Online",C459)),"Pay Bill",IF(ISNUMBER(SEARCH("Pay Bill",C459)),"Pay Bill",IF(ISNUMBER(SEARCH("Spotify",C459)),"Pay Bill",IF(ISNUMBER(SEARCH("M-Shwari",C459)),"Mshwari",IF(ISNUMBER(SEARCH("Mshwari",C459)),"Mshwari",IF(ISNUMBER(SEARCH("Withdrawal charge",C459)),"Fees",IF(ISNUMBER(SEARCH("Customer Withdrawal",C459)),"Fees",IF(ISNUMBER(SEARCH("charge",C459)),"Fees","Other")))))))))))))))))))))))))</f>
        <v>Money In</v>
      </c>
      <c r="R459" s="1" t="str">
        <f aca="false">TEXT(B459,"MMM YYYY")</f>
        <v>Mar 2026</v>
      </c>
    </row>
    <row r="460" customFormat="false" ht="13.8" hidden="false" customHeight="false" outlineLevel="0" collapsed="false">
      <c r="A460" s="4" t="s">
        <v>981</v>
      </c>
      <c r="B460" s="4" t="s">
        <v>982</v>
      </c>
      <c r="C460" s="4" t="s">
        <v>646</v>
      </c>
      <c r="D460" s="4" t="s">
        <v>18</v>
      </c>
      <c r="E460" s="4"/>
      <c r="F460" s="4" t="n">
        <v>100</v>
      </c>
      <c r="G460" s="4" t="n">
        <v>3006</v>
      </c>
      <c r="L460" s="1" t="str">
        <f aca="false">IF(ISNUMBER(SEARCH("Bundle",C460)),"Bundles",IF(ISNUMBER(SEARCH("Airtime",C460)),"Bundles",IF(ISNUMBER(SEARCH("Merchant",C460)),"Merchant Payment",IF(ISNUMBER(SEARCH("Offnet C2B",C460)),"Merchant Payment",IF(ISNUMBER(SEARCH("Offnet B2C",C460)),"Merchant Payment",IF(ISNUMBER(SEARCH("Customer Payment to Small",C460)),"Merchant Payment",IF(ISNUMBER(SEARCH("Payment to Small Business",C460)),"Merchant Payment",IF(ISNUMBER(SEARCH("Sent to",C460)),"Sent to Person",IF(ISNUMBER(SEARCH("Customer Transfer to",C460)),"Sent to Person",IF(ISNUMBER(SEARCH("Business Payment",C460)),"Money In",IF(ISNUMBER(SEARCH("Funds Received",C460)),"Money In",IF(ISNUMBER(SEARCH("Receive International",C460)),"Money In",IF(ISNUMBER(SEARCH("Send Money Reversal",C460)),"Money In",IF(ISNUMBER(SEARCH("Pay Utility Reversal",C460)),"Money In",IF(ISNUMBER(SEARCH("Customer Transfer",C460)),"Money In",IF(ISNUMBER(SEARCH("Ziidi",C460)),"Investment",IF(ISNUMBER(SEARCH("Nabo",C460)),"Investment",IF(ISNUMBER(SEARCH("Paybill Online",C460)),"Pay Bill",IF(ISNUMBER(SEARCH("Pay Bill",C460)),"Pay Bill",IF(ISNUMBER(SEARCH("Spotify",C460)),"Pay Bill",IF(ISNUMBER(SEARCH("M-Shwari",C460)),"Mshwari",IF(ISNUMBER(SEARCH("Mshwari",C460)),"Mshwari",IF(ISNUMBER(SEARCH("Withdrawal charge",C460)),"Fees",IF(ISNUMBER(SEARCH("Customer Withdrawal",C460)),"Fees",IF(ISNUMBER(SEARCH("charge",C460)),"Fees","Other")))))))))))))))))))))))))</f>
        <v>Merchant Payment</v>
      </c>
      <c r="R460" s="1" t="str">
        <f aca="false">TEXT(B460,"MMM YYYY")</f>
        <v>Mar 2026</v>
      </c>
    </row>
    <row r="461" customFormat="false" ht="13.8" hidden="false" customHeight="false" outlineLevel="0" collapsed="false">
      <c r="A461" s="4" t="s">
        <v>983</v>
      </c>
      <c r="B461" s="4" t="s">
        <v>984</v>
      </c>
      <c r="C461" s="4" t="s">
        <v>29</v>
      </c>
      <c r="D461" s="4" t="s">
        <v>18</v>
      </c>
      <c r="E461" s="4"/>
      <c r="F461" s="4" t="n">
        <v>20</v>
      </c>
      <c r="G461" s="4" t="n">
        <v>2986</v>
      </c>
      <c r="L461" s="1" t="str">
        <f aca="false">IF(ISNUMBER(SEARCH("Bundle",C461)),"Bundles",IF(ISNUMBER(SEARCH("Airtime",C461)),"Bundles",IF(ISNUMBER(SEARCH("Merchant",C461)),"Merchant Payment",IF(ISNUMBER(SEARCH("Offnet C2B",C461)),"Merchant Payment",IF(ISNUMBER(SEARCH("Offnet B2C",C461)),"Merchant Payment",IF(ISNUMBER(SEARCH("Customer Payment to Small",C461)),"Merchant Payment",IF(ISNUMBER(SEARCH("Payment to Small Business",C461)),"Merchant Payment",IF(ISNUMBER(SEARCH("Sent to",C461)),"Sent to Person",IF(ISNUMBER(SEARCH("Customer Transfer to",C461)),"Sent to Person",IF(ISNUMBER(SEARCH("Business Payment",C461)),"Money In",IF(ISNUMBER(SEARCH("Funds Received",C461)),"Money In",IF(ISNUMBER(SEARCH("Receive International",C461)),"Money In",IF(ISNUMBER(SEARCH("Send Money Reversal",C461)),"Money In",IF(ISNUMBER(SEARCH("Pay Utility Reversal",C461)),"Money In",IF(ISNUMBER(SEARCH("Customer Transfer",C461)),"Money In",IF(ISNUMBER(SEARCH("Ziidi",C461)),"Investment",IF(ISNUMBER(SEARCH("Nabo",C461)),"Investment",IF(ISNUMBER(SEARCH("Paybill Online",C461)),"Pay Bill",IF(ISNUMBER(SEARCH("Pay Bill",C461)),"Pay Bill",IF(ISNUMBER(SEARCH("Spotify",C461)),"Pay Bill",IF(ISNUMBER(SEARCH("M-Shwari",C461)),"Mshwari",IF(ISNUMBER(SEARCH("Mshwari",C461)),"Mshwari",IF(ISNUMBER(SEARCH("Withdrawal charge",C461)),"Fees",IF(ISNUMBER(SEARCH("Customer Withdrawal",C461)),"Fees",IF(ISNUMBER(SEARCH("charge",C461)),"Fees","Other")))))))))))))))))))))))))</f>
        <v>Bundles</v>
      </c>
      <c r="R461" s="1" t="str">
        <f aca="false">TEXT(B461,"MMM YYYY")</f>
        <v>Mar 2026</v>
      </c>
    </row>
    <row r="462" customFormat="false" ht="13.8" hidden="false" customHeight="false" outlineLevel="0" collapsed="false">
      <c r="A462" s="4" t="s">
        <v>985</v>
      </c>
      <c r="B462" s="4" t="s">
        <v>986</v>
      </c>
      <c r="C462" s="4" t="s">
        <v>192</v>
      </c>
      <c r="D462" s="4" t="s">
        <v>18</v>
      </c>
      <c r="E462" s="4" t="n">
        <v>1000</v>
      </c>
      <c r="F462" s="4"/>
      <c r="G462" s="4" t="n">
        <v>3986</v>
      </c>
      <c r="L462" s="1" t="str">
        <f aca="false">IF(ISNUMBER(SEARCH("Bundle",C462)),"Bundles",IF(ISNUMBER(SEARCH("Airtime",C462)),"Bundles",IF(ISNUMBER(SEARCH("Merchant",C462)),"Merchant Payment",IF(ISNUMBER(SEARCH("Offnet C2B",C462)),"Merchant Payment",IF(ISNUMBER(SEARCH("Offnet B2C",C462)),"Merchant Payment",IF(ISNUMBER(SEARCH("Customer Payment to Small",C462)),"Merchant Payment",IF(ISNUMBER(SEARCH("Payment to Small Business",C462)),"Merchant Payment",IF(ISNUMBER(SEARCH("Sent to",C462)),"Sent to Person",IF(ISNUMBER(SEARCH("Customer Transfer to",C462)),"Sent to Person",IF(ISNUMBER(SEARCH("Business Payment",C462)),"Money In",IF(ISNUMBER(SEARCH("Funds Received",C462)),"Money In",IF(ISNUMBER(SEARCH("Receive International",C462)),"Money In",IF(ISNUMBER(SEARCH("Send Money Reversal",C462)),"Money In",IF(ISNUMBER(SEARCH("Pay Utility Reversal",C462)),"Money In",IF(ISNUMBER(SEARCH("Customer Transfer",C462)),"Money In",IF(ISNUMBER(SEARCH("Ziidi",C462)),"Investment",IF(ISNUMBER(SEARCH("Nabo",C462)),"Investment",IF(ISNUMBER(SEARCH("Paybill Online",C462)),"Pay Bill",IF(ISNUMBER(SEARCH("Pay Bill",C462)),"Pay Bill",IF(ISNUMBER(SEARCH("Spotify",C462)),"Pay Bill",IF(ISNUMBER(SEARCH("M-Shwari",C462)),"Mshwari",IF(ISNUMBER(SEARCH("Mshwari",C462)),"Mshwari",IF(ISNUMBER(SEARCH("Withdrawal charge",C462)),"Fees",IF(ISNUMBER(SEARCH("Customer Withdrawal",C462)),"Fees",IF(ISNUMBER(SEARCH("charge",C462)),"Fees","Other")))))))))))))))))))))))))</f>
        <v>Mshwari</v>
      </c>
      <c r="R462" s="1" t="str">
        <f aca="false">TEXT(B462,"MMM YYYY")</f>
        <v>Mar 2026</v>
      </c>
    </row>
    <row r="463" customFormat="false" ht="13.8" hidden="false" customHeight="false" outlineLevel="0" collapsed="false">
      <c r="A463" s="4" t="s">
        <v>987</v>
      </c>
      <c r="B463" s="4" t="s">
        <v>988</v>
      </c>
      <c r="C463" s="4" t="s">
        <v>182</v>
      </c>
      <c r="D463" s="4" t="s">
        <v>18</v>
      </c>
      <c r="E463" s="4"/>
      <c r="F463" s="4" t="n">
        <v>34</v>
      </c>
      <c r="G463" s="4" t="n">
        <v>52</v>
      </c>
      <c r="L463" s="1" t="str">
        <f aca="false">IF(ISNUMBER(SEARCH("Bundle",C463)),"Bundles",IF(ISNUMBER(SEARCH("Airtime",C463)),"Bundles",IF(ISNUMBER(SEARCH("Merchant",C463)),"Merchant Payment",IF(ISNUMBER(SEARCH("Offnet C2B",C463)),"Merchant Payment",IF(ISNUMBER(SEARCH("Offnet B2C",C463)),"Merchant Payment",IF(ISNUMBER(SEARCH("Customer Payment to Small",C463)),"Merchant Payment",IF(ISNUMBER(SEARCH("Payment to Small Business",C463)),"Merchant Payment",IF(ISNUMBER(SEARCH("Sent to",C463)),"Sent to Person",IF(ISNUMBER(SEARCH("Customer Transfer to",C463)),"Sent to Person",IF(ISNUMBER(SEARCH("Business Payment",C463)),"Money In",IF(ISNUMBER(SEARCH("Funds Received",C463)),"Money In",IF(ISNUMBER(SEARCH("Receive International",C463)),"Money In",IF(ISNUMBER(SEARCH("Send Money Reversal",C463)),"Money In",IF(ISNUMBER(SEARCH("Pay Utility Reversal",C463)),"Money In",IF(ISNUMBER(SEARCH("Customer Transfer",C463)),"Money In",IF(ISNUMBER(SEARCH("Ziidi",C463)),"Investment",IF(ISNUMBER(SEARCH("Nabo",C463)),"Investment",IF(ISNUMBER(SEARCH("Paybill Online",C463)),"Pay Bill",IF(ISNUMBER(SEARCH("Pay Bill",C463)),"Pay Bill",IF(ISNUMBER(SEARCH("Spotify",C463)),"Pay Bill",IF(ISNUMBER(SEARCH("M-Shwari",C463)),"Mshwari",IF(ISNUMBER(SEARCH("Mshwari",C463)),"Mshwari",IF(ISNUMBER(SEARCH("Withdrawal charge",C463)),"Fees",IF(ISNUMBER(SEARCH("Customer Withdrawal",C463)),"Fees",IF(ISNUMBER(SEARCH("charge",C463)),"Fees","Other")))))))))))))))))))))))))</f>
        <v>Pay Bill</v>
      </c>
      <c r="R463" s="1" t="str">
        <f aca="false">TEXT(B463,"MMM YYYY")</f>
        <v>Mar 2026</v>
      </c>
    </row>
    <row r="464" customFormat="false" ht="13.8" hidden="false" customHeight="false" outlineLevel="0" collapsed="false">
      <c r="A464" s="4" t="s">
        <v>987</v>
      </c>
      <c r="B464" s="4" t="s">
        <v>988</v>
      </c>
      <c r="C464" s="4" t="s">
        <v>989</v>
      </c>
      <c r="D464" s="4" t="s">
        <v>18</v>
      </c>
      <c r="E464" s="4"/>
      <c r="F464" s="4" t="n">
        <v>3900</v>
      </c>
      <c r="G464" s="4" t="n">
        <v>86</v>
      </c>
      <c r="L464" s="1" t="str">
        <f aca="false">IF(ISNUMBER(SEARCH("Bundle",C464)),"Bundles",IF(ISNUMBER(SEARCH("Airtime",C464)),"Bundles",IF(ISNUMBER(SEARCH("Merchant",C464)),"Merchant Payment",IF(ISNUMBER(SEARCH("Offnet C2B",C464)),"Merchant Payment",IF(ISNUMBER(SEARCH("Offnet B2C",C464)),"Merchant Payment",IF(ISNUMBER(SEARCH("Customer Payment to Small",C464)),"Merchant Payment",IF(ISNUMBER(SEARCH("Payment to Small Business",C464)),"Merchant Payment",IF(ISNUMBER(SEARCH("Sent to",C464)),"Sent to Person",IF(ISNUMBER(SEARCH("Customer Transfer to",C464)),"Sent to Person",IF(ISNUMBER(SEARCH("Business Payment",C464)),"Money In",IF(ISNUMBER(SEARCH("Funds Received",C464)),"Money In",IF(ISNUMBER(SEARCH("Receive International",C464)),"Money In",IF(ISNUMBER(SEARCH("Send Money Reversal",C464)),"Money In",IF(ISNUMBER(SEARCH("Pay Utility Reversal",C464)),"Money In",IF(ISNUMBER(SEARCH("Customer Transfer",C464)),"Money In",IF(ISNUMBER(SEARCH("Ziidi",C464)),"Investment",IF(ISNUMBER(SEARCH("Nabo",C464)),"Investment",IF(ISNUMBER(SEARCH("Paybill Online",C464)),"Pay Bill",IF(ISNUMBER(SEARCH("Pay Bill",C464)),"Pay Bill",IF(ISNUMBER(SEARCH("Spotify",C464)),"Pay Bill",IF(ISNUMBER(SEARCH("M-Shwari",C464)),"Mshwari",IF(ISNUMBER(SEARCH("Mshwari",C464)),"Mshwari",IF(ISNUMBER(SEARCH("Withdrawal charge",C464)),"Fees",IF(ISNUMBER(SEARCH("Customer Withdrawal",C464)),"Fees",IF(ISNUMBER(SEARCH("charge",C464)),"Fees","Other")))))))))))))))))))))))))</f>
        <v>Pay Bill</v>
      </c>
      <c r="R464" s="1" t="str">
        <f aca="false">TEXT(B464,"MMM YYYY")</f>
        <v>Mar 2026</v>
      </c>
    </row>
    <row r="465" customFormat="false" ht="13.8" hidden="false" customHeight="false" outlineLevel="0" collapsed="false">
      <c r="A465" s="4" t="s">
        <v>990</v>
      </c>
      <c r="B465" s="4" t="s">
        <v>991</v>
      </c>
      <c r="C465" s="4" t="s">
        <v>29</v>
      </c>
      <c r="D465" s="4" t="s">
        <v>18</v>
      </c>
      <c r="E465" s="4"/>
      <c r="F465" s="4" t="n">
        <v>30</v>
      </c>
      <c r="G465" s="4" t="n">
        <v>22</v>
      </c>
      <c r="L465" s="1" t="str">
        <f aca="false">IF(ISNUMBER(SEARCH("Bundle",C465)),"Bundles",IF(ISNUMBER(SEARCH("Airtime",C465)),"Bundles",IF(ISNUMBER(SEARCH("Merchant",C465)),"Merchant Payment",IF(ISNUMBER(SEARCH("Offnet C2B",C465)),"Merchant Payment",IF(ISNUMBER(SEARCH("Offnet B2C",C465)),"Merchant Payment",IF(ISNUMBER(SEARCH("Customer Payment to Small",C465)),"Merchant Payment",IF(ISNUMBER(SEARCH("Payment to Small Business",C465)),"Merchant Payment",IF(ISNUMBER(SEARCH("Sent to",C465)),"Sent to Person",IF(ISNUMBER(SEARCH("Customer Transfer to",C465)),"Sent to Person",IF(ISNUMBER(SEARCH("Business Payment",C465)),"Money In",IF(ISNUMBER(SEARCH("Funds Received",C465)),"Money In",IF(ISNUMBER(SEARCH("Receive International",C465)),"Money In",IF(ISNUMBER(SEARCH("Send Money Reversal",C465)),"Money In",IF(ISNUMBER(SEARCH("Pay Utility Reversal",C465)),"Money In",IF(ISNUMBER(SEARCH("Customer Transfer",C465)),"Money In",IF(ISNUMBER(SEARCH("Ziidi",C465)),"Investment",IF(ISNUMBER(SEARCH("Nabo",C465)),"Investment",IF(ISNUMBER(SEARCH("Paybill Online",C465)),"Pay Bill",IF(ISNUMBER(SEARCH("Pay Bill",C465)),"Pay Bill",IF(ISNUMBER(SEARCH("Spotify",C465)),"Pay Bill",IF(ISNUMBER(SEARCH("M-Shwari",C465)),"Mshwari",IF(ISNUMBER(SEARCH("Mshwari",C465)),"Mshwari",IF(ISNUMBER(SEARCH("Withdrawal charge",C465)),"Fees",IF(ISNUMBER(SEARCH("Customer Withdrawal",C465)),"Fees",IF(ISNUMBER(SEARCH("charge",C465)),"Fees","Other")))))))))))))))))))))))))</f>
        <v>Bundles</v>
      </c>
      <c r="R465" s="1" t="str">
        <f aca="false">TEXT(B465,"MMM YYYY")</f>
        <v>Mar 2026</v>
      </c>
    </row>
    <row r="466" customFormat="false" ht="13.8" hidden="false" customHeight="false" outlineLevel="0" collapsed="false">
      <c r="A466" s="4" t="s">
        <v>992</v>
      </c>
      <c r="B466" s="4" t="s">
        <v>993</v>
      </c>
      <c r="C466" s="4" t="s">
        <v>192</v>
      </c>
      <c r="D466" s="4" t="s">
        <v>18</v>
      </c>
      <c r="E466" s="4" t="n">
        <v>300</v>
      </c>
      <c r="F466" s="4"/>
      <c r="G466" s="4" t="n">
        <v>322</v>
      </c>
      <c r="L466" s="1" t="str">
        <f aca="false">IF(ISNUMBER(SEARCH("Bundle",C466)),"Bundles",IF(ISNUMBER(SEARCH("Airtime",C466)),"Bundles",IF(ISNUMBER(SEARCH("Merchant",C466)),"Merchant Payment",IF(ISNUMBER(SEARCH("Offnet C2B",C466)),"Merchant Payment",IF(ISNUMBER(SEARCH("Offnet B2C",C466)),"Merchant Payment",IF(ISNUMBER(SEARCH("Customer Payment to Small",C466)),"Merchant Payment",IF(ISNUMBER(SEARCH("Payment to Small Business",C466)),"Merchant Payment",IF(ISNUMBER(SEARCH("Sent to",C466)),"Sent to Person",IF(ISNUMBER(SEARCH("Customer Transfer to",C466)),"Sent to Person",IF(ISNUMBER(SEARCH("Business Payment",C466)),"Money In",IF(ISNUMBER(SEARCH("Funds Received",C466)),"Money In",IF(ISNUMBER(SEARCH("Receive International",C466)),"Money In",IF(ISNUMBER(SEARCH("Send Money Reversal",C466)),"Money In",IF(ISNUMBER(SEARCH("Pay Utility Reversal",C466)),"Money In",IF(ISNUMBER(SEARCH("Customer Transfer",C466)),"Money In",IF(ISNUMBER(SEARCH("Ziidi",C466)),"Investment",IF(ISNUMBER(SEARCH("Nabo",C466)),"Investment",IF(ISNUMBER(SEARCH("Paybill Online",C466)),"Pay Bill",IF(ISNUMBER(SEARCH("Pay Bill",C466)),"Pay Bill",IF(ISNUMBER(SEARCH("Spotify",C466)),"Pay Bill",IF(ISNUMBER(SEARCH("M-Shwari",C466)),"Mshwari",IF(ISNUMBER(SEARCH("Mshwari",C466)),"Mshwari",IF(ISNUMBER(SEARCH("Withdrawal charge",C466)),"Fees",IF(ISNUMBER(SEARCH("Customer Withdrawal",C466)),"Fees",IF(ISNUMBER(SEARCH("charge",C466)),"Fees","Other")))))))))))))))))))))))))</f>
        <v>Mshwari</v>
      </c>
      <c r="R466" s="1" t="str">
        <f aca="false">TEXT(B466,"MMM YYYY")</f>
        <v>Mar 2026</v>
      </c>
    </row>
    <row r="467" customFormat="false" ht="13.8" hidden="false" customHeight="false" outlineLevel="0" collapsed="false">
      <c r="A467" s="4" t="s">
        <v>994</v>
      </c>
      <c r="B467" s="4" t="s">
        <v>995</v>
      </c>
      <c r="C467" s="4" t="s">
        <v>29</v>
      </c>
      <c r="D467" s="4" t="s">
        <v>18</v>
      </c>
      <c r="E467" s="4"/>
      <c r="F467" s="4" t="n">
        <v>30</v>
      </c>
      <c r="G467" s="4" t="n">
        <v>292</v>
      </c>
      <c r="L467" s="1" t="str">
        <f aca="false">IF(ISNUMBER(SEARCH("Bundle",C467)),"Bundles",IF(ISNUMBER(SEARCH("Airtime",C467)),"Bundles",IF(ISNUMBER(SEARCH("Merchant",C467)),"Merchant Payment",IF(ISNUMBER(SEARCH("Offnet C2B",C467)),"Merchant Payment",IF(ISNUMBER(SEARCH("Offnet B2C",C467)),"Merchant Payment",IF(ISNUMBER(SEARCH("Customer Payment to Small",C467)),"Merchant Payment",IF(ISNUMBER(SEARCH("Payment to Small Business",C467)),"Merchant Payment",IF(ISNUMBER(SEARCH("Sent to",C467)),"Sent to Person",IF(ISNUMBER(SEARCH("Customer Transfer to",C467)),"Sent to Person",IF(ISNUMBER(SEARCH("Business Payment",C467)),"Money In",IF(ISNUMBER(SEARCH("Funds Received",C467)),"Money In",IF(ISNUMBER(SEARCH("Receive International",C467)),"Money In",IF(ISNUMBER(SEARCH("Send Money Reversal",C467)),"Money In",IF(ISNUMBER(SEARCH("Pay Utility Reversal",C467)),"Money In",IF(ISNUMBER(SEARCH("Customer Transfer",C467)),"Money In",IF(ISNUMBER(SEARCH("Ziidi",C467)),"Investment",IF(ISNUMBER(SEARCH("Nabo",C467)),"Investment",IF(ISNUMBER(SEARCH("Paybill Online",C467)),"Pay Bill",IF(ISNUMBER(SEARCH("Pay Bill",C467)),"Pay Bill",IF(ISNUMBER(SEARCH("Spotify",C467)),"Pay Bill",IF(ISNUMBER(SEARCH("M-Shwari",C467)),"Mshwari",IF(ISNUMBER(SEARCH("Mshwari",C467)),"Mshwari",IF(ISNUMBER(SEARCH("Withdrawal charge",C467)),"Fees",IF(ISNUMBER(SEARCH("Customer Withdrawal",C467)),"Fees",IF(ISNUMBER(SEARCH("charge",C467)),"Fees","Other")))))))))))))))))))))))))</f>
        <v>Bundles</v>
      </c>
      <c r="R467" s="1" t="str">
        <f aca="false">TEXT(B467,"MMM YYYY")</f>
        <v>Mar 2026</v>
      </c>
    </row>
    <row r="468" customFormat="false" ht="13.8" hidden="false" customHeight="false" outlineLevel="0" collapsed="false">
      <c r="A468" s="4" t="s">
        <v>996</v>
      </c>
      <c r="B468" s="4" t="s">
        <v>997</v>
      </c>
      <c r="C468" s="4" t="s">
        <v>29</v>
      </c>
      <c r="D468" s="4" t="s">
        <v>18</v>
      </c>
      <c r="E468" s="4"/>
      <c r="F468" s="4" t="n">
        <v>20</v>
      </c>
      <c r="G468" s="4" t="n">
        <v>272</v>
      </c>
      <c r="L468" s="1" t="str">
        <f aca="false">IF(ISNUMBER(SEARCH("Bundle",C468)),"Bundles",IF(ISNUMBER(SEARCH("Airtime",C468)),"Bundles",IF(ISNUMBER(SEARCH("Merchant",C468)),"Merchant Payment",IF(ISNUMBER(SEARCH("Offnet C2B",C468)),"Merchant Payment",IF(ISNUMBER(SEARCH("Offnet B2C",C468)),"Merchant Payment",IF(ISNUMBER(SEARCH("Customer Payment to Small",C468)),"Merchant Payment",IF(ISNUMBER(SEARCH("Payment to Small Business",C468)),"Merchant Payment",IF(ISNUMBER(SEARCH("Sent to",C468)),"Sent to Person",IF(ISNUMBER(SEARCH("Customer Transfer to",C468)),"Sent to Person",IF(ISNUMBER(SEARCH("Business Payment",C468)),"Money In",IF(ISNUMBER(SEARCH("Funds Received",C468)),"Money In",IF(ISNUMBER(SEARCH("Receive International",C468)),"Money In",IF(ISNUMBER(SEARCH("Send Money Reversal",C468)),"Money In",IF(ISNUMBER(SEARCH("Pay Utility Reversal",C468)),"Money In",IF(ISNUMBER(SEARCH("Customer Transfer",C468)),"Money In",IF(ISNUMBER(SEARCH("Ziidi",C468)),"Investment",IF(ISNUMBER(SEARCH("Nabo",C468)),"Investment",IF(ISNUMBER(SEARCH("Paybill Online",C468)),"Pay Bill",IF(ISNUMBER(SEARCH("Pay Bill",C468)),"Pay Bill",IF(ISNUMBER(SEARCH("Spotify",C468)),"Pay Bill",IF(ISNUMBER(SEARCH("M-Shwari",C468)),"Mshwari",IF(ISNUMBER(SEARCH("Mshwari",C468)),"Mshwari",IF(ISNUMBER(SEARCH("Withdrawal charge",C468)),"Fees",IF(ISNUMBER(SEARCH("Customer Withdrawal",C468)),"Fees",IF(ISNUMBER(SEARCH("charge",C468)),"Fees","Other")))))))))))))))))))))))))</f>
        <v>Bundles</v>
      </c>
      <c r="R468" s="1" t="str">
        <f aca="false">TEXT(B468,"MMM YYYY")</f>
        <v>Mar 2026</v>
      </c>
    </row>
    <row r="469" customFormat="false" ht="13.8" hidden="false" customHeight="false" outlineLevel="0" collapsed="false">
      <c r="A469" s="4" t="s">
        <v>998</v>
      </c>
      <c r="B469" s="4" t="s">
        <v>999</v>
      </c>
      <c r="C469" s="4" t="s">
        <v>29</v>
      </c>
      <c r="D469" s="4" t="s">
        <v>18</v>
      </c>
      <c r="E469" s="4"/>
      <c r="F469" s="4" t="n">
        <v>25</v>
      </c>
      <c r="G469" s="4" t="n">
        <v>247</v>
      </c>
      <c r="L469" s="1" t="str">
        <f aca="false">IF(ISNUMBER(SEARCH("Bundle",C469)),"Bundles",IF(ISNUMBER(SEARCH("Airtime",C469)),"Bundles",IF(ISNUMBER(SEARCH("Merchant",C469)),"Merchant Payment",IF(ISNUMBER(SEARCH("Offnet C2B",C469)),"Merchant Payment",IF(ISNUMBER(SEARCH("Offnet B2C",C469)),"Merchant Payment",IF(ISNUMBER(SEARCH("Customer Payment to Small",C469)),"Merchant Payment",IF(ISNUMBER(SEARCH("Payment to Small Business",C469)),"Merchant Payment",IF(ISNUMBER(SEARCH("Sent to",C469)),"Sent to Person",IF(ISNUMBER(SEARCH("Customer Transfer to",C469)),"Sent to Person",IF(ISNUMBER(SEARCH("Business Payment",C469)),"Money In",IF(ISNUMBER(SEARCH("Funds Received",C469)),"Money In",IF(ISNUMBER(SEARCH("Receive International",C469)),"Money In",IF(ISNUMBER(SEARCH("Send Money Reversal",C469)),"Money In",IF(ISNUMBER(SEARCH("Pay Utility Reversal",C469)),"Money In",IF(ISNUMBER(SEARCH("Customer Transfer",C469)),"Money In",IF(ISNUMBER(SEARCH("Ziidi",C469)),"Investment",IF(ISNUMBER(SEARCH("Nabo",C469)),"Investment",IF(ISNUMBER(SEARCH("Paybill Online",C469)),"Pay Bill",IF(ISNUMBER(SEARCH("Pay Bill",C469)),"Pay Bill",IF(ISNUMBER(SEARCH("Spotify",C469)),"Pay Bill",IF(ISNUMBER(SEARCH("M-Shwari",C469)),"Mshwari",IF(ISNUMBER(SEARCH("Mshwari",C469)),"Mshwari",IF(ISNUMBER(SEARCH("Withdrawal charge",C469)),"Fees",IF(ISNUMBER(SEARCH("Customer Withdrawal",C469)),"Fees",IF(ISNUMBER(SEARCH("charge",C469)),"Fees","Other")))))))))))))))))))))))))</f>
        <v>Bundles</v>
      </c>
      <c r="R469" s="1" t="str">
        <f aca="false">TEXT(B469,"MMM YYYY")</f>
        <v>Mar 2026</v>
      </c>
    </row>
    <row r="470" customFormat="false" ht="13.8" hidden="false" customHeight="false" outlineLevel="0" collapsed="false">
      <c r="A470" s="4" t="s">
        <v>1000</v>
      </c>
      <c r="B470" s="4" t="s">
        <v>1001</v>
      </c>
      <c r="C470" s="4" t="s">
        <v>192</v>
      </c>
      <c r="D470" s="4" t="s">
        <v>18</v>
      </c>
      <c r="E470" s="4" t="n">
        <v>2100</v>
      </c>
      <c r="F470" s="4"/>
      <c r="G470" s="4" t="n">
        <v>2347</v>
      </c>
      <c r="L470" s="1" t="str">
        <f aca="false">IF(ISNUMBER(SEARCH("Bundle",C470)),"Bundles",IF(ISNUMBER(SEARCH("Airtime",C470)),"Bundles",IF(ISNUMBER(SEARCH("Merchant",C470)),"Merchant Payment",IF(ISNUMBER(SEARCH("Offnet C2B",C470)),"Merchant Payment",IF(ISNUMBER(SEARCH("Offnet B2C",C470)),"Merchant Payment",IF(ISNUMBER(SEARCH("Customer Payment to Small",C470)),"Merchant Payment",IF(ISNUMBER(SEARCH("Payment to Small Business",C470)),"Merchant Payment",IF(ISNUMBER(SEARCH("Sent to",C470)),"Sent to Person",IF(ISNUMBER(SEARCH("Customer Transfer to",C470)),"Sent to Person",IF(ISNUMBER(SEARCH("Business Payment",C470)),"Money In",IF(ISNUMBER(SEARCH("Funds Received",C470)),"Money In",IF(ISNUMBER(SEARCH("Receive International",C470)),"Money In",IF(ISNUMBER(SEARCH("Send Money Reversal",C470)),"Money In",IF(ISNUMBER(SEARCH("Pay Utility Reversal",C470)),"Money In",IF(ISNUMBER(SEARCH("Customer Transfer",C470)),"Money In",IF(ISNUMBER(SEARCH("Ziidi",C470)),"Investment",IF(ISNUMBER(SEARCH("Nabo",C470)),"Investment",IF(ISNUMBER(SEARCH("Paybill Online",C470)),"Pay Bill",IF(ISNUMBER(SEARCH("Pay Bill",C470)),"Pay Bill",IF(ISNUMBER(SEARCH("Spotify",C470)),"Pay Bill",IF(ISNUMBER(SEARCH("M-Shwari",C470)),"Mshwari",IF(ISNUMBER(SEARCH("Mshwari",C470)),"Mshwari",IF(ISNUMBER(SEARCH("Withdrawal charge",C470)),"Fees",IF(ISNUMBER(SEARCH("Customer Withdrawal",C470)),"Fees",IF(ISNUMBER(SEARCH("charge",C470)),"Fees","Other")))))))))))))))))))))))))</f>
        <v>Mshwari</v>
      </c>
      <c r="R470" s="1" t="str">
        <f aca="false">TEXT(B470,"MMM YYYY")</f>
        <v>Mar 2026</v>
      </c>
    </row>
    <row r="471" customFormat="false" ht="13.8" hidden="false" customHeight="false" outlineLevel="0" collapsed="false">
      <c r="A471" s="4" t="s">
        <v>1002</v>
      </c>
      <c r="B471" s="4" t="s">
        <v>1003</v>
      </c>
      <c r="C471" s="4" t="s">
        <v>239</v>
      </c>
      <c r="D471" s="4" t="s">
        <v>18</v>
      </c>
      <c r="E471" s="4"/>
      <c r="F471" s="4" t="n">
        <v>33</v>
      </c>
      <c r="G471" s="4" t="n">
        <v>314</v>
      </c>
      <c r="L471" s="1" t="str">
        <f aca="false">IF(ISNUMBER(SEARCH("Bundle",C471)),"Bundles",IF(ISNUMBER(SEARCH("Airtime",C471)),"Bundles",IF(ISNUMBER(SEARCH("Merchant",C471)),"Merchant Payment",IF(ISNUMBER(SEARCH("Offnet C2B",C471)),"Merchant Payment",IF(ISNUMBER(SEARCH("Offnet B2C",C471)),"Merchant Payment",IF(ISNUMBER(SEARCH("Customer Payment to Small",C471)),"Merchant Payment",IF(ISNUMBER(SEARCH("Payment to Small Business",C471)),"Merchant Payment",IF(ISNUMBER(SEARCH("Sent to",C471)),"Sent to Person",IF(ISNUMBER(SEARCH("Customer Transfer to",C471)),"Sent to Person",IF(ISNUMBER(SEARCH("Business Payment",C471)),"Money In",IF(ISNUMBER(SEARCH("Funds Received",C471)),"Money In",IF(ISNUMBER(SEARCH("Receive International",C471)),"Money In",IF(ISNUMBER(SEARCH("Send Money Reversal",C471)),"Money In",IF(ISNUMBER(SEARCH("Pay Utility Reversal",C471)),"Money In",IF(ISNUMBER(SEARCH("Customer Transfer",C471)),"Money In",IF(ISNUMBER(SEARCH("Ziidi",C471)),"Investment",IF(ISNUMBER(SEARCH("Nabo",C471)),"Investment",IF(ISNUMBER(SEARCH("Paybill Online",C471)),"Pay Bill",IF(ISNUMBER(SEARCH("Pay Bill",C471)),"Pay Bill",IF(ISNUMBER(SEARCH("Spotify",C471)),"Pay Bill",IF(ISNUMBER(SEARCH("M-Shwari",C471)),"Mshwari",IF(ISNUMBER(SEARCH("Mshwari",C471)),"Mshwari",IF(ISNUMBER(SEARCH("Withdrawal charge",C471)),"Fees",IF(ISNUMBER(SEARCH("Customer Withdrawal",C471)),"Fees",IF(ISNUMBER(SEARCH("charge",C471)),"Fees","Other")))))))))))))))))))))))))</f>
        <v>Money In</v>
      </c>
      <c r="R471" s="1" t="str">
        <f aca="false">TEXT(B471,"MMM YYYY")</f>
        <v>Mar 2026</v>
      </c>
    </row>
    <row r="472" customFormat="false" ht="13.8" hidden="false" customHeight="false" outlineLevel="0" collapsed="false">
      <c r="A472" s="4" t="s">
        <v>1002</v>
      </c>
      <c r="B472" s="4" t="s">
        <v>1003</v>
      </c>
      <c r="C472" s="4" t="s">
        <v>323</v>
      </c>
      <c r="D472" s="4" t="s">
        <v>18</v>
      </c>
      <c r="E472" s="4"/>
      <c r="F472" s="4" t="n">
        <v>2000</v>
      </c>
      <c r="G472" s="4" t="n">
        <v>347</v>
      </c>
      <c r="L472" s="1" t="str">
        <f aca="false">IF(ISNUMBER(SEARCH("Bundle",C472)),"Bundles",IF(ISNUMBER(SEARCH("Airtime",C472)),"Bundles",IF(ISNUMBER(SEARCH("Merchant",C472)),"Merchant Payment",IF(ISNUMBER(SEARCH("Offnet C2B",C472)),"Merchant Payment",IF(ISNUMBER(SEARCH("Offnet B2C",C472)),"Merchant Payment",IF(ISNUMBER(SEARCH("Customer Payment to Small",C472)),"Merchant Payment",IF(ISNUMBER(SEARCH("Payment to Small Business",C472)),"Merchant Payment",IF(ISNUMBER(SEARCH("Sent to",C472)),"Sent to Person",IF(ISNUMBER(SEARCH("Customer Transfer to",C472)),"Sent to Person",IF(ISNUMBER(SEARCH("Business Payment",C472)),"Money In",IF(ISNUMBER(SEARCH("Funds Received",C472)),"Money In",IF(ISNUMBER(SEARCH("Receive International",C472)),"Money In",IF(ISNUMBER(SEARCH("Send Money Reversal",C472)),"Money In",IF(ISNUMBER(SEARCH("Pay Utility Reversal",C472)),"Money In",IF(ISNUMBER(SEARCH("Customer Transfer",C472)),"Money In",IF(ISNUMBER(SEARCH("Ziidi",C472)),"Investment",IF(ISNUMBER(SEARCH("Nabo",C472)),"Investment",IF(ISNUMBER(SEARCH("Paybill Online",C472)),"Pay Bill",IF(ISNUMBER(SEARCH("Pay Bill",C472)),"Pay Bill",IF(ISNUMBER(SEARCH("Spotify",C472)),"Pay Bill",IF(ISNUMBER(SEARCH("M-Shwari",C472)),"Mshwari",IF(ISNUMBER(SEARCH("Mshwari",C472)),"Mshwari",IF(ISNUMBER(SEARCH("Withdrawal charge",C472)),"Fees",IF(ISNUMBER(SEARCH("Customer Withdrawal",C472)),"Fees",IF(ISNUMBER(SEARCH("charge",C472)),"Fees","Other")))))))))))))))))))))))))</f>
        <v>Sent to Person</v>
      </c>
      <c r="R472" s="1" t="str">
        <f aca="false">TEXT(B472,"MMM YYYY")</f>
        <v>Mar 2026</v>
      </c>
    </row>
    <row r="473" customFormat="false" ht="13.8" hidden="false" customHeight="false" outlineLevel="0" collapsed="false">
      <c r="A473" s="4" t="s">
        <v>1004</v>
      </c>
      <c r="B473" s="4" t="s">
        <v>1005</v>
      </c>
      <c r="C473" s="4" t="s">
        <v>635</v>
      </c>
      <c r="D473" s="4" t="s">
        <v>18</v>
      </c>
      <c r="E473" s="4"/>
      <c r="F473" s="4" t="n">
        <v>40</v>
      </c>
      <c r="G473" s="4" t="n">
        <v>274</v>
      </c>
      <c r="L473" s="1" t="str">
        <f aca="false">IF(ISNUMBER(SEARCH("Bundle",C473)),"Bundles",IF(ISNUMBER(SEARCH("Airtime",C473)),"Bundles",IF(ISNUMBER(SEARCH("Merchant",C473)),"Merchant Payment",IF(ISNUMBER(SEARCH("Offnet C2B",C473)),"Merchant Payment",IF(ISNUMBER(SEARCH("Offnet B2C",C473)),"Merchant Payment",IF(ISNUMBER(SEARCH("Customer Payment to Small",C473)),"Merchant Payment",IF(ISNUMBER(SEARCH("Payment to Small Business",C473)),"Merchant Payment",IF(ISNUMBER(SEARCH("Sent to",C473)),"Sent to Person",IF(ISNUMBER(SEARCH("Customer Transfer to",C473)),"Sent to Person",IF(ISNUMBER(SEARCH("Business Payment",C473)),"Money In",IF(ISNUMBER(SEARCH("Funds Received",C473)),"Money In",IF(ISNUMBER(SEARCH("Receive International",C473)),"Money In",IF(ISNUMBER(SEARCH("Send Money Reversal",C473)),"Money In",IF(ISNUMBER(SEARCH("Pay Utility Reversal",C473)),"Money In",IF(ISNUMBER(SEARCH("Customer Transfer",C473)),"Money In",IF(ISNUMBER(SEARCH("Ziidi",C473)),"Investment",IF(ISNUMBER(SEARCH("Nabo",C473)),"Investment",IF(ISNUMBER(SEARCH("Paybill Online",C473)),"Pay Bill",IF(ISNUMBER(SEARCH("Pay Bill",C473)),"Pay Bill",IF(ISNUMBER(SEARCH("Spotify",C473)),"Pay Bill",IF(ISNUMBER(SEARCH("M-Shwari",C473)),"Mshwari",IF(ISNUMBER(SEARCH("Mshwari",C473)),"Mshwari",IF(ISNUMBER(SEARCH("Withdrawal charge",C473)),"Fees",IF(ISNUMBER(SEARCH("Customer Withdrawal",C473)),"Fees",IF(ISNUMBER(SEARCH("charge",C473)),"Fees","Other")))))))))))))))))))))))))</f>
        <v>Merchant Payment</v>
      </c>
      <c r="R473" s="1" t="str">
        <f aca="false">TEXT(B473,"MMM YYYY")</f>
        <v>Mar 2026</v>
      </c>
    </row>
    <row r="474" customFormat="false" ht="13.8" hidden="false" customHeight="false" outlineLevel="0" collapsed="false">
      <c r="A474" s="4" t="s">
        <v>1006</v>
      </c>
      <c r="B474" s="4" t="s">
        <v>1007</v>
      </c>
      <c r="C474" s="4" t="s">
        <v>29</v>
      </c>
      <c r="D474" s="4" t="s">
        <v>18</v>
      </c>
      <c r="E474" s="4"/>
      <c r="F474" s="4" t="n">
        <v>10</v>
      </c>
      <c r="G474" s="4" t="n">
        <v>264</v>
      </c>
      <c r="L474" s="1" t="str">
        <f aca="false">IF(ISNUMBER(SEARCH("Bundle",C474)),"Bundles",IF(ISNUMBER(SEARCH("Airtime",C474)),"Bundles",IF(ISNUMBER(SEARCH("Merchant",C474)),"Merchant Payment",IF(ISNUMBER(SEARCH("Offnet C2B",C474)),"Merchant Payment",IF(ISNUMBER(SEARCH("Offnet B2C",C474)),"Merchant Payment",IF(ISNUMBER(SEARCH("Customer Payment to Small",C474)),"Merchant Payment",IF(ISNUMBER(SEARCH("Payment to Small Business",C474)),"Merchant Payment",IF(ISNUMBER(SEARCH("Sent to",C474)),"Sent to Person",IF(ISNUMBER(SEARCH("Customer Transfer to",C474)),"Sent to Person",IF(ISNUMBER(SEARCH("Business Payment",C474)),"Money In",IF(ISNUMBER(SEARCH("Funds Received",C474)),"Money In",IF(ISNUMBER(SEARCH("Receive International",C474)),"Money In",IF(ISNUMBER(SEARCH("Send Money Reversal",C474)),"Money In",IF(ISNUMBER(SEARCH("Pay Utility Reversal",C474)),"Money In",IF(ISNUMBER(SEARCH("Customer Transfer",C474)),"Money In",IF(ISNUMBER(SEARCH("Ziidi",C474)),"Investment",IF(ISNUMBER(SEARCH("Nabo",C474)),"Investment",IF(ISNUMBER(SEARCH("Paybill Online",C474)),"Pay Bill",IF(ISNUMBER(SEARCH("Pay Bill",C474)),"Pay Bill",IF(ISNUMBER(SEARCH("Spotify",C474)),"Pay Bill",IF(ISNUMBER(SEARCH("M-Shwari",C474)),"Mshwari",IF(ISNUMBER(SEARCH("Mshwari",C474)),"Mshwari",IF(ISNUMBER(SEARCH("Withdrawal charge",C474)),"Fees",IF(ISNUMBER(SEARCH("Customer Withdrawal",C474)),"Fees",IF(ISNUMBER(SEARCH("charge",C474)),"Fees","Other")))))))))))))))))))))))))</f>
        <v>Bundles</v>
      </c>
      <c r="R474" s="1" t="str">
        <f aca="false">TEXT(B474,"MMM YYYY")</f>
        <v>Mar 2026</v>
      </c>
    </row>
    <row r="475" customFormat="false" ht="13.8" hidden="false" customHeight="false" outlineLevel="0" collapsed="false">
      <c r="A475" s="4" t="s">
        <v>1008</v>
      </c>
      <c r="B475" s="4" t="s">
        <v>1009</v>
      </c>
      <c r="C475" s="4" t="s">
        <v>1010</v>
      </c>
      <c r="D475" s="4" t="s">
        <v>18</v>
      </c>
      <c r="E475" s="4"/>
      <c r="F475" s="4" t="n">
        <v>70</v>
      </c>
      <c r="G475" s="4" t="n">
        <v>194</v>
      </c>
      <c r="L475" s="1" t="str">
        <f aca="false">IF(ISNUMBER(SEARCH("Bundle",C475)),"Bundles",IF(ISNUMBER(SEARCH("Airtime",C475)),"Bundles",IF(ISNUMBER(SEARCH("Merchant",C475)),"Merchant Payment",IF(ISNUMBER(SEARCH("Offnet C2B",C475)),"Merchant Payment",IF(ISNUMBER(SEARCH("Offnet B2C",C475)),"Merchant Payment",IF(ISNUMBER(SEARCH("Customer Payment to Small",C475)),"Merchant Payment",IF(ISNUMBER(SEARCH("Payment to Small Business",C475)),"Merchant Payment",IF(ISNUMBER(SEARCH("Sent to",C475)),"Sent to Person",IF(ISNUMBER(SEARCH("Customer Transfer to",C475)),"Sent to Person",IF(ISNUMBER(SEARCH("Business Payment",C475)),"Money In",IF(ISNUMBER(SEARCH("Funds Received",C475)),"Money In",IF(ISNUMBER(SEARCH("Receive International",C475)),"Money In",IF(ISNUMBER(SEARCH("Send Money Reversal",C475)),"Money In",IF(ISNUMBER(SEARCH("Pay Utility Reversal",C475)),"Money In",IF(ISNUMBER(SEARCH("Customer Transfer",C475)),"Money In",IF(ISNUMBER(SEARCH("Ziidi",C475)),"Investment",IF(ISNUMBER(SEARCH("Nabo",C475)),"Investment",IF(ISNUMBER(SEARCH("Paybill Online",C475)),"Pay Bill",IF(ISNUMBER(SEARCH("Pay Bill",C475)),"Pay Bill",IF(ISNUMBER(SEARCH("Spotify",C475)),"Pay Bill",IF(ISNUMBER(SEARCH("M-Shwari",C475)),"Mshwari",IF(ISNUMBER(SEARCH("Mshwari",C475)),"Mshwari",IF(ISNUMBER(SEARCH("Withdrawal charge",C475)),"Fees",IF(ISNUMBER(SEARCH("Customer Withdrawal",C475)),"Fees",IF(ISNUMBER(SEARCH("charge",C475)),"Fees","Other")))))))))))))))))))))))))</f>
        <v>Merchant Payment</v>
      </c>
      <c r="R475" s="1" t="str">
        <f aca="false">TEXT(B475,"MMM YYYY")</f>
        <v>Mar 2026</v>
      </c>
    </row>
    <row r="476" customFormat="false" ht="13.8" hidden="false" customHeight="false" outlineLevel="0" collapsed="false">
      <c r="A476" s="4" t="s">
        <v>1011</v>
      </c>
      <c r="B476" s="4" t="s">
        <v>1012</v>
      </c>
      <c r="C476" s="4" t="s">
        <v>1013</v>
      </c>
      <c r="D476" s="4" t="s">
        <v>18</v>
      </c>
      <c r="E476" s="4"/>
      <c r="F476" s="4" t="n">
        <v>100</v>
      </c>
      <c r="G476" s="4" t="n">
        <v>94</v>
      </c>
      <c r="L476" s="1" t="str">
        <f aca="false">IF(ISNUMBER(SEARCH("Bundle",C476)),"Bundles",IF(ISNUMBER(SEARCH("Airtime",C476)),"Bundles",IF(ISNUMBER(SEARCH("Merchant",C476)),"Merchant Payment",IF(ISNUMBER(SEARCH("Offnet C2B",C476)),"Merchant Payment",IF(ISNUMBER(SEARCH("Offnet B2C",C476)),"Merchant Payment",IF(ISNUMBER(SEARCH("Customer Payment to Small",C476)),"Merchant Payment",IF(ISNUMBER(SEARCH("Payment to Small Business",C476)),"Merchant Payment",IF(ISNUMBER(SEARCH("Sent to",C476)),"Sent to Person",IF(ISNUMBER(SEARCH("Customer Transfer to",C476)),"Sent to Person",IF(ISNUMBER(SEARCH("Business Payment",C476)),"Money In",IF(ISNUMBER(SEARCH("Funds Received",C476)),"Money In",IF(ISNUMBER(SEARCH("Receive International",C476)),"Money In",IF(ISNUMBER(SEARCH("Send Money Reversal",C476)),"Money In",IF(ISNUMBER(SEARCH("Pay Utility Reversal",C476)),"Money In",IF(ISNUMBER(SEARCH("Customer Transfer",C476)),"Money In",IF(ISNUMBER(SEARCH("Ziidi",C476)),"Investment",IF(ISNUMBER(SEARCH("Nabo",C476)),"Investment",IF(ISNUMBER(SEARCH("Paybill Online",C476)),"Pay Bill",IF(ISNUMBER(SEARCH("Pay Bill",C476)),"Pay Bill",IF(ISNUMBER(SEARCH("Spotify",C476)),"Pay Bill",IF(ISNUMBER(SEARCH("M-Shwari",C476)),"Mshwari",IF(ISNUMBER(SEARCH("Mshwari",C476)),"Mshwari",IF(ISNUMBER(SEARCH("Withdrawal charge",C476)),"Fees",IF(ISNUMBER(SEARCH("Customer Withdrawal",C476)),"Fees",IF(ISNUMBER(SEARCH("charge",C476)),"Fees","Other")))))))))))))))))))))))))</f>
        <v>Sent to Person</v>
      </c>
      <c r="R476" s="1" t="str">
        <f aca="false">TEXT(B476,"MMM YYYY")</f>
        <v>Mar 2026</v>
      </c>
    </row>
    <row r="477" customFormat="false" ht="13.8" hidden="false" customHeight="false" outlineLevel="0" collapsed="false">
      <c r="A477" s="4" t="s">
        <v>1014</v>
      </c>
      <c r="B477" s="4" t="s">
        <v>1015</v>
      </c>
      <c r="C477" s="4" t="s">
        <v>837</v>
      </c>
      <c r="D477" s="4" t="s">
        <v>18</v>
      </c>
      <c r="E477" s="4"/>
      <c r="F477" s="4" t="n">
        <v>80</v>
      </c>
      <c r="G477" s="4" t="n">
        <v>14</v>
      </c>
      <c r="L477" s="1" t="str">
        <f aca="false">IF(ISNUMBER(SEARCH("Bundle",C477)),"Bundles",IF(ISNUMBER(SEARCH("Airtime",C477)),"Bundles",IF(ISNUMBER(SEARCH("Merchant",C477)),"Merchant Payment",IF(ISNUMBER(SEARCH("Offnet C2B",C477)),"Merchant Payment",IF(ISNUMBER(SEARCH("Offnet B2C",C477)),"Merchant Payment",IF(ISNUMBER(SEARCH("Customer Payment to Small",C477)),"Merchant Payment",IF(ISNUMBER(SEARCH("Payment to Small Business",C477)),"Merchant Payment",IF(ISNUMBER(SEARCH("Sent to",C477)),"Sent to Person",IF(ISNUMBER(SEARCH("Customer Transfer to",C477)),"Sent to Person",IF(ISNUMBER(SEARCH("Business Payment",C477)),"Money In",IF(ISNUMBER(SEARCH("Funds Received",C477)),"Money In",IF(ISNUMBER(SEARCH("Receive International",C477)),"Money In",IF(ISNUMBER(SEARCH("Send Money Reversal",C477)),"Money In",IF(ISNUMBER(SEARCH("Pay Utility Reversal",C477)),"Money In",IF(ISNUMBER(SEARCH("Customer Transfer",C477)),"Money In",IF(ISNUMBER(SEARCH("Ziidi",C477)),"Investment",IF(ISNUMBER(SEARCH("Nabo",C477)),"Investment",IF(ISNUMBER(SEARCH("Paybill Online",C477)),"Pay Bill",IF(ISNUMBER(SEARCH("Pay Bill",C477)),"Pay Bill",IF(ISNUMBER(SEARCH("Spotify",C477)),"Pay Bill",IF(ISNUMBER(SEARCH("M-Shwari",C477)),"Mshwari",IF(ISNUMBER(SEARCH("Mshwari",C477)),"Mshwari",IF(ISNUMBER(SEARCH("Withdrawal charge",C477)),"Fees",IF(ISNUMBER(SEARCH("Customer Withdrawal",C477)),"Fees",IF(ISNUMBER(SEARCH("charge",C477)),"Fees","Other")))))))))))))))))))))))))</f>
        <v>Merchant Payment</v>
      </c>
      <c r="R477" s="1" t="str">
        <f aca="false">TEXT(B477,"MMM YYYY")</f>
        <v>Mar 2026</v>
      </c>
    </row>
    <row r="478" customFormat="false" ht="13.8" hidden="false" customHeight="false" outlineLevel="0" collapsed="false">
      <c r="A478" s="4" t="s">
        <v>1016</v>
      </c>
      <c r="B478" s="4" t="s">
        <v>1017</v>
      </c>
      <c r="C478" s="4" t="s">
        <v>192</v>
      </c>
      <c r="D478" s="4" t="s">
        <v>18</v>
      </c>
      <c r="E478" s="4" t="n">
        <v>400</v>
      </c>
      <c r="F478" s="4"/>
      <c r="G478" s="4" t="n">
        <v>414</v>
      </c>
      <c r="L478" s="1" t="str">
        <f aca="false">IF(ISNUMBER(SEARCH("Bundle",C478)),"Bundles",IF(ISNUMBER(SEARCH("Airtime",C478)),"Bundles",IF(ISNUMBER(SEARCH("Merchant",C478)),"Merchant Payment",IF(ISNUMBER(SEARCH("Offnet C2B",C478)),"Merchant Payment",IF(ISNUMBER(SEARCH("Offnet B2C",C478)),"Merchant Payment",IF(ISNUMBER(SEARCH("Customer Payment to Small",C478)),"Merchant Payment",IF(ISNUMBER(SEARCH("Payment to Small Business",C478)),"Merchant Payment",IF(ISNUMBER(SEARCH("Sent to",C478)),"Sent to Person",IF(ISNUMBER(SEARCH("Customer Transfer to",C478)),"Sent to Person",IF(ISNUMBER(SEARCH("Business Payment",C478)),"Money In",IF(ISNUMBER(SEARCH("Funds Received",C478)),"Money In",IF(ISNUMBER(SEARCH("Receive International",C478)),"Money In",IF(ISNUMBER(SEARCH("Send Money Reversal",C478)),"Money In",IF(ISNUMBER(SEARCH("Pay Utility Reversal",C478)),"Money In",IF(ISNUMBER(SEARCH("Customer Transfer",C478)),"Money In",IF(ISNUMBER(SEARCH("Ziidi",C478)),"Investment",IF(ISNUMBER(SEARCH("Nabo",C478)),"Investment",IF(ISNUMBER(SEARCH("Paybill Online",C478)),"Pay Bill",IF(ISNUMBER(SEARCH("Pay Bill",C478)),"Pay Bill",IF(ISNUMBER(SEARCH("Spotify",C478)),"Pay Bill",IF(ISNUMBER(SEARCH("M-Shwari",C478)),"Mshwari",IF(ISNUMBER(SEARCH("Mshwari",C478)),"Mshwari",IF(ISNUMBER(SEARCH("Withdrawal charge",C478)),"Fees",IF(ISNUMBER(SEARCH("Customer Withdrawal",C478)),"Fees",IF(ISNUMBER(SEARCH("charge",C478)),"Fees","Other")))))))))))))))))))))))))</f>
        <v>Mshwari</v>
      </c>
      <c r="R478" s="1" t="str">
        <f aca="false">TEXT(B478,"MMM YYYY")</f>
        <v>Mar 2026</v>
      </c>
    </row>
    <row r="479" customFormat="false" ht="13.8" hidden="false" customHeight="false" outlineLevel="0" collapsed="false">
      <c r="A479" s="4" t="s">
        <v>1018</v>
      </c>
      <c r="B479" s="4" t="s">
        <v>1019</v>
      </c>
      <c r="C479" s="4" t="s">
        <v>29</v>
      </c>
      <c r="D479" s="4" t="s">
        <v>18</v>
      </c>
      <c r="E479" s="4"/>
      <c r="F479" s="4" t="n">
        <v>20</v>
      </c>
      <c r="G479" s="4" t="n">
        <v>394</v>
      </c>
      <c r="L479" s="1" t="str">
        <f aca="false">IF(ISNUMBER(SEARCH("Bundle",C479)),"Bundles",IF(ISNUMBER(SEARCH("Airtime",C479)),"Bundles",IF(ISNUMBER(SEARCH("Merchant",C479)),"Merchant Payment",IF(ISNUMBER(SEARCH("Offnet C2B",C479)),"Merchant Payment",IF(ISNUMBER(SEARCH("Offnet B2C",C479)),"Merchant Payment",IF(ISNUMBER(SEARCH("Customer Payment to Small",C479)),"Merchant Payment",IF(ISNUMBER(SEARCH("Payment to Small Business",C479)),"Merchant Payment",IF(ISNUMBER(SEARCH("Sent to",C479)),"Sent to Person",IF(ISNUMBER(SEARCH("Customer Transfer to",C479)),"Sent to Person",IF(ISNUMBER(SEARCH("Business Payment",C479)),"Money In",IF(ISNUMBER(SEARCH("Funds Received",C479)),"Money In",IF(ISNUMBER(SEARCH("Receive International",C479)),"Money In",IF(ISNUMBER(SEARCH("Send Money Reversal",C479)),"Money In",IF(ISNUMBER(SEARCH("Pay Utility Reversal",C479)),"Money In",IF(ISNUMBER(SEARCH("Customer Transfer",C479)),"Money In",IF(ISNUMBER(SEARCH("Ziidi",C479)),"Investment",IF(ISNUMBER(SEARCH("Nabo",C479)),"Investment",IF(ISNUMBER(SEARCH("Paybill Online",C479)),"Pay Bill",IF(ISNUMBER(SEARCH("Pay Bill",C479)),"Pay Bill",IF(ISNUMBER(SEARCH("Spotify",C479)),"Pay Bill",IF(ISNUMBER(SEARCH("M-Shwari",C479)),"Mshwari",IF(ISNUMBER(SEARCH("Mshwari",C479)),"Mshwari",IF(ISNUMBER(SEARCH("Withdrawal charge",C479)),"Fees",IF(ISNUMBER(SEARCH("Customer Withdrawal",C479)),"Fees",IF(ISNUMBER(SEARCH("charge",C479)),"Fees","Other")))))))))))))))))))))))))</f>
        <v>Bundles</v>
      </c>
      <c r="R479" s="1" t="str">
        <f aca="false">TEXT(B479,"MMM YYYY")</f>
        <v>Mar 2026</v>
      </c>
    </row>
    <row r="480" customFormat="false" ht="13.8" hidden="false" customHeight="false" outlineLevel="0" collapsed="false">
      <c r="A480" s="4" t="s">
        <v>1020</v>
      </c>
      <c r="B480" s="4" t="s">
        <v>1021</v>
      </c>
      <c r="C480" s="4" t="s">
        <v>29</v>
      </c>
      <c r="D480" s="4" t="s">
        <v>18</v>
      </c>
      <c r="E480" s="4"/>
      <c r="F480" s="4" t="n">
        <v>10</v>
      </c>
      <c r="G480" s="4" t="n">
        <v>384</v>
      </c>
      <c r="L480" s="1" t="str">
        <f aca="false">IF(ISNUMBER(SEARCH("Bundle",C480)),"Bundles",IF(ISNUMBER(SEARCH("Airtime",C480)),"Bundles",IF(ISNUMBER(SEARCH("Merchant",C480)),"Merchant Payment",IF(ISNUMBER(SEARCH("Offnet C2B",C480)),"Merchant Payment",IF(ISNUMBER(SEARCH("Offnet B2C",C480)),"Merchant Payment",IF(ISNUMBER(SEARCH("Customer Payment to Small",C480)),"Merchant Payment",IF(ISNUMBER(SEARCH("Payment to Small Business",C480)),"Merchant Payment",IF(ISNUMBER(SEARCH("Sent to",C480)),"Sent to Person",IF(ISNUMBER(SEARCH("Customer Transfer to",C480)),"Sent to Person",IF(ISNUMBER(SEARCH("Business Payment",C480)),"Money In",IF(ISNUMBER(SEARCH("Funds Received",C480)),"Money In",IF(ISNUMBER(SEARCH("Receive International",C480)),"Money In",IF(ISNUMBER(SEARCH("Send Money Reversal",C480)),"Money In",IF(ISNUMBER(SEARCH("Pay Utility Reversal",C480)),"Money In",IF(ISNUMBER(SEARCH("Customer Transfer",C480)),"Money In",IF(ISNUMBER(SEARCH("Ziidi",C480)),"Investment",IF(ISNUMBER(SEARCH("Nabo",C480)),"Investment",IF(ISNUMBER(SEARCH("Paybill Online",C480)),"Pay Bill",IF(ISNUMBER(SEARCH("Pay Bill",C480)),"Pay Bill",IF(ISNUMBER(SEARCH("Spotify",C480)),"Pay Bill",IF(ISNUMBER(SEARCH("M-Shwari",C480)),"Mshwari",IF(ISNUMBER(SEARCH("Mshwari",C480)),"Mshwari",IF(ISNUMBER(SEARCH("Withdrawal charge",C480)),"Fees",IF(ISNUMBER(SEARCH("Customer Withdrawal",C480)),"Fees",IF(ISNUMBER(SEARCH("charge",C480)),"Fees","Other")))))))))))))))))))))))))</f>
        <v>Bundles</v>
      </c>
      <c r="R480" s="1" t="str">
        <f aca="false">TEXT(B480,"MMM YYYY")</f>
        <v>Mar 2026</v>
      </c>
    </row>
    <row r="481" customFormat="false" ht="13.8" hidden="false" customHeight="false" outlineLevel="0" collapsed="false">
      <c r="A481" s="4" t="s">
        <v>1022</v>
      </c>
      <c r="B481" s="4" t="s">
        <v>1023</v>
      </c>
      <c r="C481" s="4" t="s">
        <v>29</v>
      </c>
      <c r="D481" s="4" t="s">
        <v>18</v>
      </c>
      <c r="E481" s="4"/>
      <c r="F481" s="4" t="n">
        <v>10</v>
      </c>
      <c r="G481" s="4" t="n">
        <v>374</v>
      </c>
      <c r="L481" s="1" t="str">
        <f aca="false">IF(ISNUMBER(SEARCH("Bundle",C481)),"Bundles",IF(ISNUMBER(SEARCH("Airtime",C481)),"Bundles",IF(ISNUMBER(SEARCH("Merchant",C481)),"Merchant Payment",IF(ISNUMBER(SEARCH("Offnet C2B",C481)),"Merchant Payment",IF(ISNUMBER(SEARCH("Offnet B2C",C481)),"Merchant Payment",IF(ISNUMBER(SEARCH("Customer Payment to Small",C481)),"Merchant Payment",IF(ISNUMBER(SEARCH("Payment to Small Business",C481)),"Merchant Payment",IF(ISNUMBER(SEARCH("Sent to",C481)),"Sent to Person",IF(ISNUMBER(SEARCH("Customer Transfer to",C481)),"Sent to Person",IF(ISNUMBER(SEARCH("Business Payment",C481)),"Money In",IF(ISNUMBER(SEARCH("Funds Received",C481)),"Money In",IF(ISNUMBER(SEARCH("Receive International",C481)),"Money In",IF(ISNUMBER(SEARCH("Send Money Reversal",C481)),"Money In",IF(ISNUMBER(SEARCH("Pay Utility Reversal",C481)),"Money In",IF(ISNUMBER(SEARCH("Customer Transfer",C481)),"Money In",IF(ISNUMBER(SEARCH("Ziidi",C481)),"Investment",IF(ISNUMBER(SEARCH("Nabo",C481)),"Investment",IF(ISNUMBER(SEARCH("Paybill Online",C481)),"Pay Bill",IF(ISNUMBER(SEARCH("Pay Bill",C481)),"Pay Bill",IF(ISNUMBER(SEARCH("Spotify",C481)),"Pay Bill",IF(ISNUMBER(SEARCH("M-Shwari",C481)),"Mshwari",IF(ISNUMBER(SEARCH("Mshwari",C481)),"Mshwari",IF(ISNUMBER(SEARCH("Withdrawal charge",C481)),"Fees",IF(ISNUMBER(SEARCH("Customer Withdrawal",C481)),"Fees",IF(ISNUMBER(SEARCH("charge",C481)),"Fees","Other")))))))))))))))))))))))))</f>
        <v>Bundles</v>
      </c>
      <c r="R481" s="1" t="str">
        <f aca="false">TEXT(B481,"MMM YYYY")</f>
        <v>Mar 2026</v>
      </c>
    </row>
    <row r="482" customFormat="false" ht="13.8" hidden="false" customHeight="false" outlineLevel="0" collapsed="false">
      <c r="A482" s="4" t="s">
        <v>1024</v>
      </c>
      <c r="B482" s="4" t="s">
        <v>1025</v>
      </c>
      <c r="C482" s="4" t="s">
        <v>177</v>
      </c>
      <c r="D482" s="4" t="s">
        <v>18</v>
      </c>
      <c r="E482" s="4" t="n">
        <v>300</v>
      </c>
      <c r="F482" s="4"/>
      <c r="G482" s="4" t="n">
        <v>674</v>
      </c>
      <c r="L482" s="1" t="str">
        <f aca="false">IF(ISNUMBER(SEARCH("Bundle",C482)),"Bundles",IF(ISNUMBER(SEARCH("Airtime",C482)),"Bundles",IF(ISNUMBER(SEARCH("Merchant",C482)),"Merchant Payment",IF(ISNUMBER(SEARCH("Offnet C2B",C482)),"Merchant Payment",IF(ISNUMBER(SEARCH("Offnet B2C",C482)),"Merchant Payment",IF(ISNUMBER(SEARCH("Customer Payment to Small",C482)),"Merchant Payment",IF(ISNUMBER(SEARCH("Payment to Small Business",C482)),"Merchant Payment",IF(ISNUMBER(SEARCH("Sent to",C482)),"Sent to Person",IF(ISNUMBER(SEARCH("Customer Transfer to",C482)),"Sent to Person",IF(ISNUMBER(SEARCH("Business Payment",C482)),"Money In",IF(ISNUMBER(SEARCH("Funds Received",C482)),"Money In",IF(ISNUMBER(SEARCH("Receive International",C482)),"Money In",IF(ISNUMBER(SEARCH("Send Money Reversal",C482)),"Money In",IF(ISNUMBER(SEARCH("Pay Utility Reversal",C482)),"Money In",IF(ISNUMBER(SEARCH("Customer Transfer",C482)),"Money In",IF(ISNUMBER(SEARCH("Ziidi",C482)),"Investment",IF(ISNUMBER(SEARCH("Nabo",C482)),"Investment",IF(ISNUMBER(SEARCH("Paybill Online",C482)),"Pay Bill",IF(ISNUMBER(SEARCH("Pay Bill",C482)),"Pay Bill",IF(ISNUMBER(SEARCH("Spotify",C482)),"Pay Bill",IF(ISNUMBER(SEARCH("M-Shwari",C482)),"Mshwari",IF(ISNUMBER(SEARCH("Mshwari",C482)),"Mshwari",IF(ISNUMBER(SEARCH("Withdrawal charge",C482)),"Fees",IF(ISNUMBER(SEARCH("Customer Withdrawal",C482)),"Fees",IF(ISNUMBER(SEARCH("charge",C482)),"Fees","Other")))))))))))))))))))))))))</f>
        <v>Money In</v>
      </c>
      <c r="R482" s="1" t="str">
        <f aca="false">TEXT(B482,"MMM YYYY")</f>
        <v>Mar 2026</v>
      </c>
    </row>
    <row r="483" customFormat="false" ht="13.8" hidden="false" customHeight="false" outlineLevel="0" collapsed="false">
      <c r="A483" s="4" t="s">
        <v>1026</v>
      </c>
      <c r="B483" s="4" t="s">
        <v>1027</v>
      </c>
      <c r="C483" s="4" t="s">
        <v>29</v>
      </c>
      <c r="D483" s="4" t="s">
        <v>18</v>
      </c>
      <c r="E483" s="4"/>
      <c r="F483" s="4" t="n">
        <v>20</v>
      </c>
      <c r="G483" s="4" t="n">
        <v>654</v>
      </c>
      <c r="L483" s="1" t="str">
        <f aca="false">IF(ISNUMBER(SEARCH("Bundle",C483)),"Bundles",IF(ISNUMBER(SEARCH("Airtime",C483)),"Bundles",IF(ISNUMBER(SEARCH("Merchant",C483)),"Merchant Payment",IF(ISNUMBER(SEARCH("Offnet C2B",C483)),"Merchant Payment",IF(ISNUMBER(SEARCH("Offnet B2C",C483)),"Merchant Payment",IF(ISNUMBER(SEARCH("Customer Payment to Small",C483)),"Merchant Payment",IF(ISNUMBER(SEARCH("Payment to Small Business",C483)),"Merchant Payment",IF(ISNUMBER(SEARCH("Sent to",C483)),"Sent to Person",IF(ISNUMBER(SEARCH("Customer Transfer to",C483)),"Sent to Person",IF(ISNUMBER(SEARCH("Business Payment",C483)),"Money In",IF(ISNUMBER(SEARCH("Funds Received",C483)),"Money In",IF(ISNUMBER(SEARCH("Receive International",C483)),"Money In",IF(ISNUMBER(SEARCH("Send Money Reversal",C483)),"Money In",IF(ISNUMBER(SEARCH("Pay Utility Reversal",C483)),"Money In",IF(ISNUMBER(SEARCH("Customer Transfer",C483)),"Money In",IF(ISNUMBER(SEARCH("Ziidi",C483)),"Investment",IF(ISNUMBER(SEARCH("Nabo",C483)),"Investment",IF(ISNUMBER(SEARCH("Paybill Online",C483)),"Pay Bill",IF(ISNUMBER(SEARCH("Pay Bill",C483)),"Pay Bill",IF(ISNUMBER(SEARCH("Spotify",C483)),"Pay Bill",IF(ISNUMBER(SEARCH("M-Shwari",C483)),"Mshwari",IF(ISNUMBER(SEARCH("Mshwari",C483)),"Mshwari",IF(ISNUMBER(SEARCH("Withdrawal charge",C483)),"Fees",IF(ISNUMBER(SEARCH("Customer Withdrawal",C483)),"Fees",IF(ISNUMBER(SEARCH("charge",C483)),"Fees","Other")))))))))))))))))))))))))</f>
        <v>Bundles</v>
      </c>
      <c r="R483" s="1" t="str">
        <f aca="false">TEXT(B483,"MMM YYYY")</f>
        <v>Mar 2026</v>
      </c>
    </row>
    <row r="484" customFormat="false" ht="13.8" hidden="false" customHeight="false" outlineLevel="0" collapsed="false">
      <c r="A484" s="4" t="s">
        <v>1028</v>
      </c>
      <c r="B484" s="4" t="s">
        <v>1029</v>
      </c>
      <c r="C484" s="4" t="s">
        <v>316</v>
      </c>
      <c r="D484" s="4" t="s">
        <v>18</v>
      </c>
      <c r="E484" s="4"/>
      <c r="F484" s="4" t="n">
        <v>290</v>
      </c>
      <c r="G484" s="4" t="n">
        <v>364</v>
      </c>
      <c r="L484" s="1" t="str">
        <f aca="false">IF(ISNUMBER(SEARCH("Bundle",C484)),"Bundles",IF(ISNUMBER(SEARCH("Airtime",C484)),"Bundles",IF(ISNUMBER(SEARCH("Merchant",C484)),"Merchant Payment",IF(ISNUMBER(SEARCH("Offnet C2B",C484)),"Merchant Payment",IF(ISNUMBER(SEARCH("Offnet B2C",C484)),"Merchant Payment",IF(ISNUMBER(SEARCH("Customer Payment to Small",C484)),"Merchant Payment",IF(ISNUMBER(SEARCH("Payment to Small Business",C484)),"Merchant Payment",IF(ISNUMBER(SEARCH("Sent to",C484)),"Sent to Person",IF(ISNUMBER(SEARCH("Customer Transfer to",C484)),"Sent to Person",IF(ISNUMBER(SEARCH("Business Payment",C484)),"Money In",IF(ISNUMBER(SEARCH("Funds Received",C484)),"Money In",IF(ISNUMBER(SEARCH("Receive International",C484)),"Money In",IF(ISNUMBER(SEARCH("Send Money Reversal",C484)),"Money In",IF(ISNUMBER(SEARCH("Pay Utility Reversal",C484)),"Money In",IF(ISNUMBER(SEARCH("Customer Transfer",C484)),"Money In",IF(ISNUMBER(SEARCH("Ziidi",C484)),"Investment",IF(ISNUMBER(SEARCH("Nabo",C484)),"Investment",IF(ISNUMBER(SEARCH("Paybill Online",C484)),"Pay Bill",IF(ISNUMBER(SEARCH("Pay Bill",C484)),"Pay Bill",IF(ISNUMBER(SEARCH("Spotify",C484)),"Pay Bill",IF(ISNUMBER(SEARCH("M-Shwari",C484)),"Mshwari",IF(ISNUMBER(SEARCH("Mshwari",C484)),"Mshwari",IF(ISNUMBER(SEARCH("Withdrawal charge",C484)),"Fees",IF(ISNUMBER(SEARCH("Customer Withdrawal",C484)),"Fees",IF(ISNUMBER(SEARCH("charge",C484)),"Fees","Other")))))))))))))))))))))))))</f>
        <v>Merchant Payment</v>
      </c>
      <c r="R484" s="1" t="str">
        <f aca="false">TEXT(B484,"MMM YYYY")</f>
        <v>Mar 2026</v>
      </c>
    </row>
    <row r="485" customFormat="false" ht="13.8" hidden="false" customHeight="false" outlineLevel="0" collapsed="false">
      <c r="A485" s="4" t="s">
        <v>1030</v>
      </c>
      <c r="B485" s="4" t="s">
        <v>1031</v>
      </c>
      <c r="C485" s="4" t="s">
        <v>29</v>
      </c>
      <c r="D485" s="4" t="s">
        <v>18</v>
      </c>
      <c r="E485" s="4"/>
      <c r="F485" s="4" t="n">
        <v>20</v>
      </c>
      <c r="G485" s="4" t="n">
        <v>344</v>
      </c>
      <c r="L485" s="1" t="str">
        <f aca="false">IF(ISNUMBER(SEARCH("Bundle",C485)),"Bundles",IF(ISNUMBER(SEARCH("Airtime",C485)),"Bundles",IF(ISNUMBER(SEARCH("Merchant",C485)),"Merchant Payment",IF(ISNUMBER(SEARCH("Offnet C2B",C485)),"Merchant Payment",IF(ISNUMBER(SEARCH("Offnet B2C",C485)),"Merchant Payment",IF(ISNUMBER(SEARCH("Customer Payment to Small",C485)),"Merchant Payment",IF(ISNUMBER(SEARCH("Payment to Small Business",C485)),"Merchant Payment",IF(ISNUMBER(SEARCH("Sent to",C485)),"Sent to Person",IF(ISNUMBER(SEARCH("Customer Transfer to",C485)),"Sent to Person",IF(ISNUMBER(SEARCH("Business Payment",C485)),"Money In",IF(ISNUMBER(SEARCH("Funds Received",C485)),"Money In",IF(ISNUMBER(SEARCH("Receive International",C485)),"Money In",IF(ISNUMBER(SEARCH("Send Money Reversal",C485)),"Money In",IF(ISNUMBER(SEARCH("Pay Utility Reversal",C485)),"Money In",IF(ISNUMBER(SEARCH("Customer Transfer",C485)),"Money In",IF(ISNUMBER(SEARCH("Ziidi",C485)),"Investment",IF(ISNUMBER(SEARCH("Nabo",C485)),"Investment",IF(ISNUMBER(SEARCH("Paybill Online",C485)),"Pay Bill",IF(ISNUMBER(SEARCH("Pay Bill",C485)),"Pay Bill",IF(ISNUMBER(SEARCH("Spotify",C485)),"Pay Bill",IF(ISNUMBER(SEARCH("M-Shwari",C485)),"Mshwari",IF(ISNUMBER(SEARCH("Mshwari",C485)),"Mshwari",IF(ISNUMBER(SEARCH("Withdrawal charge",C485)),"Fees",IF(ISNUMBER(SEARCH("Customer Withdrawal",C485)),"Fees",IF(ISNUMBER(SEARCH("charge",C485)),"Fees","Other")))))))))))))))))))))))))</f>
        <v>Bundles</v>
      </c>
      <c r="R485" s="1" t="str">
        <f aca="false">TEXT(B485,"MMM YYYY")</f>
        <v>Mar 2026</v>
      </c>
    </row>
    <row r="486" customFormat="false" ht="13.8" hidden="false" customHeight="false" outlineLevel="0" collapsed="false">
      <c r="A486" s="4" t="s">
        <v>1032</v>
      </c>
      <c r="B486" s="4" t="s">
        <v>1033</v>
      </c>
      <c r="C486" s="4" t="s">
        <v>1034</v>
      </c>
      <c r="D486" s="4" t="s">
        <v>18</v>
      </c>
      <c r="E486" s="4"/>
      <c r="F486" s="4" t="n">
        <v>10</v>
      </c>
      <c r="G486" s="4" t="n">
        <v>334</v>
      </c>
      <c r="L486" s="1" t="str">
        <f aca="false">IF(ISNUMBER(SEARCH("Bundle",C486)),"Bundles",IF(ISNUMBER(SEARCH("Airtime",C486)),"Bundles",IF(ISNUMBER(SEARCH("Merchant",C486)),"Merchant Payment",IF(ISNUMBER(SEARCH("Offnet C2B",C486)),"Merchant Payment",IF(ISNUMBER(SEARCH("Offnet B2C",C486)),"Merchant Payment",IF(ISNUMBER(SEARCH("Customer Payment to Small",C486)),"Merchant Payment",IF(ISNUMBER(SEARCH("Payment to Small Business",C486)),"Merchant Payment",IF(ISNUMBER(SEARCH("Sent to",C486)),"Sent to Person",IF(ISNUMBER(SEARCH("Customer Transfer to",C486)),"Sent to Person",IF(ISNUMBER(SEARCH("Business Payment",C486)),"Money In",IF(ISNUMBER(SEARCH("Funds Received",C486)),"Money In",IF(ISNUMBER(SEARCH("Receive International",C486)),"Money In",IF(ISNUMBER(SEARCH("Send Money Reversal",C486)),"Money In",IF(ISNUMBER(SEARCH("Pay Utility Reversal",C486)),"Money In",IF(ISNUMBER(SEARCH("Customer Transfer",C486)),"Money In",IF(ISNUMBER(SEARCH("Ziidi",C486)),"Investment",IF(ISNUMBER(SEARCH("Nabo",C486)),"Investment",IF(ISNUMBER(SEARCH("Paybill Online",C486)),"Pay Bill",IF(ISNUMBER(SEARCH("Pay Bill",C486)),"Pay Bill",IF(ISNUMBER(SEARCH("Spotify",C486)),"Pay Bill",IF(ISNUMBER(SEARCH("M-Shwari",C486)),"Mshwari",IF(ISNUMBER(SEARCH("Mshwari",C486)),"Mshwari",IF(ISNUMBER(SEARCH("Withdrawal charge",C486)),"Fees",IF(ISNUMBER(SEARCH("Customer Withdrawal",C486)),"Fees",IF(ISNUMBER(SEARCH("charge",C486)),"Fees","Other")))))))))))))))))))))))))</f>
        <v>Merchant Payment</v>
      </c>
      <c r="R486" s="1" t="str">
        <f aca="false">TEXT(B486,"MMM YYYY")</f>
        <v>Mar 2026</v>
      </c>
    </row>
    <row r="487" customFormat="false" ht="13.8" hidden="false" customHeight="false" outlineLevel="0" collapsed="false">
      <c r="A487" s="4" t="s">
        <v>1035</v>
      </c>
      <c r="B487" s="4" t="s">
        <v>1036</v>
      </c>
      <c r="C487" s="4" t="s">
        <v>29</v>
      </c>
      <c r="D487" s="4" t="s">
        <v>18</v>
      </c>
      <c r="E487" s="4"/>
      <c r="F487" s="4" t="n">
        <v>10</v>
      </c>
      <c r="G487" s="4" t="n">
        <v>324</v>
      </c>
      <c r="L487" s="1" t="str">
        <f aca="false">IF(ISNUMBER(SEARCH("Bundle",C487)),"Bundles",IF(ISNUMBER(SEARCH("Airtime",C487)),"Bundles",IF(ISNUMBER(SEARCH("Merchant",C487)),"Merchant Payment",IF(ISNUMBER(SEARCH("Offnet C2B",C487)),"Merchant Payment",IF(ISNUMBER(SEARCH("Offnet B2C",C487)),"Merchant Payment",IF(ISNUMBER(SEARCH("Customer Payment to Small",C487)),"Merchant Payment",IF(ISNUMBER(SEARCH("Payment to Small Business",C487)),"Merchant Payment",IF(ISNUMBER(SEARCH("Sent to",C487)),"Sent to Person",IF(ISNUMBER(SEARCH("Customer Transfer to",C487)),"Sent to Person",IF(ISNUMBER(SEARCH("Business Payment",C487)),"Money In",IF(ISNUMBER(SEARCH("Funds Received",C487)),"Money In",IF(ISNUMBER(SEARCH("Receive International",C487)),"Money In",IF(ISNUMBER(SEARCH("Send Money Reversal",C487)),"Money In",IF(ISNUMBER(SEARCH("Pay Utility Reversal",C487)),"Money In",IF(ISNUMBER(SEARCH("Customer Transfer",C487)),"Money In",IF(ISNUMBER(SEARCH("Ziidi",C487)),"Investment",IF(ISNUMBER(SEARCH("Nabo",C487)),"Investment",IF(ISNUMBER(SEARCH("Paybill Online",C487)),"Pay Bill",IF(ISNUMBER(SEARCH("Pay Bill",C487)),"Pay Bill",IF(ISNUMBER(SEARCH("Spotify",C487)),"Pay Bill",IF(ISNUMBER(SEARCH("M-Shwari",C487)),"Mshwari",IF(ISNUMBER(SEARCH("Mshwari",C487)),"Mshwari",IF(ISNUMBER(SEARCH("Withdrawal charge",C487)),"Fees",IF(ISNUMBER(SEARCH("Customer Withdrawal",C487)),"Fees",IF(ISNUMBER(SEARCH("charge",C487)),"Fees","Other")))))))))))))))))))))))))</f>
        <v>Bundles</v>
      </c>
      <c r="R487" s="1" t="str">
        <f aca="false">TEXT(B487,"MMM YYYY")</f>
        <v>Mar 2026</v>
      </c>
    </row>
    <row r="488" customFormat="false" ht="13.8" hidden="false" customHeight="false" outlineLevel="0" collapsed="false">
      <c r="A488" s="4" t="s">
        <v>1037</v>
      </c>
      <c r="B488" s="4" t="s">
        <v>1038</v>
      </c>
      <c r="C488" s="4" t="s">
        <v>29</v>
      </c>
      <c r="D488" s="4" t="s">
        <v>18</v>
      </c>
      <c r="E488" s="4"/>
      <c r="F488" s="4" t="n">
        <v>10</v>
      </c>
      <c r="G488" s="4" t="n">
        <v>314</v>
      </c>
      <c r="L488" s="1" t="str">
        <f aca="false">IF(ISNUMBER(SEARCH("Bundle",C488)),"Bundles",IF(ISNUMBER(SEARCH("Airtime",C488)),"Bundles",IF(ISNUMBER(SEARCH("Merchant",C488)),"Merchant Payment",IF(ISNUMBER(SEARCH("Offnet C2B",C488)),"Merchant Payment",IF(ISNUMBER(SEARCH("Offnet B2C",C488)),"Merchant Payment",IF(ISNUMBER(SEARCH("Customer Payment to Small",C488)),"Merchant Payment",IF(ISNUMBER(SEARCH("Payment to Small Business",C488)),"Merchant Payment",IF(ISNUMBER(SEARCH("Sent to",C488)),"Sent to Person",IF(ISNUMBER(SEARCH("Customer Transfer to",C488)),"Sent to Person",IF(ISNUMBER(SEARCH("Business Payment",C488)),"Money In",IF(ISNUMBER(SEARCH("Funds Received",C488)),"Money In",IF(ISNUMBER(SEARCH("Receive International",C488)),"Money In",IF(ISNUMBER(SEARCH("Send Money Reversal",C488)),"Money In",IF(ISNUMBER(SEARCH("Pay Utility Reversal",C488)),"Money In",IF(ISNUMBER(SEARCH("Customer Transfer",C488)),"Money In",IF(ISNUMBER(SEARCH("Ziidi",C488)),"Investment",IF(ISNUMBER(SEARCH("Nabo",C488)),"Investment",IF(ISNUMBER(SEARCH("Paybill Online",C488)),"Pay Bill",IF(ISNUMBER(SEARCH("Pay Bill",C488)),"Pay Bill",IF(ISNUMBER(SEARCH("Spotify",C488)),"Pay Bill",IF(ISNUMBER(SEARCH("M-Shwari",C488)),"Mshwari",IF(ISNUMBER(SEARCH("Mshwari",C488)),"Mshwari",IF(ISNUMBER(SEARCH("Withdrawal charge",C488)),"Fees",IF(ISNUMBER(SEARCH("Customer Withdrawal",C488)),"Fees",IF(ISNUMBER(SEARCH("charge",C488)),"Fees","Other")))))))))))))))))))))))))</f>
        <v>Bundles</v>
      </c>
      <c r="R488" s="1" t="str">
        <f aca="false">TEXT(B488,"MMM YYYY")</f>
        <v>Mar 2026</v>
      </c>
    </row>
    <row r="489" customFormat="false" ht="13.8" hidden="false" customHeight="false" outlineLevel="0" collapsed="false">
      <c r="A489" s="4" t="s">
        <v>1039</v>
      </c>
      <c r="B489" s="4" t="s">
        <v>1040</v>
      </c>
      <c r="C489" s="4" t="s">
        <v>29</v>
      </c>
      <c r="D489" s="4" t="s">
        <v>18</v>
      </c>
      <c r="E489" s="4"/>
      <c r="F489" s="4" t="n">
        <v>20</v>
      </c>
      <c r="G489" s="4" t="n">
        <v>294</v>
      </c>
      <c r="L489" s="1" t="str">
        <f aca="false">IF(ISNUMBER(SEARCH("Bundle",C489)),"Bundles",IF(ISNUMBER(SEARCH("Airtime",C489)),"Bundles",IF(ISNUMBER(SEARCH("Merchant",C489)),"Merchant Payment",IF(ISNUMBER(SEARCH("Offnet C2B",C489)),"Merchant Payment",IF(ISNUMBER(SEARCH("Offnet B2C",C489)),"Merchant Payment",IF(ISNUMBER(SEARCH("Customer Payment to Small",C489)),"Merchant Payment",IF(ISNUMBER(SEARCH("Payment to Small Business",C489)),"Merchant Payment",IF(ISNUMBER(SEARCH("Sent to",C489)),"Sent to Person",IF(ISNUMBER(SEARCH("Customer Transfer to",C489)),"Sent to Person",IF(ISNUMBER(SEARCH("Business Payment",C489)),"Money In",IF(ISNUMBER(SEARCH("Funds Received",C489)),"Money In",IF(ISNUMBER(SEARCH("Receive International",C489)),"Money In",IF(ISNUMBER(SEARCH("Send Money Reversal",C489)),"Money In",IF(ISNUMBER(SEARCH("Pay Utility Reversal",C489)),"Money In",IF(ISNUMBER(SEARCH("Customer Transfer",C489)),"Money In",IF(ISNUMBER(SEARCH("Ziidi",C489)),"Investment",IF(ISNUMBER(SEARCH("Nabo",C489)),"Investment",IF(ISNUMBER(SEARCH("Paybill Online",C489)),"Pay Bill",IF(ISNUMBER(SEARCH("Pay Bill",C489)),"Pay Bill",IF(ISNUMBER(SEARCH("Spotify",C489)),"Pay Bill",IF(ISNUMBER(SEARCH("M-Shwari",C489)),"Mshwari",IF(ISNUMBER(SEARCH("Mshwari",C489)),"Mshwari",IF(ISNUMBER(SEARCH("Withdrawal charge",C489)),"Fees",IF(ISNUMBER(SEARCH("Customer Withdrawal",C489)),"Fees",IF(ISNUMBER(SEARCH("charge",C489)),"Fees","Other")))))))))))))))))))))))))</f>
        <v>Bundles</v>
      </c>
      <c r="R489" s="1" t="str">
        <f aca="false">TEXT(B489,"MMM YYYY")</f>
        <v>Mar 2026</v>
      </c>
    </row>
    <row r="490" customFormat="false" ht="13.8" hidden="false" customHeight="false" outlineLevel="0" collapsed="false">
      <c r="A490" s="4" t="s">
        <v>1041</v>
      </c>
      <c r="B490" s="4" t="s">
        <v>1042</v>
      </c>
      <c r="C490" s="4" t="s">
        <v>29</v>
      </c>
      <c r="D490" s="4" t="s">
        <v>18</v>
      </c>
      <c r="E490" s="4"/>
      <c r="F490" s="4" t="n">
        <v>10</v>
      </c>
      <c r="G490" s="4" t="n">
        <v>284</v>
      </c>
      <c r="L490" s="1" t="str">
        <f aca="false">IF(ISNUMBER(SEARCH("Bundle",C490)),"Bundles",IF(ISNUMBER(SEARCH("Airtime",C490)),"Bundles",IF(ISNUMBER(SEARCH("Merchant",C490)),"Merchant Payment",IF(ISNUMBER(SEARCH("Offnet C2B",C490)),"Merchant Payment",IF(ISNUMBER(SEARCH("Offnet B2C",C490)),"Merchant Payment",IF(ISNUMBER(SEARCH("Customer Payment to Small",C490)),"Merchant Payment",IF(ISNUMBER(SEARCH("Payment to Small Business",C490)),"Merchant Payment",IF(ISNUMBER(SEARCH("Sent to",C490)),"Sent to Person",IF(ISNUMBER(SEARCH("Customer Transfer to",C490)),"Sent to Person",IF(ISNUMBER(SEARCH("Business Payment",C490)),"Money In",IF(ISNUMBER(SEARCH("Funds Received",C490)),"Money In",IF(ISNUMBER(SEARCH("Receive International",C490)),"Money In",IF(ISNUMBER(SEARCH("Send Money Reversal",C490)),"Money In",IF(ISNUMBER(SEARCH("Pay Utility Reversal",C490)),"Money In",IF(ISNUMBER(SEARCH("Customer Transfer",C490)),"Money In",IF(ISNUMBER(SEARCH("Ziidi",C490)),"Investment",IF(ISNUMBER(SEARCH("Nabo",C490)),"Investment",IF(ISNUMBER(SEARCH("Paybill Online",C490)),"Pay Bill",IF(ISNUMBER(SEARCH("Pay Bill",C490)),"Pay Bill",IF(ISNUMBER(SEARCH("Spotify",C490)),"Pay Bill",IF(ISNUMBER(SEARCH("M-Shwari",C490)),"Mshwari",IF(ISNUMBER(SEARCH("Mshwari",C490)),"Mshwari",IF(ISNUMBER(SEARCH("Withdrawal charge",C490)),"Fees",IF(ISNUMBER(SEARCH("Customer Withdrawal",C490)),"Fees",IF(ISNUMBER(SEARCH("charge",C490)),"Fees","Other")))))))))))))))))))))))))</f>
        <v>Bundles</v>
      </c>
      <c r="R490" s="1" t="str">
        <f aca="false">TEXT(B490,"MMM YYYY")</f>
        <v>Mar 2026</v>
      </c>
    </row>
    <row r="491" customFormat="false" ht="13.8" hidden="false" customHeight="false" outlineLevel="0" collapsed="false">
      <c r="A491" s="4" t="s">
        <v>1043</v>
      </c>
      <c r="B491" s="4" t="s">
        <v>1044</v>
      </c>
      <c r="C491" s="4" t="s">
        <v>243</v>
      </c>
      <c r="D491" s="4" t="s">
        <v>18</v>
      </c>
      <c r="E491" s="4"/>
      <c r="F491" s="4" t="n">
        <v>70</v>
      </c>
      <c r="G491" s="4" t="n">
        <v>214</v>
      </c>
      <c r="L491" s="1" t="str">
        <f aca="false">IF(ISNUMBER(SEARCH("Bundle",C491)),"Bundles",IF(ISNUMBER(SEARCH("Airtime",C491)),"Bundles",IF(ISNUMBER(SEARCH("Merchant",C491)),"Merchant Payment",IF(ISNUMBER(SEARCH("Offnet C2B",C491)),"Merchant Payment",IF(ISNUMBER(SEARCH("Offnet B2C",C491)),"Merchant Payment",IF(ISNUMBER(SEARCH("Customer Payment to Small",C491)),"Merchant Payment",IF(ISNUMBER(SEARCH("Payment to Small Business",C491)),"Merchant Payment",IF(ISNUMBER(SEARCH("Sent to",C491)),"Sent to Person",IF(ISNUMBER(SEARCH("Customer Transfer to",C491)),"Sent to Person",IF(ISNUMBER(SEARCH("Business Payment",C491)),"Money In",IF(ISNUMBER(SEARCH("Funds Received",C491)),"Money In",IF(ISNUMBER(SEARCH("Receive International",C491)),"Money In",IF(ISNUMBER(SEARCH("Send Money Reversal",C491)),"Money In",IF(ISNUMBER(SEARCH("Pay Utility Reversal",C491)),"Money In",IF(ISNUMBER(SEARCH("Customer Transfer",C491)),"Money In",IF(ISNUMBER(SEARCH("Ziidi",C491)),"Investment",IF(ISNUMBER(SEARCH("Nabo",C491)),"Investment",IF(ISNUMBER(SEARCH("Paybill Online",C491)),"Pay Bill",IF(ISNUMBER(SEARCH("Pay Bill",C491)),"Pay Bill",IF(ISNUMBER(SEARCH("Spotify",C491)),"Pay Bill",IF(ISNUMBER(SEARCH("M-Shwari",C491)),"Mshwari",IF(ISNUMBER(SEARCH("Mshwari",C491)),"Mshwari",IF(ISNUMBER(SEARCH("Withdrawal charge",C491)),"Fees",IF(ISNUMBER(SEARCH("Customer Withdrawal",C491)),"Fees",IF(ISNUMBER(SEARCH("charge",C491)),"Fees","Other")))))))))))))))))))))))))</f>
        <v>Merchant Payment</v>
      </c>
      <c r="R491" s="1" t="str">
        <f aca="false">TEXT(B491,"MMM YYYY")</f>
        <v>Mar 2026</v>
      </c>
    </row>
    <row r="492" customFormat="false" ht="13.8" hidden="false" customHeight="false" outlineLevel="0" collapsed="false">
      <c r="A492" s="4" t="s">
        <v>1045</v>
      </c>
      <c r="B492" s="4" t="s">
        <v>1046</v>
      </c>
      <c r="C492" s="4" t="s">
        <v>243</v>
      </c>
      <c r="D492" s="4" t="s">
        <v>18</v>
      </c>
      <c r="E492" s="4"/>
      <c r="F492" s="4" t="n">
        <v>70</v>
      </c>
      <c r="G492" s="4" t="n">
        <v>144</v>
      </c>
      <c r="L492" s="1" t="str">
        <f aca="false">IF(ISNUMBER(SEARCH("Bundle",C492)),"Bundles",IF(ISNUMBER(SEARCH("Airtime",C492)),"Bundles",IF(ISNUMBER(SEARCH("Merchant",C492)),"Merchant Payment",IF(ISNUMBER(SEARCH("Offnet C2B",C492)),"Merchant Payment",IF(ISNUMBER(SEARCH("Offnet B2C",C492)),"Merchant Payment",IF(ISNUMBER(SEARCH("Customer Payment to Small",C492)),"Merchant Payment",IF(ISNUMBER(SEARCH("Payment to Small Business",C492)),"Merchant Payment",IF(ISNUMBER(SEARCH("Sent to",C492)),"Sent to Person",IF(ISNUMBER(SEARCH("Customer Transfer to",C492)),"Sent to Person",IF(ISNUMBER(SEARCH("Business Payment",C492)),"Money In",IF(ISNUMBER(SEARCH("Funds Received",C492)),"Money In",IF(ISNUMBER(SEARCH("Receive International",C492)),"Money In",IF(ISNUMBER(SEARCH("Send Money Reversal",C492)),"Money In",IF(ISNUMBER(SEARCH("Pay Utility Reversal",C492)),"Money In",IF(ISNUMBER(SEARCH("Customer Transfer",C492)),"Money In",IF(ISNUMBER(SEARCH("Ziidi",C492)),"Investment",IF(ISNUMBER(SEARCH("Nabo",C492)),"Investment",IF(ISNUMBER(SEARCH("Paybill Online",C492)),"Pay Bill",IF(ISNUMBER(SEARCH("Pay Bill",C492)),"Pay Bill",IF(ISNUMBER(SEARCH("Spotify",C492)),"Pay Bill",IF(ISNUMBER(SEARCH("M-Shwari",C492)),"Mshwari",IF(ISNUMBER(SEARCH("Mshwari",C492)),"Mshwari",IF(ISNUMBER(SEARCH("Withdrawal charge",C492)),"Fees",IF(ISNUMBER(SEARCH("Customer Withdrawal",C492)),"Fees",IF(ISNUMBER(SEARCH("charge",C492)),"Fees","Other")))))))))))))))))))))))))</f>
        <v>Merchant Payment</v>
      </c>
      <c r="R492" s="1" t="str">
        <f aca="false">TEXT(B492,"MMM YYYY")</f>
        <v>Mar 2026</v>
      </c>
    </row>
    <row r="493" customFormat="false" ht="13.8" hidden="false" customHeight="false" outlineLevel="0" collapsed="false">
      <c r="A493" s="4" t="s">
        <v>1047</v>
      </c>
      <c r="B493" s="4" t="s">
        <v>1048</v>
      </c>
      <c r="C493" s="4" t="s">
        <v>45</v>
      </c>
      <c r="D493" s="4" t="s">
        <v>18</v>
      </c>
      <c r="E493" s="4"/>
      <c r="F493" s="4" t="n">
        <v>80</v>
      </c>
      <c r="G493" s="4" t="n">
        <v>64</v>
      </c>
      <c r="L493" s="1" t="str">
        <f aca="false">IF(ISNUMBER(SEARCH("Bundle",C493)),"Bundles",IF(ISNUMBER(SEARCH("Airtime",C493)),"Bundles",IF(ISNUMBER(SEARCH("Merchant",C493)),"Merchant Payment",IF(ISNUMBER(SEARCH("Offnet C2B",C493)),"Merchant Payment",IF(ISNUMBER(SEARCH("Offnet B2C",C493)),"Merchant Payment",IF(ISNUMBER(SEARCH("Customer Payment to Small",C493)),"Merchant Payment",IF(ISNUMBER(SEARCH("Payment to Small Business",C493)),"Merchant Payment",IF(ISNUMBER(SEARCH("Sent to",C493)),"Sent to Person",IF(ISNUMBER(SEARCH("Customer Transfer to",C493)),"Sent to Person",IF(ISNUMBER(SEARCH("Business Payment",C493)),"Money In",IF(ISNUMBER(SEARCH("Funds Received",C493)),"Money In",IF(ISNUMBER(SEARCH("Receive International",C493)),"Money In",IF(ISNUMBER(SEARCH("Send Money Reversal",C493)),"Money In",IF(ISNUMBER(SEARCH("Pay Utility Reversal",C493)),"Money In",IF(ISNUMBER(SEARCH("Customer Transfer",C493)),"Money In",IF(ISNUMBER(SEARCH("Ziidi",C493)),"Investment",IF(ISNUMBER(SEARCH("Nabo",C493)),"Investment",IF(ISNUMBER(SEARCH("Paybill Online",C493)),"Pay Bill",IF(ISNUMBER(SEARCH("Pay Bill",C493)),"Pay Bill",IF(ISNUMBER(SEARCH("Spotify",C493)),"Pay Bill",IF(ISNUMBER(SEARCH("M-Shwari",C493)),"Mshwari",IF(ISNUMBER(SEARCH("Mshwari",C493)),"Mshwari",IF(ISNUMBER(SEARCH("Withdrawal charge",C493)),"Fees",IF(ISNUMBER(SEARCH("Customer Withdrawal",C493)),"Fees",IF(ISNUMBER(SEARCH("charge",C493)),"Fees","Other")))))))))))))))))))))))))</f>
        <v>Merchant Payment</v>
      </c>
      <c r="R493" s="1" t="str">
        <f aca="false">TEXT(B493,"MMM YYYY")</f>
        <v>Mar 2026</v>
      </c>
    </row>
    <row r="494" customFormat="false" ht="13.8" hidden="false" customHeight="false" outlineLevel="0" collapsed="false">
      <c r="A494" s="4" t="s">
        <v>1049</v>
      </c>
      <c r="B494" s="4" t="s">
        <v>1050</v>
      </c>
      <c r="C494" s="4" t="s">
        <v>818</v>
      </c>
      <c r="D494" s="4" t="s">
        <v>18</v>
      </c>
      <c r="E494" s="4"/>
      <c r="F494" s="4" t="n">
        <v>60</v>
      </c>
      <c r="G494" s="4" t="n">
        <v>4</v>
      </c>
      <c r="L494" s="1" t="str">
        <f aca="false">IF(ISNUMBER(SEARCH("Bundle",C494)),"Bundles",IF(ISNUMBER(SEARCH("Airtime",C494)),"Bundles",IF(ISNUMBER(SEARCH("Merchant",C494)),"Merchant Payment",IF(ISNUMBER(SEARCH("Offnet C2B",C494)),"Merchant Payment",IF(ISNUMBER(SEARCH("Offnet B2C",C494)),"Merchant Payment",IF(ISNUMBER(SEARCH("Customer Payment to Small",C494)),"Merchant Payment",IF(ISNUMBER(SEARCH("Payment to Small Business",C494)),"Merchant Payment",IF(ISNUMBER(SEARCH("Sent to",C494)),"Sent to Person",IF(ISNUMBER(SEARCH("Customer Transfer to",C494)),"Sent to Person",IF(ISNUMBER(SEARCH("Business Payment",C494)),"Money In",IF(ISNUMBER(SEARCH("Funds Received",C494)),"Money In",IF(ISNUMBER(SEARCH("Receive International",C494)),"Money In",IF(ISNUMBER(SEARCH("Send Money Reversal",C494)),"Money In",IF(ISNUMBER(SEARCH("Pay Utility Reversal",C494)),"Money In",IF(ISNUMBER(SEARCH("Customer Transfer",C494)),"Money In",IF(ISNUMBER(SEARCH("Ziidi",C494)),"Investment",IF(ISNUMBER(SEARCH("Nabo",C494)),"Investment",IF(ISNUMBER(SEARCH("Paybill Online",C494)),"Pay Bill",IF(ISNUMBER(SEARCH("Pay Bill",C494)),"Pay Bill",IF(ISNUMBER(SEARCH("Spotify",C494)),"Pay Bill",IF(ISNUMBER(SEARCH("M-Shwari",C494)),"Mshwari",IF(ISNUMBER(SEARCH("Mshwari",C494)),"Mshwari",IF(ISNUMBER(SEARCH("Withdrawal charge",C494)),"Fees",IF(ISNUMBER(SEARCH("Customer Withdrawal",C494)),"Fees",IF(ISNUMBER(SEARCH("charge",C494)),"Fees","Other")))))))))))))))))))))))))</f>
        <v>Merchant Payment</v>
      </c>
      <c r="R494" s="1" t="str">
        <f aca="false">TEXT(B494,"MMM YYYY")</f>
        <v>Mar 2026</v>
      </c>
    </row>
    <row r="495" customFormat="false" ht="13.8" hidden="false" customHeight="false" outlineLevel="0" collapsed="false">
      <c r="A495" s="4" t="s">
        <v>1051</v>
      </c>
      <c r="B495" s="4" t="s">
        <v>1052</v>
      </c>
      <c r="C495" s="4" t="s">
        <v>192</v>
      </c>
      <c r="D495" s="4" t="s">
        <v>18</v>
      </c>
      <c r="E495" s="4" t="n">
        <v>400</v>
      </c>
      <c r="F495" s="4"/>
      <c r="G495" s="4" t="n">
        <v>404</v>
      </c>
      <c r="L495" s="1" t="str">
        <f aca="false">IF(ISNUMBER(SEARCH("Bundle",C495)),"Bundles",IF(ISNUMBER(SEARCH("Airtime",C495)),"Bundles",IF(ISNUMBER(SEARCH("Merchant",C495)),"Merchant Payment",IF(ISNUMBER(SEARCH("Offnet C2B",C495)),"Merchant Payment",IF(ISNUMBER(SEARCH("Offnet B2C",C495)),"Merchant Payment",IF(ISNUMBER(SEARCH("Customer Payment to Small",C495)),"Merchant Payment",IF(ISNUMBER(SEARCH("Payment to Small Business",C495)),"Merchant Payment",IF(ISNUMBER(SEARCH("Sent to",C495)),"Sent to Person",IF(ISNUMBER(SEARCH("Customer Transfer to",C495)),"Sent to Person",IF(ISNUMBER(SEARCH("Business Payment",C495)),"Money In",IF(ISNUMBER(SEARCH("Funds Received",C495)),"Money In",IF(ISNUMBER(SEARCH("Receive International",C495)),"Money In",IF(ISNUMBER(SEARCH("Send Money Reversal",C495)),"Money In",IF(ISNUMBER(SEARCH("Pay Utility Reversal",C495)),"Money In",IF(ISNUMBER(SEARCH("Customer Transfer",C495)),"Money In",IF(ISNUMBER(SEARCH("Ziidi",C495)),"Investment",IF(ISNUMBER(SEARCH("Nabo",C495)),"Investment",IF(ISNUMBER(SEARCH("Paybill Online",C495)),"Pay Bill",IF(ISNUMBER(SEARCH("Pay Bill",C495)),"Pay Bill",IF(ISNUMBER(SEARCH("Spotify",C495)),"Pay Bill",IF(ISNUMBER(SEARCH("M-Shwari",C495)),"Mshwari",IF(ISNUMBER(SEARCH("Mshwari",C495)),"Mshwari",IF(ISNUMBER(SEARCH("Withdrawal charge",C495)),"Fees",IF(ISNUMBER(SEARCH("Customer Withdrawal",C495)),"Fees",IF(ISNUMBER(SEARCH("charge",C495)),"Fees","Other")))))))))))))))))))))))))</f>
        <v>Mshwari</v>
      </c>
      <c r="R495" s="1" t="str">
        <f aca="false">TEXT(B495,"MMM YYYY")</f>
        <v>Mar 2026</v>
      </c>
    </row>
    <row r="496" customFormat="false" ht="13.8" hidden="false" customHeight="false" outlineLevel="0" collapsed="false">
      <c r="A496" s="4" t="s">
        <v>1053</v>
      </c>
      <c r="B496" s="4" t="s">
        <v>1054</v>
      </c>
      <c r="C496" s="4" t="s">
        <v>29</v>
      </c>
      <c r="D496" s="4" t="s">
        <v>18</v>
      </c>
      <c r="E496" s="4"/>
      <c r="F496" s="4" t="n">
        <v>20</v>
      </c>
      <c r="G496" s="4" t="n">
        <v>384</v>
      </c>
      <c r="L496" s="1" t="str">
        <f aca="false">IF(ISNUMBER(SEARCH("Bundle",C496)),"Bundles",IF(ISNUMBER(SEARCH("Airtime",C496)),"Bundles",IF(ISNUMBER(SEARCH("Merchant",C496)),"Merchant Payment",IF(ISNUMBER(SEARCH("Offnet C2B",C496)),"Merchant Payment",IF(ISNUMBER(SEARCH("Offnet B2C",C496)),"Merchant Payment",IF(ISNUMBER(SEARCH("Customer Payment to Small",C496)),"Merchant Payment",IF(ISNUMBER(SEARCH("Payment to Small Business",C496)),"Merchant Payment",IF(ISNUMBER(SEARCH("Sent to",C496)),"Sent to Person",IF(ISNUMBER(SEARCH("Customer Transfer to",C496)),"Sent to Person",IF(ISNUMBER(SEARCH("Business Payment",C496)),"Money In",IF(ISNUMBER(SEARCH("Funds Received",C496)),"Money In",IF(ISNUMBER(SEARCH("Receive International",C496)),"Money In",IF(ISNUMBER(SEARCH("Send Money Reversal",C496)),"Money In",IF(ISNUMBER(SEARCH("Pay Utility Reversal",C496)),"Money In",IF(ISNUMBER(SEARCH("Customer Transfer",C496)),"Money In",IF(ISNUMBER(SEARCH("Ziidi",C496)),"Investment",IF(ISNUMBER(SEARCH("Nabo",C496)),"Investment",IF(ISNUMBER(SEARCH("Paybill Online",C496)),"Pay Bill",IF(ISNUMBER(SEARCH("Pay Bill",C496)),"Pay Bill",IF(ISNUMBER(SEARCH("Spotify",C496)),"Pay Bill",IF(ISNUMBER(SEARCH("M-Shwari",C496)),"Mshwari",IF(ISNUMBER(SEARCH("Mshwari",C496)),"Mshwari",IF(ISNUMBER(SEARCH("Withdrawal charge",C496)),"Fees",IF(ISNUMBER(SEARCH("Customer Withdrawal",C496)),"Fees",IF(ISNUMBER(SEARCH("charge",C496)),"Fees","Other")))))))))))))))))))))))))</f>
        <v>Bundles</v>
      </c>
      <c r="R496" s="1" t="str">
        <f aca="false">TEXT(B496,"MMM YYYY")</f>
        <v>Mar 2026</v>
      </c>
    </row>
    <row r="497" customFormat="false" ht="13.8" hidden="false" customHeight="false" outlineLevel="0" collapsed="false">
      <c r="A497" s="4" t="s">
        <v>1055</v>
      </c>
      <c r="B497" s="4" t="s">
        <v>1056</v>
      </c>
      <c r="C497" s="4" t="s">
        <v>29</v>
      </c>
      <c r="D497" s="4" t="s">
        <v>18</v>
      </c>
      <c r="E497" s="4"/>
      <c r="F497" s="4" t="n">
        <v>10</v>
      </c>
      <c r="G497" s="4" t="n">
        <v>374</v>
      </c>
      <c r="L497" s="1" t="str">
        <f aca="false">IF(ISNUMBER(SEARCH("Bundle",C497)),"Bundles",IF(ISNUMBER(SEARCH("Airtime",C497)),"Bundles",IF(ISNUMBER(SEARCH("Merchant",C497)),"Merchant Payment",IF(ISNUMBER(SEARCH("Offnet C2B",C497)),"Merchant Payment",IF(ISNUMBER(SEARCH("Offnet B2C",C497)),"Merchant Payment",IF(ISNUMBER(SEARCH("Customer Payment to Small",C497)),"Merchant Payment",IF(ISNUMBER(SEARCH("Payment to Small Business",C497)),"Merchant Payment",IF(ISNUMBER(SEARCH("Sent to",C497)),"Sent to Person",IF(ISNUMBER(SEARCH("Customer Transfer to",C497)),"Sent to Person",IF(ISNUMBER(SEARCH("Business Payment",C497)),"Money In",IF(ISNUMBER(SEARCH("Funds Received",C497)),"Money In",IF(ISNUMBER(SEARCH("Receive International",C497)),"Money In",IF(ISNUMBER(SEARCH("Send Money Reversal",C497)),"Money In",IF(ISNUMBER(SEARCH("Pay Utility Reversal",C497)),"Money In",IF(ISNUMBER(SEARCH("Customer Transfer",C497)),"Money In",IF(ISNUMBER(SEARCH("Ziidi",C497)),"Investment",IF(ISNUMBER(SEARCH("Nabo",C497)),"Investment",IF(ISNUMBER(SEARCH("Paybill Online",C497)),"Pay Bill",IF(ISNUMBER(SEARCH("Pay Bill",C497)),"Pay Bill",IF(ISNUMBER(SEARCH("Spotify",C497)),"Pay Bill",IF(ISNUMBER(SEARCH("M-Shwari",C497)),"Mshwari",IF(ISNUMBER(SEARCH("Mshwari",C497)),"Mshwari",IF(ISNUMBER(SEARCH("Withdrawal charge",C497)),"Fees",IF(ISNUMBER(SEARCH("Customer Withdrawal",C497)),"Fees",IF(ISNUMBER(SEARCH("charge",C497)),"Fees","Other")))))))))))))))))))))))))</f>
        <v>Bundles</v>
      </c>
      <c r="R497" s="1" t="str">
        <f aca="false">TEXT(B497,"MMM YYYY")</f>
        <v>Mar 2026</v>
      </c>
    </row>
    <row r="498" customFormat="false" ht="13.8" hidden="false" customHeight="false" outlineLevel="0" collapsed="false">
      <c r="A498" s="4" t="s">
        <v>1057</v>
      </c>
      <c r="B498" s="4" t="s">
        <v>1058</v>
      </c>
      <c r="C498" s="4" t="s">
        <v>1059</v>
      </c>
      <c r="D498" s="4" t="s">
        <v>18</v>
      </c>
      <c r="E498" s="4"/>
      <c r="F498" s="4" t="n">
        <v>50</v>
      </c>
      <c r="G498" s="4" t="n">
        <v>324</v>
      </c>
      <c r="L498" s="1" t="str">
        <f aca="false">IF(ISNUMBER(SEARCH("Bundle",C498)),"Bundles",IF(ISNUMBER(SEARCH("Airtime",C498)),"Bundles",IF(ISNUMBER(SEARCH("Merchant",C498)),"Merchant Payment",IF(ISNUMBER(SEARCH("Offnet C2B",C498)),"Merchant Payment",IF(ISNUMBER(SEARCH("Offnet B2C",C498)),"Merchant Payment",IF(ISNUMBER(SEARCH("Customer Payment to Small",C498)),"Merchant Payment",IF(ISNUMBER(SEARCH("Payment to Small Business",C498)),"Merchant Payment",IF(ISNUMBER(SEARCH("Sent to",C498)),"Sent to Person",IF(ISNUMBER(SEARCH("Customer Transfer to",C498)),"Sent to Person",IF(ISNUMBER(SEARCH("Business Payment",C498)),"Money In",IF(ISNUMBER(SEARCH("Funds Received",C498)),"Money In",IF(ISNUMBER(SEARCH("Receive International",C498)),"Money In",IF(ISNUMBER(SEARCH("Send Money Reversal",C498)),"Money In",IF(ISNUMBER(SEARCH("Pay Utility Reversal",C498)),"Money In",IF(ISNUMBER(SEARCH("Customer Transfer",C498)),"Money In",IF(ISNUMBER(SEARCH("Ziidi",C498)),"Investment",IF(ISNUMBER(SEARCH("Nabo",C498)),"Investment",IF(ISNUMBER(SEARCH("Paybill Online",C498)),"Pay Bill",IF(ISNUMBER(SEARCH("Pay Bill",C498)),"Pay Bill",IF(ISNUMBER(SEARCH("Spotify",C498)),"Pay Bill",IF(ISNUMBER(SEARCH("M-Shwari",C498)),"Mshwari",IF(ISNUMBER(SEARCH("Mshwari",C498)),"Mshwari",IF(ISNUMBER(SEARCH("Withdrawal charge",C498)),"Fees",IF(ISNUMBER(SEARCH("Customer Withdrawal",C498)),"Fees",IF(ISNUMBER(SEARCH("charge",C498)),"Fees","Other")))))))))))))))))))))))))</f>
        <v>Merchant Payment</v>
      </c>
      <c r="R498" s="1" t="str">
        <f aca="false">TEXT(B498,"MMM YYYY")</f>
        <v>Mar 2026</v>
      </c>
    </row>
    <row r="499" customFormat="false" ht="13.8" hidden="false" customHeight="false" outlineLevel="0" collapsed="false">
      <c r="A499" s="4" t="s">
        <v>1060</v>
      </c>
      <c r="B499" s="4" t="s">
        <v>1061</v>
      </c>
      <c r="C499" s="4" t="s">
        <v>1062</v>
      </c>
      <c r="D499" s="4" t="s">
        <v>18</v>
      </c>
      <c r="E499" s="4"/>
      <c r="F499" s="4" t="n">
        <v>80</v>
      </c>
      <c r="G499" s="4" t="n">
        <v>244</v>
      </c>
      <c r="L499" s="1" t="str">
        <f aca="false">IF(ISNUMBER(SEARCH("Bundle",C499)),"Bundles",IF(ISNUMBER(SEARCH("Airtime",C499)),"Bundles",IF(ISNUMBER(SEARCH("Merchant",C499)),"Merchant Payment",IF(ISNUMBER(SEARCH("Offnet C2B",C499)),"Merchant Payment",IF(ISNUMBER(SEARCH("Offnet B2C",C499)),"Merchant Payment",IF(ISNUMBER(SEARCH("Customer Payment to Small",C499)),"Merchant Payment",IF(ISNUMBER(SEARCH("Payment to Small Business",C499)),"Merchant Payment",IF(ISNUMBER(SEARCH("Sent to",C499)),"Sent to Person",IF(ISNUMBER(SEARCH("Customer Transfer to",C499)),"Sent to Person",IF(ISNUMBER(SEARCH("Business Payment",C499)),"Money In",IF(ISNUMBER(SEARCH("Funds Received",C499)),"Money In",IF(ISNUMBER(SEARCH("Receive International",C499)),"Money In",IF(ISNUMBER(SEARCH("Send Money Reversal",C499)),"Money In",IF(ISNUMBER(SEARCH("Pay Utility Reversal",C499)),"Money In",IF(ISNUMBER(SEARCH("Customer Transfer",C499)),"Money In",IF(ISNUMBER(SEARCH("Ziidi",C499)),"Investment",IF(ISNUMBER(SEARCH("Nabo",C499)),"Investment",IF(ISNUMBER(SEARCH("Paybill Online",C499)),"Pay Bill",IF(ISNUMBER(SEARCH("Pay Bill",C499)),"Pay Bill",IF(ISNUMBER(SEARCH("Spotify",C499)),"Pay Bill",IF(ISNUMBER(SEARCH("M-Shwari",C499)),"Mshwari",IF(ISNUMBER(SEARCH("Mshwari",C499)),"Mshwari",IF(ISNUMBER(SEARCH("Withdrawal charge",C499)),"Fees",IF(ISNUMBER(SEARCH("Customer Withdrawal",C499)),"Fees",IF(ISNUMBER(SEARCH("charge",C499)),"Fees","Other")))))))))))))))))))))))))</f>
        <v>Sent to Person</v>
      </c>
      <c r="R499" s="1" t="str">
        <f aca="false">TEXT(B499,"MMM YYYY")</f>
        <v>Mar 2026</v>
      </c>
    </row>
    <row r="500" customFormat="false" ht="13.8" hidden="false" customHeight="false" outlineLevel="0" collapsed="false">
      <c r="A500" s="4" t="s">
        <v>1063</v>
      </c>
      <c r="B500" s="4" t="s">
        <v>1064</v>
      </c>
      <c r="C500" s="4" t="s">
        <v>177</v>
      </c>
      <c r="D500" s="4" t="s">
        <v>18</v>
      </c>
      <c r="E500" s="4" t="n">
        <v>500</v>
      </c>
      <c r="F500" s="4"/>
      <c r="G500" s="4" t="n">
        <v>744</v>
      </c>
      <c r="L500" s="1" t="str">
        <f aca="false">IF(ISNUMBER(SEARCH("Bundle",C500)),"Bundles",IF(ISNUMBER(SEARCH("Airtime",C500)),"Bundles",IF(ISNUMBER(SEARCH("Merchant",C500)),"Merchant Payment",IF(ISNUMBER(SEARCH("Offnet C2B",C500)),"Merchant Payment",IF(ISNUMBER(SEARCH("Offnet B2C",C500)),"Merchant Payment",IF(ISNUMBER(SEARCH("Customer Payment to Small",C500)),"Merchant Payment",IF(ISNUMBER(SEARCH("Payment to Small Business",C500)),"Merchant Payment",IF(ISNUMBER(SEARCH("Sent to",C500)),"Sent to Person",IF(ISNUMBER(SEARCH("Customer Transfer to",C500)),"Sent to Person",IF(ISNUMBER(SEARCH("Business Payment",C500)),"Money In",IF(ISNUMBER(SEARCH("Funds Received",C500)),"Money In",IF(ISNUMBER(SEARCH("Receive International",C500)),"Money In",IF(ISNUMBER(SEARCH("Send Money Reversal",C500)),"Money In",IF(ISNUMBER(SEARCH("Pay Utility Reversal",C500)),"Money In",IF(ISNUMBER(SEARCH("Customer Transfer",C500)),"Money In",IF(ISNUMBER(SEARCH("Ziidi",C500)),"Investment",IF(ISNUMBER(SEARCH("Nabo",C500)),"Investment",IF(ISNUMBER(SEARCH("Paybill Online",C500)),"Pay Bill",IF(ISNUMBER(SEARCH("Pay Bill",C500)),"Pay Bill",IF(ISNUMBER(SEARCH("Spotify",C500)),"Pay Bill",IF(ISNUMBER(SEARCH("M-Shwari",C500)),"Mshwari",IF(ISNUMBER(SEARCH("Mshwari",C500)),"Mshwari",IF(ISNUMBER(SEARCH("Withdrawal charge",C500)),"Fees",IF(ISNUMBER(SEARCH("Customer Withdrawal",C500)),"Fees",IF(ISNUMBER(SEARCH("charge",C500)),"Fees","Other")))))))))))))))))))))))))</f>
        <v>Money In</v>
      </c>
      <c r="R500" s="1" t="str">
        <f aca="false">TEXT(B500,"MMM YYYY")</f>
        <v>Mar 2026</v>
      </c>
    </row>
    <row r="501" customFormat="false" ht="13.8" hidden="false" customHeight="false" outlineLevel="0" collapsed="false">
      <c r="A501" s="4" t="s">
        <v>1065</v>
      </c>
      <c r="B501" s="4" t="s">
        <v>1066</v>
      </c>
      <c r="C501" s="4" t="s">
        <v>29</v>
      </c>
      <c r="D501" s="4" t="s">
        <v>18</v>
      </c>
      <c r="E501" s="4"/>
      <c r="F501" s="4" t="n">
        <v>20</v>
      </c>
      <c r="G501" s="4" t="n">
        <v>724</v>
      </c>
      <c r="L501" s="1" t="str">
        <f aca="false">IF(ISNUMBER(SEARCH("Bundle",C501)),"Bundles",IF(ISNUMBER(SEARCH("Airtime",C501)),"Bundles",IF(ISNUMBER(SEARCH("Merchant",C501)),"Merchant Payment",IF(ISNUMBER(SEARCH("Offnet C2B",C501)),"Merchant Payment",IF(ISNUMBER(SEARCH("Offnet B2C",C501)),"Merchant Payment",IF(ISNUMBER(SEARCH("Customer Payment to Small",C501)),"Merchant Payment",IF(ISNUMBER(SEARCH("Payment to Small Business",C501)),"Merchant Payment",IF(ISNUMBER(SEARCH("Sent to",C501)),"Sent to Person",IF(ISNUMBER(SEARCH("Customer Transfer to",C501)),"Sent to Person",IF(ISNUMBER(SEARCH("Business Payment",C501)),"Money In",IF(ISNUMBER(SEARCH("Funds Received",C501)),"Money In",IF(ISNUMBER(SEARCH("Receive International",C501)),"Money In",IF(ISNUMBER(SEARCH("Send Money Reversal",C501)),"Money In",IF(ISNUMBER(SEARCH("Pay Utility Reversal",C501)),"Money In",IF(ISNUMBER(SEARCH("Customer Transfer",C501)),"Money In",IF(ISNUMBER(SEARCH("Ziidi",C501)),"Investment",IF(ISNUMBER(SEARCH("Nabo",C501)),"Investment",IF(ISNUMBER(SEARCH("Paybill Online",C501)),"Pay Bill",IF(ISNUMBER(SEARCH("Pay Bill",C501)),"Pay Bill",IF(ISNUMBER(SEARCH("Spotify",C501)),"Pay Bill",IF(ISNUMBER(SEARCH("M-Shwari",C501)),"Mshwari",IF(ISNUMBER(SEARCH("Mshwari",C501)),"Mshwari",IF(ISNUMBER(SEARCH("Withdrawal charge",C501)),"Fees",IF(ISNUMBER(SEARCH("Customer Withdrawal",C501)),"Fees",IF(ISNUMBER(SEARCH("charge",C501)),"Fees","Other")))))))))))))))))))))))))</f>
        <v>Bundles</v>
      </c>
      <c r="R501" s="1" t="str">
        <f aca="false">TEXT(B501,"MMM YYYY")</f>
        <v>Mar 2026</v>
      </c>
    </row>
    <row r="502" customFormat="false" ht="13.8" hidden="false" customHeight="false" outlineLevel="0" collapsed="false">
      <c r="A502" s="4" t="s">
        <v>1067</v>
      </c>
      <c r="B502" s="4" t="s">
        <v>1068</v>
      </c>
      <c r="C502" s="4" t="s">
        <v>29</v>
      </c>
      <c r="D502" s="4" t="s">
        <v>18</v>
      </c>
      <c r="E502" s="4"/>
      <c r="F502" s="4" t="n">
        <v>20</v>
      </c>
      <c r="G502" s="4" t="n">
        <v>704</v>
      </c>
      <c r="L502" s="1" t="str">
        <f aca="false">IF(ISNUMBER(SEARCH("Bundle",C502)),"Bundles",IF(ISNUMBER(SEARCH("Airtime",C502)),"Bundles",IF(ISNUMBER(SEARCH("Merchant",C502)),"Merchant Payment",IF(ISNUMBER(SEARCH("Offnet C2B",C502)),"Merchant Payment",IF(ISNUMBER(SEARCH("Offnet B2C",C502)),"Merchant Payment",IF(ISNUMBER(SEARCH("Customer Payment to Small",C502)),"Merchant Payment",IF(ISNUMBER(SEARCH("Payment to Small Business",C502)),"Merchant Payment",IF(ISNUMBER(SEARCH("Sent to",C502)),"Sent to Person",IF(ISNUMBER(SEARCH("Customer Transfer to",C502)),"Sent to Person",IF(ISNUMBER(SEARCH("Business Payment",C502)),"Money In",IF(ISNUMBER(SEARCH("Funds Received",C502)),"Money In",IF(ISNUMBER(SEARCH("Receive International",C502)),"Money In",IF(ISNUMBER(SEARCH("Send Money Reversal",C502)),"Money In",IF(ISNUMBER(SEARCH("Pay Utility Reversal",C502)),"Money In",IF(ISNUMBER(SEARCH("Customer Transfer",C502)),"Money In",IF(ISNUMBER(SEARCH("Ziidi",C502)),"Investment",IF(ISNUMBER(SEARCH("Nabo",C502)),"Investment",IF(ISNUMBER(SEARCH("Paybill Online",C502)),"Pay Bill",IF(ISNUMBER(SEARCH("Pay Bill",C502)),"Pay Bill",IF(ISNUMBER(SEARCH("Spotify",C502)),"Pay Bill",IF(ISNUMBER(SEARCH("M-Shwari",C502)),"Mshwari",IF(ISNUMBER(SEARCH("Mshwari",C502)),"Mshwari",IF(ISNUMBER(SEARCH("Withdrawal charge",C502)),"Fees",IF(ISNUMBER(SEARCH("Customer Withdrawal",C502)),"Fees",IF(ISNUMBER(SEARCH("charge",C502)),"Fees","Other")))))))))))))))))))))))))</f>
        <v>Bundles</v>
      </c>
      <c r="R502" s="1" t="str">
        <f aca="false">TEXT(B502,"MMM YYYY")</f>
        <v>Mar 2026</v>
      </c>
    </row>
    <row r="503" customFormat="false" ht="13.8" hidden="false" customHeight="false" outlineLevel="0" collapsed="false">
      <c r="A503" s="4" t="s">
        <v>1069</v>
      </c>
      <c r="B503" s="4" t="s">
        <v>1070</v>
      </c>
      <c r="C503" s="4" t="s">
        <v>1010</v>
      </c>
      <c r="D503" s="4" t="s">
        <v>18</v>
      </c>
      <c r="E503" s="4"/>
      <c r="F503" s="4" t="n">
        <v>50</v>
      </c>
      <c r="G503" s="4" t="n">
        <v>654</v>
      </c>
      <c r="L503" s="1" t="str">
        <f aca="false">IF(ISNUMBER(SEARCH("Bundle",C503)),"Bundles",IF(ISNUMBER(SEARCH("Airtime",C503)),"Bundles",IF(ISNUMBER(SEARCH("Merchant",C503)),"Merchant Payment",IF(ISNUMBER(SEARCH("Offnet C2B",C503)),"Merchant Payment",IF(ISNUMBER(SEARCH("Offnet B2C",C503)),"Merchant Payment",IF(ISNUMBER(SEARCH("Customer Payment to Small",C503)),"Merchant Payment",IF(ISNUMBER(SEARCH("Payment to Small Business",C503)),"Merchant Payment",IF(ISNUMBER(SEARCH("Sent to",C503)),"Sent to Person",IF(ISNUMBER(SEARCH("Customer Transfer to",C503)),"Sent to Person",IF(ISNUMBER(SEARCH("Business Payment",C503)),"Money In",IF(ISNUMBER(SEARCH("Funds Received",C503)),"Money In",IF(ISNUMBER(SEARCH("Receive International",C503)),"Money In",IF(ISNUMBER(SEARCH("Send Money Reversal",C503)),"Money In",IF(ISNUMBER(SEARCH("Pay Utility Reversal",C503)),"Money In",IF(ISNUMBER(SEARCH("Customer Transfer",C503)),"Money In",IF(ISNUMBER(SEARCH("Ziidi",C503)),"Investment",IF(ISNUMBER(SEARCH("Nabo",C503)),"Investment",IF(ISNUMBER(SEARCH("Paybill Online",C503)),"Pay Bill",IF(ISNUMBER(SEARCH("Pay Bill",C503)),"Pay Bill",IF(ISNUMBER(SEARCH("Spotify",C503)),"Pay Bill",IF(ISNUMBER(SEARCH("M-Shwari",C503)),"Mshwari",IF(ISNUMBER(SEARCH("Mshwari",C503)),"Mshwari",IF(ISNUMBER(SEARCH("Withdrawal charge",C503)),"Fees",IF(ISNUMBER(SEARCH("Customer Withdrawal",C503)),"Fees",IF(ISNUMBER(SEARCH("charge",C503)),"Fees","Other")))))))))))))))))))))))))</f>
        <v>Merchant Payment</v>
      </c>
      <c r="R503" s="1" t="str">
        <f aca="false">TEXT(B503,"MMM YYYY")</f>
        <v>Mar 2026</v>
      </c>
    </row>
    <row r="504" customFormat="false" ht="13.8" hidden="false" customHeight="false" outlineLevel="0" collapsed="false">
      <c r="A504" s="4" t="s">
        <v>1071</v>
      </c>
      <c r="B504" s="4" t="s">
        <v>1072</v>
      </c>
      <c r="C504" s="4" t="s">
        <v>1073</v>
      </c>
      <c r="D504" s="4" t="s">
        <v>18</v>
      </c>
      <c r="E504" s="4"/>
      <c r="F504" s="4" t="n">
        <v>30</v>
      </c>
      <c r="G504" s="4" t="n">
        <v>624</v>
      </c>
      <c r="L504" s="1" t="str">
        <f aca="false">IF(ISNUMBER(SEARCH("Bundle",C504)),"Bundles",IF(ISNUMBER(SEARCH("Airtime",C504)),"Bundles",IF(ISNUMBER(SEARCH("Merchant",C504)),"Merchant Payment",IF(ISNUMBER(SEARCH("Offnet C2B",C504)),"Merchant Payment",IF(ISNUMBER(SEARCH("Offnet B2C",C504)),"Merchant Payment",IF(ISNUMBER(SEARCH("Customer Payment to Small",C504)),"Merchant Payment",IF(ISNUMBER(SEARCH("Payment to Small Business",C504)),"Merchant Payment",IF(ISNUMBER(SEARCH("Sent to",C504)),"Sent to Person",IF(ISNUMBER(SEARCH("Customer Transfer to",C504)),"Sent to Person",IF(ISNUMBER(SEARCH("Business Payment",C504)),"Money In",IF(ISNUMBER(SEARCH("Funds Received",C504)),"Money In",IF(ISNUMBER(SEARCH("Receive International",C504)),"Money In",IF(ISNUMBER(SEARCH("Send Money Reversal",C504)),"Money In",IF(ISNUMBER(SEARCH("Pay Utility Reversal",C504)),"Money In",IF(ISNUMBER(SEARCH("Customer Transfer",C504)),"Money In",IF(ISNUMBER(SEARCH("Ziidi",C504)),"Investment",IF(ISNUMBER(SEARCH("Nabo",C504)),"Investment",IF(ISNUMBER(SEARCH("Paybill Online",C504)),"Pay Bill",IF(ISNUMBER(SEARCH("Pay Bill",C504)),"Pay Bill",IF(ISNUMBER(SEARCH("Spotify",C504)),"Pay Bill",IF(ISNUMBER(SEARCH("M-Shwari",C504)),"Mshwari",IF(ISNUMBER(SEARCH("Mshwari",C504)),"Mshwari",IF(ISNUMBER(SEARCH("Withdrawal charge",C504)),"Fees",IF(ISNUMBER(SEARCH("Customer Withdrawal",C504)),"Fees",IF(ISNUMBER(SEARCH("charge",C504)),"Fees","Other")))))))))))))))))))))))))</f>
        <v>Merchant Payment</v>
      </c>
      <c r="R504" s="1" t="str">
        <f aca="false">TEXT(B504,"MMM YYYY")</f>
        <v>Mar 2026</v>
      </c>
    </row>
    <row r="505" customFormat="false" ht="13.8" hidden="false" customHeight="false" outlineLevel="0" collapsed="false">
      <c r="A505" s="4" t="s">
        <v>1074</v>
      </c>
      <c r="B505" s="4" t="s">
        <v>1075</v>
      </c>
      <c r="C505" s="4" t="s">
        <v>239</v>
      </c>
      <c r="D505" s="4" t="s">
        <v>18</v>
      </c>
      <c r="E505" s="4"/>
      <c r="F505" s="4" t="n">
        <v>7</v>
      </c>
      <c r="G505" s="4" t="n">
        <v>477</v>
      </c>
      <c r="L505" s="1" t="str">
        <f aca="false">IF(ISNUMBER(SEARCH("Bundle",C505)),"Bundles",IF(ISNUMBER(SEARCH("Airtime",C505)),"Bundles",IF(ISNUMBER(SEARCH("Merchant",C505)),"Merchant Payment",IF(ISNUMBER(SEARCH("Offnet C2B",C505)),"Merchant Payment",IF(ISNUMBER(SEARCH("Offnet B2C",C505)),"Merchant Payment",IF(ISNUMBER(SEARCH("Customer Payment to Small",C505)),"Merchant Payment",IF(ISNUMBER(SEARCH("Payment to Small Business",C505)),"Merchant Payment",IF(ISNUMBER(SEARCH("Sent to",C505)),"Sent to Person",IF(ISNUMBER(SEARCH("Customer Transfer to",C505)),"Sent to Person",IF(ISNUMBER(SEARCH("Business Payment",C505)),"Money In",IF(ISNUMBER(SEARCH("Funds Received",C505)),"Money In",IF(ISNUMBER(SEARCH("Receive International",C505)),"Money In",IF(ISNUMBER(SEARCH("Send Money Reversal",C505)),"Money In",IF(ISNUMBER(SEARCH("Pay Utility Reversal",C505)),"Money In",IF(ISNUMBER(SEARCH("Customer Transfer",C505)),"Money In",IF(ISNUMBER(SEARCH("Ziidi",C505)),"Investment",IF(ISNUMBER(SEARCH("Nabo",C505)),"Investment",IF(ISNUMBER(SEARCH("Paybill Online",C505)),"Pay Bill",IF(ISNUMBER(SEARCH("Pay Bill",C505)),"Pay Bill",IF(ISNUMBER(SEARCH("Spotify",C505)),"Pay Bill",IF(ISNUMBER(SEARCH("M-Shwari",C505)),"Mshwari",IF(ISNUMBER(SEARCH("Mshwari",C505)),"Mshwari",IF(ISNUMBER(SEARCH("Withdrawal charge",C505)),"Fees",IF(ISNUMBER(SEARCH("Customer Withdrawal",C505)),"Fees",IF(ISNUMBER(SEARCH("charge",C505)),"Fees","Other")))))))))))))))))))))))))</f>
        <v>Money In</v>
      </c>
      <c r="R505" s="1" t="str">
        <f aca="false">TEXT(B505,"MMM YYYY")</f>
        <v>Mar 2026</v>
      </c>
    </row>
    <row r="506" customFormat="false" ht="13.8" hidden="false" customHeight="false" outlineLevel="0" collapsed="false">
      <c r="A506" s="4" t="s">
        <v>1074</v>
      </c>
      <c r="B506" s="4" t="s">
        <v>1075</v>
      </c>
      <c r="C506" s="4" t="s">
        <v>787</v>
      </c>
      <c r="D506" s="4" t="s">
        <v>18</v>
      </c>
      <c r="E506" s="4"/>
      <c r="F506" s="4" t="n">
        <v>140</v>
      </c>
      <c r="G506" s="4" t="n">
        <v>484</v>
      </c>
      <c r="L506" s="1" t="str">
        <f aca="false">IF(ISNUMBER(SEARCH("Bundle",C506)),"Bundles",IF(ISNUMBER(SEARCH("Airtime",C506)),"Bundles",IF(ISNUMBER(SEARCH("Merchant",C506)),"Merchant Payment",IF(ISNUMBER(SEARCH("Offnet C2B",C506)),"Merchant Payment",IF(ISNUMBER(SEARCH("Offnet B2C",C506)),"Merchant Payment",IF(ISNUMBER(SEARCH("Customer Payment to Small",C506)),"Merchant Payment",IF(ISNUMBER(SEARCH("Payment to Small Business",C506)),"Merchant Payment",IF(ISNUMBER(SEARCH("Sent to",C506)),"Sent to Person",IF(ISNUMBER(SEARCH("Customer Transfer to",C506)),"Sent to Person",IF(ISNUMBER(SEARCH("Business Payment",C506)),"Money In",IF(ISNUMBER(SEARCH("Funds Received",C506)),"Money In",IF(ISNUMBER(SEARCH("Receive International",C506)),"Money In",IF(ISNUMBER(SEARCH("Send Money Reversal",C506)),"Money In",IF(ISNUMBER(SEARCH("Pay Utility Reversal",C506)),"Money In",IF(ISNUMBER(SEARCH("Customer Transfer",C506)),"Money In",IF(ISNUMBER(SEARCH("Ziidi",C506)),"Investment",IF(ISNUMBER(SEARCH("Nabo",C506)),"Investment",IF(ISNUMBER(SEARCH("Paybill Online",C506)),"Pay Bill",IF(ISNUMBER(SEARCH("Pay Bill",C506)),"Pay Bill",IF(ISNUMBER(SEARCH("Spotify",C506)),"Pay Bill",IF(ISNUMBER(SEARCH("M-Shwari",C506)),"Mshwari",IF(ISNUMBER(SEARCH("Mshwari",C506)),"Mshwari",IF(ISNUMBER(SEARCH("Withdrawal charge",C506)),"Fees",IF(ISNUMBER(SEARCH("Customer Withdrawal",C506)),"Fees",IF(ISNUMBER(SEARCH("charge",C506)),"Fees","Other")))))))))))))))))))))))))</f>
        <v>Merchant Payment</v>
      </c>
      <c r="R506" s="1" t="str">
        <f aca="false">TEXT(B506,"MMM YYYY")</f>
        <v>Mar 2026</v>
      </c>
    </row>
    <row r="507" customFormat="false" ht="13.8" hidden="false" customHeight="false" outlineLevel="0" collapsed="false">
      <c r="A507" s="4" t="s">
        <v>1076</v>
      </c>
      <c r="B507" s="4" t="s">
        <v>1077</v>
      </c>
      <c r="C507" s="4" t="s">
        <v>459</v>
      </c>
      <c r="D507" s="4" t="s">
        <v>18</v>
      </c>
      <c r="E507" s="4"/>
      <c r="F507" s="4" t="n">
        <v>30</v>
      </c>
      <c r="G507" s="4" t="n">
        <v>447</v>
      </c>
      <c r="L507" s="1" t="str">
        <f aca="false">IF(ISNUMBER(SEARCH("Bundle",C507)),"Bundles",IF(ISNUMBER(SEARCH("Airtime",C507)),"Bundles",IF(ISNUMBER(SEARCH("Merchant",C507)),"Merchant Payment",IF(ISNUMBER(SEARCH("Offnet C2B",C507)),"Merchant Payment",IF(ISNUMBER(SEARCH("Offnet B2C",C507)),"Merchant Payment",IF(ISNUMBER(SEARCH("Customer Payment to Small",C507)),"Merchant Payment",IF(ISNUMBER(SEARCH("Payment to Small Business",C507)),"Merchant Payment",IF(ISNUMBER(SEARCH("Sent to",C507)),"Sent to Person",IF(ISNUMBER(SEARCH("Customer Transfer to",C507)),"Sent to Person",IF(ISNUMBER(SEARCH("Business Payment",C507)),"Money In",IF(ISNUMBER(SEARCH("Funds Received",C507)),"Money In",IF(ISNUMBER(SEARCH("Receive International",C507)),"Money In",IF(ISNUMBER(SEARCH("Send Money Reversal",C507)),"Money In",IF(ISNUMBER(SEARCH("Pay Utility Reversal",C507)),"Money In",IF(ISNUMBER(SEARCH("Customer Transfer",C507)),"Money In",IF(ISNUMBER(SEARCH("Ziidi",C507)),"Investment",IF(ISNUMBER(SEARCH("Nabo",C507)),"Investment",IF(ISNUMBER(SEARCH("Paybill Online",C507)),"Pay Bill",IF(ISNUMBER(SEARCH("Pay Bill",C507)),"Pay Bill",IF(ISNUMBER(SEARCH("Spotify",C507)),"Pay Bill",IF(ISNUMBER(SEARCH("M-Shwari",C507)),"Mshwari",IF(ISNUMBER(SEARCH("Mshwari",C507)),"Mshwari",IF(ISNUMBER(SEARCH("Withdrawal charge",C507)),"Fees",IF(ISNUMBER(SEARCH("Customer Withdrawal",C507)),"Fees",IF(ISNUMBER(SEARCH("charge",C507)),"Fees","Other")))))))))))))))))))))))))</f>
        <v>Merchant Payment</v>
      </c>
      <c r="R507" s="1" t="str">
        <f aca="false">TEXT(B507,"MMM YYYY")</f>
        <v>Mar 2026</v>
      </c>
    </row>
    <row r="508" customFormat="false" ht="13.8" hidden="false" customHeight="false" outlineLevel="0" collapsed="false">
      <c r="A508" s="4" t="s">
        <v>1078</v>
      </c>
      <c r="B508" s="4" t="s">
        <v>1079</v>
      </c>
      <c r="C508" s="4" t="s">
        <v>29</v>
      </c>
      <c r="D508" s="4" t="s">
        <v>18</v>
      </c>
      <c r="E508" s="4"/>
      <c r="F508" s="4" t="n">
        <v>10</v>
      </c>
      <c r="G508" s="4" t="n">
        <v>437</v>
      </c>
      <c r="L508" s="1" t="str">
        <f aca="false">IF(ISNUMBER(SEARCH("Bundle",C508)),"Bundles",IF(ISNUMBER(SEARCH("Airtime",C508)),"Bundles",IF(ISNUMBER(SEARCH("Merchant",C508)),"Merchant Payment",IF(ISNUMBER(SEARCH("Offnet C2B",C508)),"Merchant Payment",IF(ISNUMBER(SEARCH("Offnet B2C",C508)),"Merchant Payment",IF(ISNUMBER(SEARCH("Customer Payment to Small",C508)),"Merchant Payment",IF(ISNUMBER(SEARCH("Payment to Small Business",C508)),"Merchant Payment",IF(ISNUMBER(SEARCH("Sent to",C508)),"Sent to Person",IF(ISNUMBER(SEARCH("Customer Transfer to",C508)),"Sent to Person",IF(ISNUMBER(SEARCH("Business Payment",C508)),"Money In",IF(ISNUMBER(SEARCH("Funds Received",C508)),"Money In",IF(ISNUMBER(SEARCH("Receive International",C508)),"Money In",IF(ISNUMBER(SEARCH("Send Money Reversal",C508)),"Money In",IF(ISNUMBER(SEARCH("Pay Utility Reversal",C508)),"Money In",IF(ISNUMBER(SEARCH("Customer Transfer",C508)),"Money In",IF(ISNUMBER(SEARCH("Ziidi",C508)),"Investment",IF(ISNUMBER(SEARCH("Nabo",C508)),"Investment",IF(ISNUMBER(SEARCH("Paybill Online",C508)),"Pay Bill",IF(ISNUMBER(SEARCH("Pay Bill",C508)),"Pay Bill",IF(ISNUMBER(SEARCH("Spotify",C508)),"Pay Bill",IF(ISNUMBER(SEARCH("M-Shwari",C508)),"Mshwari",IF(ISNUMBER(SEARCH("Mshwari",C508)),"Mshwari",IF(ISNUMBER(SEARCH("Withdrawal charge",C508)),"Fees",IF(ISNUMBER(SEARCH("Customer Withdrawal",C508)),"Fees",IF(ISNUMBER(SEARCH("charge",C508)),"Fees","Other")))))))))))))))))))))))))</f>
        <v>Bundles</v>
      </c>
      <c r="R508" s="1" t="str">
        <f aca="false">TEXT(B508,"MMM YYYY")</f>
        <v>Mar 2026</v>
      </c>
    </row>
    <row r="509" customFormat="false" ht="13.8" hidden="false" customHeight="false" outlineLevel="0" collapsed="false">
      <c r="A509" s="4" t="s">
        <v>1080</v>
      </c>
      <c r="B509" s="4" t="s">
        <v>1081</v>
      </c>
      <c r="C509" s="4" t="s">
        <v>467</v>
      </c>
      <c r="D509" s="4" t="s">
        <v>18</v>
      </c>
      <c r="E509" s="4"/>
      <c r="F509" s="4" t="n">
        <v>60</v>
      </c>
      <c r="G509" s="4" t="n">
        <v>377</v>
      </c>
      <c r="L509" s="1" t="str">
        <f aca="false">IF(ISNUMBER(SEARCH("Bundle",C509)),"Bundles",IF(ISNUMBER(SEARCH("Airtime",C509)),"Bundles",IF(ISNUMBER(SEARCH("Merchant",C509)),"Merchant Payment",IF(ISNUMBER(SEARCH("Offnet C2B",C509)),"Merchant Payment",IF(ISNUMBER(SEARCH("Offnet B2C",C509)),"Merchant Payment",IF(ISNUMBER(SEARCH("Customer Payment to Small",C509)),"Merchant Payment",IF(ISNUMBER(SEARCH("Payment to Small Business",C509)),"Merchant Payment",IF(ISNUMBER(SEARCH("Sent to",C509)),"Sent to Person",IF(ISNUMBER(SEARCH("Customer Transfer to",C509)),"Sent to Person",IF(ISNUMBER(SEARCH("Business Payment",C509)),"Money In",IF(ISNUMBER(SEARCH("Funds Received",C509)),"Money In",IF(ISNUMBER(SEARCH("Receive International",C509)),"Money In",IF(ISNUMBER(SEARCH("Send Money Reversal",C509)),"Money In",IF(ISNUMBER(SEARCH("Pay Utility Reversal",C509)),"Money In",IF(ISNUMBER(SEARCH("Customer Transfer",C509)),"Money In",IF(ISNUMBER(SEARCH("Ziidi",C509)),"Investment",IF(ISNUMBER(SEARCH("Nabo",C509)),"Investment",IF(ISNUMBER(SEARCH("Paybill Online",C509)),"Pay Bill",IF(ISNUMBER(SEARCH("Pay Bill",C509)),"Pay Bill",IF(ISNUMBER(SEARCH("Spotify",C509)),"Pay Bill",IF(ISNUMBER(SEARCH("M-Shwari",C509)),"Mshwari",IF(ISNUMBER(SEARCH("Mshwari",C509)),"Mshwari",IF(ISNUMBER(SEARCH("Withdrawal charge",C509)),"Fees",IF(ISNUMBER(SEARCH("Customer Withdrawal",C509)),"Fees",IF(ISNUMBER(SEARCH("charge",C509)),"Fees","Other")))))))))))))))))))))))))</f>
        <v>Merchant Payment</v>
      </c>
      <c r="R509" s="1" t="str">
        <f aca="false">TEXT(B509,"MMM YYYY")</f>
        <v>Mar 2026</v>
      </c>
    </row>
    <row r="510" customFormat="false" ht="13.8" hidden="false" customHeight="false" outlineLevel="0" collapsed="false">
      <c r="A510" s="4" t="s">
        <v>1082</v>
      </c>
      <c r="B510" s="4" t="s">
        <v>1083</v>
      </c>
      <c r="C510" s="4" t="s">
        <v>29</v>
      </c>
      <c r="D510" s="4" t="s">
        <v>18</v>
      </c>
      <c r="E510" s="4"/>
      <c r="F510" s="4" t="n">
        <v>10</v>
      </c>
      <c r="G510" s="4" t="n">
        <v>367</v>
      </c>
      <c r="L510" s="1" t="str">
        <f aca="false">IF(ISNUMBER(SEARCH("Bundle",C510)),"Bundles",IF(ISNUMBER(SEARCH("Airtime",C510)),"Bundles",IF(ISNUMBER(SEARCH("Merchant",C510)),"Merchant Payment",IF(ISNUMBER(SEARCH("Offnet C2B",C510)),"Merchant Payment",IF(ISNUMBER(SEARCH("Offnet B2C",C510)),"Merchant Payment",IF(ISNUMBER(SEARCH("Customer Payment to Small",C510)),"Merchant Payment",IF(ISNUMBER(SEARCH("Payment to Small Business",C510)),"Merchant Payment",IF(ISNUMBER(SEARCH("Sent to",C510)),"Sent to Person",IF(ISNUMBER(SEARCH("Customer Transfer to",C510)),"Sent to Person",IF(ISNUMBER(SEARCH("Business Payment",C510)),"Money In",IF(ISNUMBER(SEARCH("Funds Received",C510)),"Money In",IF(ISNUMBER(SEARCH("Receive International",C510)),"Money In",IF(ISNUMBER(SEARCH("Send Money Reversal",C510)),"Money In",IF(ISNUMBER(SEARCH("Pay Utility Reversal",C510)),"Money In",IF(ISNUMBER(SEARCH("Customer Transfer",C510)),"Money In",IF(ISNUMBER(SEARCH("Ziidi",C510)),"Investment",IF(ISNUMBER(SEARCH("Nabo",C510)),"Investment",IF(ISNUMBER(SEARCH("Paybill Online",C510)),"Pay Bill",IF(ISNUMBER(SEARCH("Pay Bill",C510)),"Pay Bill",IF(ISNUMBER(SEARCH("Spotify",C510)),"Pay Bill",IF(ISNUMBER(SEARCH("M-Shwari",C510)),"Mshwari",IF(ISNUMBER(SEARCH("Mshwari",C510)),"Mshwari",IF(ISNUMBER(SEARCH("Withdrawal charge",C510)),"Fees",IF(ISNUMBER(SEARCH("Customer Withdrawal",C510)),"Fees",IF(ISNUMBER(SEARCH("charge",C510)),"Fees","Other")))))))))))))))))))))))))</f>
        <v>Bundles</v>
      </c>
      <c r="R510" s="1" t="str">
        <f aca="false">TEXT(B510,"MMM YYYY")</f>
        <v>Mar 2026</v>
      </c>
    </row>
    <row r="511" customFormat="false" ht="13.8" hidden="false" customHeight="false" outlineLevel="0" collapsed="false">
      <c r="A511" s="4" t="s">
        <v>1084</v>
      </c>
      <c r="B511" s="4" t="s">
        <v>1085</v>
      </c>
      <c r="C511" s="4" t="s">
        <v>1086</v>
      </c>
      <c r="D511" s="4" t="s">
        <v>18</v>
      </c>
      <c r="E511" s="4"/>
      <c r="F511" s="4" t="n">
        <v>100</v>
      </c>
      <c r="G511" s="4" t="n">
        <v>267</v>
      </c>
      <c r="L511" s="1" t="str">
        <f aca="false">IF(ISNUMBER(SEARCH("Bundle",C511)),"Bundles",IF(ISNUMBER(SEARCH("Airtime",C511)),"Bundles",IF(ISNUMBER(SEARCH("Merchant",C511)),"Merchant Payment",IF(ISNUMBER(SEARCH("Offnet C2B",C511)),"Merchant Payment",IF(ISNUMBER(SEARCH("Offnet B2C",C511)),"Merchant Payment",IF(ISNUMBER(SEARCH("Customer Payment to Small",C511)),"Merchant Payment",IF(ISNUMBER(SEARCH("Payment to Small Business",C511)),"Merchant Payment",IF(ISNUMBER(SEARCH("Sent to",C511)),"Sent to Person",IF(ISNUMBER(SEARCH("Customer Transfer to",C511)),"Sent to Person",IF(ISNUMBER(SEARCH("Business Payment",C511)),"Money In",IF(ISNUMBER(SEARCH("Funds Received",C511)),"Money In",IF(ISNUMBER(SEARCH("Receive International",C511)),"Money In",IF(ISNUMBER(SEARCH("Send Money Reversal",C511)),"Money In",IF(ISNUMBER(SEARCH("Pay Utility Reversal",C511)),"Money In",IF(ISNUMBER(SEARCH("Customer Transfer",C511)),"Money In",IF(ISNUMBER(SEARCH("Ziidi",C511)),"Investment",IF(ISNUMBER(SEARCH("Nabo",C511)),"Investment",IF(ISNUMBER(SEARCH("Paybill Online",C511)),"Pay Bill",IF(ISNUMBER(SEARCH("Pay Bill",C511)),"Pay Bill",IF(ISNUMBER(SEARCH("Spotify",C511)),"Pay Bill",IF(ISNUMBER(SEARCH("M-Shwari",C511)),"Mshwari",IF(ISNUMBER(SEARCH("Mshwari",C511)),"Mshwari",IF(ISNUMBER(SEARCH("Withdrawal charge",C511)),"Fees",IF(ISNUMBER(SEARCH("Customer Withdrawal",C511)),"Fees",IF(ISNUMBER(SEARCH("charge",C511)),"Fees","Other")))))))))))))))))))))))))</f>
        <v>Sent to Person</v>
      </c>
      <c r="R511" s="1" t="str">
        <f aca="false">TEXT(B511,"MMM YYYY")</f>
        <v>Mar 2026</v>
      </c>
    </row>
    <row r="512" customFormat="false" ht="13.8" hidden="false" customHeight="false" outlineLevel="0" collapsed="false">
      <c r="A512" s="4" t="s">
        <v>1087</v>
      </c>
      <c r="B512" s="4" t="s">
        <v>1088</v>
      </c>
      <c r="C512" s="4" t="s">
        <v>1010</v>
      </c>
      <c r="D512" s="4" t="s">
        <v>18</v>
      </c>
      <c r="E512" s="4"/>
      <c r="F512" s="4" t="n">
        <v>50</v>
      </c>
      <c r="G512" s="4" t="n">
        <v>217</v>
      </c>
      <c r="L512" s="1" t="str">
        <f aca="false">IF(ISNUMBER(SEARCH("Bundle",C512)),"Bundles",IF(ISNUMBER(SEARCH("Airtime",C512)),"Bundles",IF(ISNUMBER(SEARCH("Merchant",C512)),"Merchant Payment",IF(ISNUMBER(SEARCH("Offnet C2B",C512)),"Merchant Payment",IF(ISNUMBER(SEARCH("Offnet B2C",C512)),"Merchant Payment",IF(ISNUMBER(SEARCH("Customer Payment to Small",C512)),"Merchant Payment",IF(ISNUMBER(SEARCH("Payment to Small Business",C512)),"Merchant Payment",IF(ISNUMBER(SEARCH("Sent to",C512)),"Sent to Person",IF(ISNUMBER(SEARCH("Customer Transfer to",C512)),"Sent to Person",IF(ISNUMBER(SEARCH("Business Payment",C512)),"Money In",IF(ISNUMBER(SEARCH("Funds Received",C512)),"Money In",IF(ISNUMBER(SEARCH("Receive International",C512)),"Money In",IF(ISNUMBER(SEARCH("Send Money Reversal",C512)),"Money In",IF(ISNUMBER(SEARCH("Pay Utility Reversal",C512)),"Money In",IF(ISNUMBER(SEARCH("Customer Transfer",C512)),"Money In",IF(ISNUMBER(SEARCH("Ziidi",C512)),"Investment",IF(ISNUMBER(SEARCH("Nabo",C512)),"Investment",IF(ISNUMBER(SEARCH("Paybill Online",C512)),"Pay Bill",IF(ISNUMBER(SEARCH("Pay Bill",C512)),"Pay Bill",IF(ISNUMBER(SEARCH("Spotify",C512)),"Pay Bill",IF(ISNUMBER(SEARCH("M-Shwari",C512)),"Mshwari",IF(ISNUMBER(SEARCH("Mshwari",C512)),"Mshwari",IF(ISNUMBER(SEARCH("Withdrawal charge",C512)),"Fees",IF(ISNUMBER(SEARCH("Customer Withdrawal",C512)),"Fees",IF(ISNUMBER(SEARCH("charge",C512)),"Fees","Other")))))))))))))))))))))))))</f>
        <v>Merchant Payment</v>
      </c>
      <c r="R512" s="1" t="str">
        <f aca="false">TEXT(B512,"MMM YYYY")</f>
        <v>Mar 2026</v>
      </c>
    </row>
    <row r="513" customFormat="false" ht="13.8" hidden="false" customHeight="false" outlineLevel="0" collapsed="false">
      <c r="A513" s="4" t="s">
        <v>1089</v>
      </c>
      <c r="B513" s="4" t="s">
        <v>1090</v>
      </c>
      <c r="C513" s="4" t="s">
        <v>29</v>
      </c>
      <c r="D513" s="4" t="s">
        <v>18</v>
      </c>
      <c r="E513" s="4"/>
      <c r="F513" s="4" t="n">
        <v>20</v>
      </c>
      <c r="G513" s="4" t="n">
        <v>197</v>
      </c>
      <c r="L513" s="1" t="str">
        <f aca="false">IF(ISNUMBER(SEARCH("Bundle",C513)),"Bundles",IF(ISNUMBER(SEARCH("Airtime",C513)),"Bundles",IF(ISNUMBER(SEARCH("Merchant",C513)),"Merchant Payment",IF(ISNUMBER(SEARCH("Offnet C2B",C513)),"Merchant Payment",IF(ISNUMBER(SEARCH("Offnet B2C",C513)),"Merchant Payment",IF(ISNUMBER(SEARCH("Customer Payment to Small",C513)),"Merchant Payment",IF(ISNUMBER(SEARCH("Payment to Small Business",C513)),"Merchant Payment",IF(ISNUMBER(SEARCH("Sent to",C513)),"Sent to Person",IF(ISNUMBER(SEARCH("Customer Transfer to",C513)),"Sent to Person",IF(ISNUMBER(SEARCH("Business Payment",C513)),"Money In",IF(ISNUMBER(SEARCH("Funds Received",C513)),"Money In",IF(ISNUMBER(SEARCH("Receive International",C513)),"Money In",IF(ISNUMBER(SEARCH("Send Money Reversal",C513)),"Money In",IF(ISNUMBER(SEARCH("Pay Utility Reversal",C513)),"Money In",IF(ISNUMBER(SEARCH("Customer Transfer",C513)),"Money In",IF(ISNUMBER(SEARCH("Ziidi",C513)),"Investment",IF(ISNUMBER(SEARCH("Nabo",C513)),"Investment",IF(ISNUMBER(SEARCH("Paybill Online",C513)),"Pay Bill",IF(ISNUMBER(SEARCH("Pay Bill",C513)),"Pay Bill",IF(ISNUMBER(SEARCH("Spotify",C513)),"Pay Bill",IF(ISNUMBER(SEARCH("M-Shwari",C513)),"Mshwari",IF(ISNUMBER(SEARCH("Mshwari",C513)),"Mshwari",IF(ISNUMBER(SEARCH("Withdrawal charge",C513)),"Fees",IF(ISNUMBER(SEARCH("Customer Withdrawal",C513)),"Fees",IF(ISNUMBER(SEARCH("charge",C513)),"Fees","Other")))))))))))))))))))))))))</f>
        <v>Bundles</v>
      </c>
      <c r="R513" s="1" t="str">
        <f aca="false">TEXT(B513,"MMM YYYY")</f>
        <v>Mar 2026</v>
      </c>
    </row>
    <row r="514" customFormat="false" ht="13.8" hidden="false" customHeight="false" outlineLevel="0" collapsed="false">
      <c r="A514" s="4" t="s">
        <v>1091</v>
      </c>
      <c r="B514" s="4" t="s">
        <v>1092</v>
      </c>
      <c r="C514" s="4" t="s">
        <v>29</v>
      </c>
      <c r="D514" s="4" t="s">
        <v>18</v>
      </c>
      <c r="E514" s="4"/>
      <c r="F514" s="4" t="n">
        <v>5</v>
      </c>
      <c r="G514" s="4" t="n">
        <v>192</v>
      </c>
      <c r="L514" s="1" t="str">
        <f aca="false">IF(ISNUMBER(SEARCH("Bundle",C514)),"Bundles",IF(ISNUMBER(SEARCH("Airtime",C514)),"Bundles",IF(ISNUMBER(SEARCH("Merchant",C514)),"Merchant Payment",IF(ISNUMBER(SEARCH("Offnet C2B",C514)),"Merchant Payment",IF(ISNUMBER(SEARCH("Offnet B2C",C514)),"Merchant Payment",IF(ISNUMBER(SEARCH("Customer Payment to Small",C514)),"Merchant Payment",IF(ISNUMBER(SEARCH("Payment to Small Business",C514)),"Merchant Payment",IF(ISNUMBER(SEARCH("Sent to",C514)),"Sent to Person",IF(ISNUMBER(SEARCH("Customer Transfer to",C514)),"Sent to Person",IF(ISNUMBER(SEARCH("Business Payment",C514)),"Money In",IF(ISNUMBER(SEARCH("Funds Received",C514)),"Money In",IF(ISNUMBER(SEARCH("Receive International",C514)),"Money In",IF(ISNUMBER(SEARCH("Send Money Reversal",C514)),"Money In",IF(ISNUMBER(SEARCH("Pay Utility Reversal",C514)),"Money In",IF(ISNUMBER(SEARCH("Customer Transfer",C514)),"Money In",IF(ISNUMBER(SEARCH("Ziidi",C514)),"Investment",IF(ISNUMBER(SEARCH("Nabo",C514)),"Investment",IF(ISNUMBER(SEARCH("Paybill Online",C514)),"Pay Bill",IF(ISNUMBER(SEARCH("Pay Bill",C514)),"Pay Bill",IF(ISNUMBER(SEARCH("Spotify",C514)),"Pay Bill",IF(ISNUMBER(SEARCH("M-Shwari",C514)),"Mshwari",IF(ISNUMBER(SEARCH("Mshwari",C514)),"Mshwari",IF(ISNUMBER(SEARCH("Withdrawal charge",C514)),"Fees",IF(ISNUMBER(SEARCH("Customer Withdrawal",C514)),"Fees",IF(ISNUMBER(SEARCH("charge",C514)),"Fees","Other")))))))))))))))))))))))))</f>
        <v>Bundles</v>
      </c>
      <c r="R514" s="1" t="str">
        <f aca="false">TEXT(B514,"MMM YYYY")</f>
        <v>Mar 2026</v>
      </c>
    </row>
    <row r="515" customFormat="false" ht="13.8" hidden="false" customHeight="false" outlineLevel="0" collapsed="false">
      <c r="A515" s="4" t="s">
        <v>1093</v>
      </c>
      <c r="B515" s="4" t="s">
        <v>1094</v>
      </c>
      <c r="C515" s="4" t="s">
        <v>29</v>
      </c>
      <c r="D515" s="4" t="s">
        <v>18</v>
      </c>
      <c r="E515" s="4"/>
      <c r="F515" s="4" t="n">
        <v>20</v>
      </c>
      <c r="G515" s="4" t="n">
        <v>172</v>
      </c>
      <c r="L515" s="1" t="str">
        <f aca="false">IF(ISNUMBER(SEARCH("Bundle",C515)),"Bundles",IF(ISNUMBER(SEARCH("Airtime",C515)),"Bundles",IF(ISNUMBER(SEARCH("Merchant",C515)),"Merchant Payment",IF(ISNUMBER(SEARCH("Offnet C2B",C515)),"Merchant Payment",IF(ISNUMBER(SEARCH("Offnet B2C",C515)),"Merchant Payment",IF(ISNUMBER(SEARCH("Customer Payment to Small",C515)),"Merchant Payment",IF(ISNUMBER(SEARCH("Payment to Small Business",C515)),"Merchant Payment",IF(ISNUMBER(SEARCH("Sent to",C515)),"Sent to Person",IF(ISNUMBER(SEARCH("Customer Transfer to",C515)),"Sent to Person",IF(ISNUMBER(SEARCH("Business Payment",C515)),"Money In",IF(ISNUMBER(SEARCH("Funds Received",C515)),"Money In",IF(ISNUMBER(SEARCH("Receive International",C515)),"Money In",IF(ISNUMBER(SEARCH("Send Money Reversal",C515)),"Money In",IF(ISNUMBER(SEARCH("Pay Utility Reversal",C515)),"Money In",IF(ISNUMBER(SEARCH("Customer Transfer",C515)),"Money In",IF(ISNUMBER(SEARCH("Ziidi",C515)),"Investment",IF(ISNUMBER(SEARCH("Nabo",C515)),"Investment",IF(ISNUMBER(SEARCH("Paybill Online",C515)),"Pay Bill",IF(ISNUMBER(SEARCH("Pay Bill",C515)),"Pay Bill",IF(ISNUMBER(SEARCH("Spotify",C515)),"Pay Bill",IF(ISNUMBER(SEARCH("M-Shwari",C515)),"Mshwari",IF(ISNUMBER(SEARCH("Mshwari",C515)),"Mshwari",IF(ISNUMBER(SEARCH("Withdrawal charge",C515)),"Fees",IF(ISNUMBER(SEARCH("Customer Withdrawal",C515)),"Fees",IF(ISNUMBER(SEARCH("charge",C515)),"Fees","Other")))))))))))))))))))))))))</f>
        <v>Bundles</v>
      </c>
      <c r="R515" s="1" t="str">
        <f aca="false">TEXT(B515,"MMM YYYY")</f>
        <v>Mar 2026</v>
      </c>
    </row>
    <row r="516" customFormat="false" ht="13.8" hidden="false" customHeight="false" outlineLevel="0" collapsed="false">
      <c r="A516" s="4" t="s">
        <v>1095</v>
      </c>
      <c r="B516" s="4" t="s">
        <v>1096</v>
      </c>
      <c r="C516" s="4" t="s">
        <v>29</v>
      </c>
      <c r="D516" s="4" t="s">
        <v>18</v>
      </c>
      <c r="E516" s="4"/>
      <c r="F516" s="4" t="n">
        <v>10</v>
      </c>
      <c r="G516" s="4" t="n">
        <v>162</v>
      </c>
      <c r="L516" s="1" t="str">
        <f aca="false">IF(ISNUMBER(SEARCH("Bundle",C516)),"Bundles",IF(ISNUMBER(SEARCH("Airtime",C516)),"Bundles",IF(ISNUMBER(SEARCH("Merchant",C516)),"Merchant Payment",IF(ISNUMBER(SEARCH("Offnet C2B",C516)),"Merchant Payment",IF(ISNUMBER(SEARCH("Offnet B2C",C516)),"Merchant Payment",IF(ISNUMBER(SEARCH("Customer Payment to Small",C516)),"Merchant Payment",IF(ISNUMBER(SEARCH("Payment to Small Business",C516)),"Merchant Payment",IF(ISNUMBER(SEARCH("Sent to",C516)),"Sent to Person",IF(ISNUMBER(SEARCH("Customer Transfer to",C516)),"Sent to Person",IF(ISNUMBER(SEARCH("Business Payment",C516)),"Money In",IF(ISNUMBER(SEARCH("Funds Received",C516)),"Money In",IF(ISNUMBER(SEARCH("Receive International",C516)),"Money In",IF(ISNUMBER(SEARCH("Send Money Reversal",C516)),"Money In",IF(ISNUMBER(SEARCH("Pay Utility Reversal",C516)),"Money In",IF(ISNUMBER(SEARCH("Customer Transfer",C516)),"Money In",IF(ISNUMBER(SEARCH("Ziidi",C516)),"Investment",IF(ISNUMBER(SEARCH("Nabo",C516)),"Investment",IF(ISNUMBER(SEARCH("Paybill Online",C516)),"Pay Bill",IF(ISNUMBER(SEARCH("Pay Bill",C516)),"Pay Bill",IF(ISNUMBER(SEARCH("Spotify",C516)),"Pay Bill",IF(ISNUMBER(SEARCH("M-Shwari",C516)),"Mshwari",IF(ISNUMBER(SEARCH("Mshwari",C516)),"Mshwari",IF(ISNUMBER(SEARCH("Withdrawal charge",C516)),"Fees",IF(ISNUMBER(SEARCH("Customer Withdrawal",C516)),"Fees",IF(ISNUMBER(SEARCH("charge",C516)),"Fees","Other")))))))))))))))))))))))))</f>
        <v>Bundles</v>
      </c>
      <c r="R516" s="1" t="str">
        <f aca="false">TEXT(B516,"MMM YYYY")</f>
        <v>Mar 2026</v>
      </c>
    </row>
    <row r="517" customFormat="false" ht="13.8" hidden="false" customHeight="false" outlineLevel="0" collapsed="false">
      <c r="A517" s="4" t="s">
        <v>1097</v>
      </c>
      <c r="B517" s="4" t="s">
        <v>1098</v>
      </c>
      <c r="C517" s="4" t="s">
        <v>29</v>
      </c>
      <c r="D517" s="4" t="s">
        <v>18</v>
      </c>
      <c r="E517" s="4"/>
      <c r="F517" s="4" t="n">
        <v>30</v>
      </c>
      <c r="G517" s="4" t="n">
        <v>132</v>
      </c>
      <c r="L517" s="1" t="str">
        <f aca="false">IF(ISNUMBER(SEARCH("Bundle",C517)),"Bundles",IF(ISNUMBER(SEARCH("Airtime",C517)),"Bundles",IF(ISNUMBER(SEARCH("Merchant",C517)),"Merchant Payment",IF(ISNUMBER(SEARCH("Offnet C2B",C517)),"Merchant Payment",IF(ISNUMBER(SEARCH("Offnet B2C",C517)),"Merchant Payment",IF(ISNUMBER(SEARCH("Customer Payment to Small",C517)),"Merchant Payment",IF(ISNUMBER(SEARCH("Payment to Small Business",C517)),"Merchant Payment",IF(ISNUMBER(SEARCH("Sent to",C517)),"Sent to Person",IF(ISNUMBER(SEARCH("Customer Transfer to",C517)),"Sent to Person",IF(ISNUMBER(SEARCH("Business Payment",C517)),"Money In",IF(ISNUMBER(SEARCH("Funds Received",C517)),"Money In",IF(ISNUMBER(SEARCH("Receive International",C517)),"Money In",IF(ISNUMBER(SEARCH("Send Money Reversal",C517)),"Money In",IF(ISNUMBER(SEARCH("Pay Utility Reversal",C517)),"Money In",IF(ISNUMBER(SEARCH("Customer Transfer",C517)),"Money In",IF(ISNUMBER(SEARCH("Ziidi",C517)),"Investment",IF(ISNUMBER(SEARCH("Nabo",C517)),"Investment",IF(ISNUMBER(SEARCH("Paybill Online",C517)),"Pay Bill",IF(ISNUMBER(SEARCH("Pay Bill",C517)),"Pay Bill",IF(ISNUMBER(SEARCH("Spotify",C517)),"Pay Bill",IF(ISNUMBER(SEARCH("M-Shwari",C517)),"Mshwari",IF(ISNUMBER(SEARCH("Mshwari",C517)),"Mshwari",IF(ISNUMBER(SEARCH("Withdrawal charge",C517)),"Fees",IF(ISNUMBER(SEARCH("Customer Withdrawal",C517)),"Fees",IF(ISNUMBER(SEARCH("charge",C517)),"Fees","Other")))))))))))))))))))))))))</f>
        <v>Bundles</v>
      </c>
      <c r="R517" s="1" t="str">
        <f aca="false">TEXT(B517,"MMM YYYY")</f>
        <v>Mar 2026</v>
      </c>
    </row>
    <row r="518" customFormat="false" ht="13.8" hidden="false" customHeight="false" outlineLevel="0" collapsed="false">
      <c r="A518" s="4" t="s">
        <v>1099</v>
      </c>
      <c r="B518" s="4" t="s">
        <v>1100</v>
      </c>
      <c r="C518" s="4" t="s">
        <v>1010</v>
      </c>
      <c r="D518" s="4" t="s">
        <v>18</v>
      </c>
      <c r="E518" s="4"/>
      <c r="F518" s="4" t="n">
        <v>50</v>
      </c>
      <c r="G518" s="4" t="n">
        <v>82</v>
      </c>
      <c r="L518" s="1" t="str">
        <f aca="false">IF(ISNUMBER(SEARCH("Bundle",C518)),"Bundles",IF(ISNUMBER(SEARCH("Airtime",C518)),"Bundles",IF(ISNUMBER(SEARCH("Merchant",C518)),"Merchant Payment",IF(ISNUMBER(SEARCH("Offnet C2B",C518)),"Merchant Payment",IF(ISNUMBER(SEARCH("Offnet B2C",C518)),"Merchant Payment",IF(ISNUMBER(SEARCH("Customer Payment to Small",C518)),"Merchant Payment",IF(ISNUMBER(SEARCH("Payment to Small Business",C518)),"Merchant Payment",IF(ISNUMBER(SEARCH("Sent to",C518)),"Sent to Person",IF(ISNUMBER(SEARCH("Customer Transfer to",C518)),"Sent to Person",IF(ISNUMBER(SEARCH("Business Payment",C518)),"Money In",IF(ISNUMBER(SEARCH("Funds Received",C518)),"Money In",IF(ISNUMBER(SEARCH("Receive International",C518)),"Money In",IF(ISNUMBER(SEARCH("Send Money Reversal",C518)),"Money In",IF(ISNUMBER(SEARCH("Pay Utility Reversal",C518)),"Money In",IF(ISNUMBER(SEARCH("Customer Transfer",C518)),"Money In",IF(ISNUMBER(SEARCH("Ziidi",C518)),"Investment",IF(ISNUMBER(SEARCH("Nabo",C518)),"Investment",IF(ISNUMBER(SEARCH("Paybill Online",C518)),"Pay Bill",IF(ISNUMBER(SEARCH("Pay Bill",C518)),"Pay Bill",IF(ISNUMBER(SEARCH("Spotify",C518)),"Pay Bill",IF(ISNUMBER(SEARCH("M-Shwari",C518)),"Mshwari",IF(ISNUMBER(SEARCH("Mshwari",C518)),"Mshwari",IF(ISNUMBER(SEARCH("Withdrawal charge",C518)),"Fees",IF(ISNUMBER(SEARCH("Customer Withdrawal",C518)),"Fees",IF(ISNUMBER(SEARCH("charge",C518)),"Fees","Other")))))))))))))))))))))))))</f>
        <v>Merchant Payment</v>
      </c>
      <c r="R518" s="1" t="str">
        <f aca="false">TEXT(B518,"MMM YYYY")</f>
        <v>Mar 2026</v>
      </c>
    </row>
    <row r="519" customFormat="false" ht="13.8" hidden="false" customHeight="false" outlineLevel="0" collapsed="false">
      <c r="A519" s="4" t="s">
        <v>1101</v>
      </c>
      <c r="B519" s="4" t="s">
        <v>1102</v>
      </c>
      <c r="C519" s="4" t="s">
        <v>1073</v>
      </c>
      <c r="D519" s="4" t="s">
        <v>18</v>
      </c>
      <c r="E519" s="4"/>
      <c r="F519" s="4" t="n">
        <v>20</v>
      </c>
      <c r="G519" s="4" t="n">
        <v>62</v>
      </c>
      <c r="L519" s="1" t="str">
        <f aca="false">IF(ISNUMBER(SEARCH("Bundle",C519)),"Bundles",IF(ISNUMBER(SEARCH("Airtime",C519)),"Bundles",IF(ISNUMBER(SEARCH("Merchant",C519)),"Merchant Payment",IF(ISNUMBER(SEARCH("Offnet C2B",C519)),"Merchant Payment",IF(ISNUMBER(SEARCH("Offnet B2C",C519)),"Merchant Payment",IF(ISNUMBER(SEARCH("Customer Payment to Small",C519)),"Merchant Payment",IF(ISNUMBER(SEARCH("Payment to Small Business",C519)),"Merchant Payment",IF(ISNUMBER(SEARCH("Sent to",C519)),"Sent to Person",IF(ISNUMBER(SEARCH("Customer Transfer to",C519)),"Sent to Person",IF(ISNUMBER(SEARCH("Business Payment",C519)),"Money In",IF(ISNUMBER(SEARCH("Funds Received",C519)),"Money In",IF(ISNUMBER(SEARCH("Receive International",C519)),"Money In",IF(ISNUMBER(SEARCH("Send Money Reversal",C519)),"Money In",IF(ISNUMBER(SEARCH("Pay Utility Reversal",C519)),"Money In",IF(ISNUMBER(SEARCH("Customer Transfer",C519)),"Money In",IF(ISNUMBER(SEARCH("Ziidi",C519)),"Investment",IF(ISNUMBER(SEARCH("Nabo",C519)),"Investment",IF(ISNUMBER(SEARCH("Paybill Online",C519)),"Pay Bill",IF(ISNUMBER(SEARCH("Pay Bill",C519)),"Pay Bill",IF(ISNUMBER(SEARCH("Spotify",C519)),"Pay Bill",IF(ISNUMBER(SEARCH("M-Shwari",C519)),"Mshwari",IF(ISNUMBER(SEARCH("Mshwari",C519)),"Mshwari",IF(ISNUMBER(SEARCH("Withdrawal charge",C519)),"Fees",IF(ISNUMBER(SEARCH("Customer Withdrawal",C519)),"Fees",IF(ISNUMBER(SEARCH("charge",C519)),"Fees","Other")))))))))))))))))))))))))</f>
        <v>Merchant Payment</v>
      </c>
      <c r="R519" s="1" t="str">
        <f aca="false">TEXT(B519,"MMM YYYY")</f>
        <v>Mar 2026</v>
      </c>
    </row>
    <row r="520" customFormat="false" ht="13.8" hidden="false" customHeight="false" outlineLevel="0" collapsed="false">
      <c r="A520" s="4" t="s">
        <v>1103</v>
      </c>
      <c r="B520" s="4" t="s">
        <v>1104</v>
      </c>
      <c r="C520" s="4" t="s">
        <v>1105</v>
      </c>
      <c r="D520" s="4" t="s">
        <v>18</v>
      </c>
      <c r="E520" s="4"/>
      <c r="F520" s="4" t="n">
        <v>50</v>
      </c>
      <c r="G520" s="4" t="n">
        <v>12</v>
      </c>
      <c r="L520" s="1" t="str">
        <f aca="false">IF(ISNUMBER(SEARCH("Bundle",C520)),"Bundles",IF(ISNUMBER(SEARCH("Airtime",C520)),"Bundles",IF(ISNUMBER(SEARCH("Merchant",C520)),"Merchant Payment",IF(ISNUMBER(SEARCH("Offnet C2B",C520)),"Merchant Payment",IF(ISNUMBER(SEARCH("Offnet B2C",C520)),"Merchant Payment",IF(ISNUMBER(SEARCH("Customer Payment to Small",C520)),"Merchant Payment",IF(ISNUMBER(SEARCH("Payment to Small Business",C520)),"Merchant Payment",IF(ISNUMBER(SEARCH("Sent to",C520)),"Sent to Person",IF(ISNUMBER(SEARCH("Customer Transfer to",C520)),"Sent to Person",IF(ISNUMBER(SEARCH("Business Payment",C520)),"Money In",IF(ISNUMBER(SEARCH("Funds Received",C520)),"Money In",IF(ISNUMBER(SEARCH("Receive International",C520)),"Money In",IF(ISNUMBER(SEARCH("Send Money Reversal",C520)),"Money In",IF(ISNUMBER(SEARCH("Pay Utility Reversal",C520)),"Money In",IF(ISNUMBER(SEARCH("Customer Transfer",C520)),"Money In",IF(ISNUMBER(SEARCH("Ziidi",C520)),"Investment",IF(ISNUMBER(SEARCH("Nabo",C520)),"Investment",IF(ISNUMBER(SEARCH("Paybill Online",C520)),"Pay Bill",IF(ISNUMBER(SEARCH("Pay Bill",C520)),"Pay Bill",IF(ISNUMBER(SEARCH("Spotify",C520)),"Pay Bill",IF(ISNUMBER(SEARCH("M-Shwari",C520)),"Mshwari",IF(ISNUMBER(SEARCH("Mshwari",C520)),"Mshwari",IF(ISNUMBER(SEARCH("Withdrawal charge",C520)),"Fees",IF(ISNUMBER(SEARCH("Customer Withdrawal",C520)),"Fees",IF(ISNUMBER(SEARCH("charge",C520)),"Fees","Other")))))))))))))))))))))))))</f>
        <v>Sent to Person</v>
      </c>
      <c r="R520" s="1" t="str">
        <f aca="false">TEXT(B520,"MMM YYYY")</f>
        <v>Mar 2026</v>
      </c>
    </row>
    <row r="521" customFormat="false" ht="13.8" hidden="false" customHeight="false" outlineLevel="0" collapsed="false">
      <c r="A521" s="4" t="s">
        <v>1106</v>
      </c>
      <c r="B521" s="4" t="s">
        <v>1107</v>
      </c>
      <c r="C521" s="4" t="s">
        <v>29</v>
      </c>
      <c r="D521" s="4" t="s">
        <v>18</v>
      </c>
      <c r="E521" s="4"/>
      <c r="F521" s="4" t="n">
        <v>10</v>
      </c>
      <c r="G521" s="4" t="n">
        <v>2</v>
      </c>
      <c r="L521" s="1" t="str">
        <f aca="false">IF(ISNUMBER(SEARCH("Bundle",C521)),"Bundles",IF(ISNUMBER(SEARCH("Airtime",C521)),"Bundles",IF(ISNUMBER(SEARCH("Merchant",C521)),"Merchant Payment",IF(ISNUMBER(SEARCH("Offnet C2B",C521)),"Merchant Payment",IF(ISNUMBER(SEARCH("Offnet B2C",C521)),"Merchant Payment",IF(ISNUMBER(SEARCH("Customer Payment to Small",C521)),"Merchant Payment",IF(ISNUMBER(SEARCH("Payment to Small Business",C521)),"Merchant Payment",IF(ISNUMBER(SEARCH("Sent to",C521)),"Sent to Person",IF(ISNUMBER(SEARCH("Customer Transfer to",C521)),"Sent to Person",IF(ISNUMBER(SEARCH("Business Payment",C521)),"Money In",IF(ISNUMBER(SEARCH("Funds Received",C521)),"Money In",IF(ISNUMBER(SEARCH("Receive International",C521)),"Money In",IF(ISNUMBER(SEARCH("Send Money Reversal",C521)),"Money In",IF(ISNUMBER(SEARCH("Pay Utility Reversal",C521)),"Money In",IF(ISNUMBER(SEARCH("Customer Transfer",C521)),"Money In",IF(ISNUMBER(SEARCH("Ziidi",C521)),"Investment",IF(ISNUMBER(SEARCH("Nabo",C521)),"Investment",IF(ISNUMBER(SEARCH("Paybill Online",C521)),"Pay Bill",IF(ISNUMBER(SEARCH("Pay Bill",C521)),"Pay Bill",IF(ISNUMBER(SEARCH("Spotify",C521)),"Pay Bill",IF(ISNUMBER(SEARCH("M-Shwari",C521)),"Mshwari",IF(ISNUMBER(SEARCH("Mshwari",C521)),"Mshwari",IF(ISNUMBER(SEARCH("Withdrawal charge",C521)),"Fees",IF(ISNUMBER(SEARCH("Customer Withdrawal",C521)),"Fees",IF(ISNUMBER(SEARCH("charge",C521)),"Fees","Other")))))))))))))))))))))))))</f>
        <v>Bundles</v>
      </c>
      <c r="R521" s="1" t="str">
        <f aca="false">TEXT(B521,"MMM YYYY")</f>
        <v>Mar 2026</v>
      </c>
    </row>
    <row r="522" customFormat="false" ht="13.8" hidden="false" customHeight="false" outlineLevel="0" collapsed="false">
      <c r="A522" s="4" t="s">
        <v>1108</v>
      </c>
      <c r="B522" s="4" t="s">
        <v>1109</v>
      </c>
      <c r="C522" s="4" t="s">
        <v>192</v>
      </c>
      <c r="D522" s="4" t="s">
        <v>18</v>
      </c>
      <c r="E522" s="4" t="n">
        <v>300</v>
      </c>
      <c r="F522" s="4"/>
      <c r="G522" s="4" t="n">
        <v>302</v>
      </c>
      <c r="L522" s="1" t="str">
        <f aca="false">IF(ISNUMBER(SEARCH("Bundle",C522)),"Bundles",IF(ISNUMBER(SEARCH("Airtime",C522)),"Bundles",IF(ISNUMBER(SEARCH("Merchant",C522)),"Merchant Payment",IF(ISNUMBER(SEARCH("Offnet C2B",C522)),"Merchant Payment",IF(ISNUMBER(SEARCH("Offnet B2C",C522)),"Merchant Payment",IF(ISNUMBER(SEARCH("Customer Payment to Small",C522)),"Merchant Payment",IF(ISNUMBER(SEARCH("Payment to Small Business",C522)),"Merchant Payment",IF(ISNUMBER(SEARCH("Sent to",C522)),"Sent to Person",IF(ISNUMBER(SEARCH("Customer Transfer to",C522)),"Sent to Person",IF(ISNUMBER(SEARCH("Business Payment",C522)),"Money In",IF(ISNUMBER(SEARCH("Funds Received",C522)),"Money In",IF(ISNUMBER(SEARCH("Receive International",C522)),"Money In",IF(ISNUMBER(SEARCH("Send Money Reversal",C522)),"Money In",IF(ISNUMBER(SEARCH("Pay Utility Reversal",C522)),"Money In",IF(ISNUMBER(SEARCH("Customer Transfer",C522)),"Money In",IF(ISNUMBER(SEARCH("Ziidi",C522)),"Investment",IF(ISNUMBER(SEARCH("Nabo",C522)),"Investment",IF(ISNUMBER(SEARCH("Paybill Online",C522)),"Pay Bill",IF(ISNUMBER(SEARCH("Pay Bill",C522)),"Pay Bill",IF(ISNUMBER(SEARCH("Spotify",C522)),"Pay Bill",IF(ISNUMBER(SEARCH("M-Shwari",C522)),"Mshwari",IF(ISNUMBER(SEARCH("Mshwari",C522)),"Mshwari",IF(ISNUMBER(SEARCH("Withdrawal charge",C522)),"Fees",IF(ISNUMBER(SEARCH("Customer Withdrawal",C522)),"Fees",IF(ISNUMBER(SEARCH("charge",C522)),"Fees","Other")))))))))))))))))))))))))</f>
        <v>Mshwari</v>
      </c>
      <c r="R522" s="1" t="str">
        <f aca="false">TEXT(B522,"MMM YYYY")</f>
        <v>Mar 2026</v>
      </c>
    </row>
    <row r="523" customFormat="false" ht="13.8" hidden="false" customHeight="false" outlineLevel="0" collapsed="false">
      <c r="A523" s="4" t="s">
        <v>1110</v>
      </c>
      <c r="B523" s="4" t="s">
        <v>1111</v>
      </c>
      <c r="C523" s="4" t="s">
        <v>1034</v>
      </c>
      <c r="D523" s="4" t="s">
        <v>18</v>
      </c>
      <c r="E523" s="4"/>
      <c r="F523" s="4" t="n">
        <v>20</v>
      </c>
      <c r="G523" s="4" t="n">
        <v>282</v>
      </c>
      <c r="L523" s="1" t="str">
        <f aca="false">IF(ISNUMBER(SEARCH("Bundle",C523)),"Bundles",IF(ISNUMBER(SEARCH("Airtime",C523)),"Bundles",IF(ISNUMBER(SEARCH("Merchant",C523)),"Merchant Payment",IF(ISNUMBER(SEARCH("Offnet C2B",C523)),"Merchant Payment",IF(ISNUMBER(SEARCH("Offnet B2C",C523)),"Merchant Payment",IF(ISNUMBER(SEARCH("Customer Payment to Small",C523)),"Merchant Payment",IF(ISNUMBER(SEARCH("Payment to Small Business",C523)),"Merchant Payment",IF(ISNUMBER(SEARCH("Sent to",C523)),"Sent to Person",IF(ISNUMBER(SEARCH("Customer Transfer to",C523)),"Sent to Person",IF(ISNUMBER(SEARCH("Business Payment",C523)),"Money In",IF(ISNUMBER(SEARCH("Funds Received",C523)),"Money In",IF(ISNUMBER(SEARCH("Receive International",C523)),"Money In",IF(ISNUMBER(SEARCH("Send Money Reversal",C523)),"Money In",IF(ISNUMBER(SEARCH("Pay Utility Reversal",C523)),"Money In",IF(ISNUMBER(SEARCH("Customer Transfer",C523)),"Money In",IF(ISNUMBER(SEARCH("Ziidi",C523)),"Investment",IF(ISNUMBER(SEARCH("Nabo",C523)),"Investment",IF(ISNUMBER(SEARCH("Paybill Online",C523)),"Pay Bill",IF(ISNUMBER(SEARCH("Pay Bill",C523)),"Pay Bill",IF(ISNUMBER(SEARCH("Spotify",C523)),"Pay Bill",IF(ISNUMBER(SEARCH("M-Shwari",C523)),"Mshwari",IF(ISNUMBER(SEARCH("Mshwari",C523)),"Mshwari",IF(ISNUMBER(SEARCH("Withdrawal charge",C523)),"Fees",IF(ISNUMBER(SEARCH("Customer Withdrawal",C523)),"Fees",IF(ISNUMBER(SEARCH("charge",C523)),"Fees","Other")))))))))))))))))))))))))</f>
        <v>Merchant Payment</v>
      </c>
      <c r="R523" s="1" t="str">
        <f aca="false">TEXT(B523,"MMM YYYY")</f>
        <v>Mar 2026</v>
      </c>
    </row>
    <row r="524" customFormat="false" ht="13.8" hidden="false" customHeight="false" outlineLevel="0" collapsed="false">
      <c r="A524" s="4" t="s">
        <v>1112</v>
      </c>
      <c r="B524" s="4" t="s">
        <v>1113</v>
      </c>
      <c r="C524" s="4" t="s">
        <v>1114</v>
      </c>
      <c r="D524" s="4" t="s">
        <v>18</v>
      </c>
      <c r="E524" s="4"/>
      <c r="F524" s="4" t="n">
        <v>100</v>
      </c>
      <c r="G524" s="4" t="n">
        <v>182</v>
      </c>
      <c r="L524" s="1" t="str">
        <f aca="false">IF(ISNUMBER(SEARCH("Bundle",C524)),"Bundles",IF(ISNUMBER(SEARCH("Airtime",C524)),"Bundles",IF(ISNUMBER(SEARCH("Merchant",C524)),"Merchant Payment",IF(ISNUMBER(SEARCH("Offnet C2B",C524)),"Merchant Payment",IF(ISNUMBER(SEARCH("Offnet B2C",C524)),"Merchant Payment",IF(ISNUMBER(SEARCH("Customer Payment to Small",C524)),"Merchant Payment",IF(ISNUMBER(SEARCH("Payment to Small Business",C524)),"Merchant Payment",IF(ISNUMBER(SEARCH("Sent to",C524)),"Sent to Person",IF(ISNUMBER(SEARCH("Customer Transfer to",C524)),"Sent to Person",IF(ISNUMBER(SEARCH("Business Payment",C524)),"Money In",IF(ISNUMBER(SEARCH("Funds Received",C524)),"Money In",IF(ISNUMBER(SEARCH("Receive International",C524)),"Money In",IF(ISNUMBER(SEARCH("Send Money Reversal",C524)),"Money In",IF(ISNUMBER(SEARCH("Pay Utility Reversal",C524)),"Money In",IF(ISNUMBER(SEARCH("Customer Transfer",C524)),"Money In",IF(ISNUMBER(SEARCH("Ziidi",C524)),"Investment",IF(ISNUMBER(SEARCH("Nabo",C524)),"Investment",IF(ISNUMBER(SEARCH("Paybill Online",C524)),"Pay Bill",IF(ISNUMBER(SEARCH("Pay Bill",C524)),"Pay Bill",IF(ISNUMBER(SEARCH("Spotify",C524)),"Pay Bill",IF(ISNUMBER(SEARCH("M-Shwari",C524)),"Mshwari",IF(ISNUMBER(SEARCH("Mshwari",C524)),"Mshwari",IF(ISNUMBER(SEARCH("Withdrawal charge",C524)),"Fees",IF(ISNUMBER(SEARCH("Customer Withdrawal",C524)),"Fees",IF(ISNUMBER(SEARCH("charge",C524)),"Fees","Other")))))))))))))))))))))))))</f>
        <v>Merchant Payment</v>
      </c>
      <c r="R524" s="1" t="str">
        <f aca="false">TEXT(B524,"MMM YYYY")</f>
        <v>Mar 2026</v>
      </c>
    </row>
    <row r="525" customFormat="false" ht="13.8" hidden="false" customHeight="false" outlineLevel="0" collapsed="false">
      <c r="A525" s="4" t="s">
        <v>1115</v>
      </c>
      <c r="B525" s="4" t="s">
        <v>1116</v>
      </c>
      <c r="C525" s="4" t="s">
        <v>29</v>
      </c>
      <c r="D525" s="4" t="s">
        <v>18</v>
      </c>
      <c r="E525" s="4"/>
      <c r="F525" s="4" t="n">
        <v>20</v>
      </c>
      <c r="G525" s="4" t="n">
        <v>162</v>
      </c>
      <c r="L525" s="1" t="str">
        <f aca="false">IF(ISNUMBER(SEARCH("Bundle",C525)),"Bundles",IF(ISNUMBER(SEARCH("Airtime",C525)),"Bundles",IF(ISNUMBER(SEARCH("Merchant",C525)),"Merchant Payment",IF(ISNUMBER(SEARCH("Offnet C2B",C525)),"Merchant Payment",IF(ISNUMBER(SEARCH("Offnet B2C",C525)),"Merchant Payment",IF(ISNUMBER(SEARCH("Customer Payment to Small",C525)),"Merchant Payment",IF(ISNUMBER(SEARCH("Payment to Small Business",C525)),"Merchant Payment",IF(ISNUMBER(SEARCH("Sent to",C525)),"Sent to Person",IF(ISNUMBER(SEARCH("Customer Transfer to",C525)),"Sent to Person",IF(ISNUMBER(SEARCH("Business Payment",C525)),"Money In",IF(ISNUMBER(SEARCH("Funds Received",C525)),"Money In",IF(ISNUMBER(SEARCH("Receive International",C525)),"Money In",IF(ISNUMBER(SEARCH("Send Money Reversal",C525)),"Money In",IF(ISNUMBER(SEARCH("Pay Utility Reversal",C525)),"Money In",IF(ISNUMBER(SEARCH("Customer Transfer",C525)),"Money In",IF(ISNUMBER(SEARCH("Ziidi",C525)),"Investment",IF(ISNUMBER(SEARCH("Nabo",C525)),"Investment",IF(ISNUMBER(SEARCH("Paybill Online",C525)),"Pay Bill",IF(ISNUMBER(SEARCH("Pay Bill",C525)),"Pay Bill",IF(ISNUMBER(SEARCH("Spotify",C525)),"Pay Bill",IF(ISNUMBER(SEARCH("M-Shwari",C525)),"Mshwari",IF(ISNUMBER(SEARCH("Mshwari",C525)),"Mshwari",IF(ISNUMBER(SEARCH("Withdrawal charge",C525)),"Fees",IF(ISNUMBER(SEARCH("Customer Withdrawal",C525)),"Fees",IF(ISNUMBER(SEARCH("charge",C525)),"Fees","Other")))))))))))))))))))))))))</f>
        <v>Bundles</v>
      </c>
      <c r="R525" s="1" t="str">
        <f aca="false">TEXT(B525,"MMM YYYY")</f>
        <v>Mar 2026</v>
      </c>
    </row>
    <row r="526" customFormat="false" ht="13.8" hidden="false" customHeight="false" outlineLevel="0" collapsed="false">
      <c r="A526" s="4" t="s">
        <v>1117</v>
      </c>
      <c r="B526" s="4" t="s">
        <v>1118</v>
      </c>
      <c r="C526" s="4" t="s">
        <v>29</v>
      </c>
      <c r="D526" s="4" t="s">
        <v>18</v>
      </c>
      <c r="E526" s="4"/>
      <c r="F526" s="4" t="n">
        <v>10</v>
      </c>
      <c r="G526" s="4" t="n">
        <v>152</v>
      </c>
      <c r="L526" s="1" t="str">
        <f aca="false">IF(ISNUMBER(SEARCH("Bundle",C526)),"Bundles",IF(ISNUMBER(SEARCH("Airtime",C526)),"Bundles",IF(ISNUMBER(SEARCH("Merchant",C526)),"Merchant Payment",IF(ISNUMBER(SEARCH("Offnet C2B",C526)),"Merchant Payment",IF(ISNUMBER(SEARCH("Offnet B2C",C526)),"Merchant Payment",IF(ISNUMBER(SEARCH("Customer Payment to Small",C526)),"Merchant Payment",IF(ISNUMBER(SEARCH("Payment to Small Business",C526)),"Merchant Payment",IF(ISNUMBER(SEARCH("Sent to",C526)),"Sent to Person",IF(ISNUMBER(SEARCH("Customer Transfer to",C526)),"Sent to Person",IF(ISNUMBER(SEARCH("Business Payment",C526)),"Money In",IF(ISNUMBER(SEARCH("Funds Received",C526)),"Money In",IF(ISNUMBER(SEARCH("Receive International",C526)),"Money In",IF(ISNUMBER(SEARCH("Send Money Reversal",C526)),"Money In",IF(ISNUMBER(SEARCH("Pay Utility Reversal",C526)),"Money In",IF(ISNUMBER(SEARCH("Customer Transfer",C526)),"Money In",IF(ISNUMBER(SEARCH("Ziidi",C526)),"Investment",IF(ISNUMBER(SEARCH("Nabo",C526)),"Investment",IF(ISNUMBER(SEARCH("Paybill Online",C526)),"Pay Bill",IF(ISNUMBER(SEARCH("Pay Bill",C526)),"Pay Bill",IF(ISNUMBER(SEARCH("Spotify",C526)),"Pay Bill",IF(ISNUMBER(SEARCH("M-Shwari",C526)),"Mshwari",IF(ISNUMBER(SEARCH("Mshwari",C526)),"Mshwari",IF(ISNUMBER(SEARCH("Withdrawal charge",C526)),"Fees",IF(ISNUMBER(SEARCH("Customer Withdrawal",C526)),"Fees",IF(ISNUMBER(SEARCH("charge",C526)),"Fees","Other")))))))))))))))))))))))))</f>
        <v>Bundles</v>
      </c>
      <c r="R526" s="1" t="str">
        <f aca="false">TEXT(B526,"MMM YYYY")</f>
        <v>Mar 2026</v>
      </c>
    </row>
    <row r="527" customFormat="false" ht="13.8" hidden="false" customHeight="false" outlineLevel="0" collapsed="false">
      <c r="A527" s="4" t="s">
        <v>1119</v>
      </c>
      <c r="B527" s="4" t="s">
        <v>1120</v>
      </c>
      <c r="C527" s="4" t="s">
        <v>29</v>
      </c>
      <c r="D527" s="4" t="s">
        <v>18</v>
      </c>
      <c r="E527" s="4"/>
      <c r="F527" s="4" t="n">
        <v>25</v>
      </c>
      <c r="G527" s="4" t="n">
        <v>127</v>
      </c>
      <c r="L527" s="1" t="str">
        <f aca="false">IF(ISNUMBER(SEARCH("Bundle",C527)),"Bundles",IF(ISNUMBER(SEARCH("Airtime",C527)),"Bundles",IF(ISNUMBER(SEARCH("Merchant",C527)),"Merchant Payment",IF(ISNUMBER(SEARCH("Offnet C2B",C527)),"Merchant Payment",IF(ISNUMBER(SEARCH("Offnet B2C",C527)),"Merchant Payment",IF(ISNUMBER(SEARCH("Customer Payment to Small",C527)),"Merchant Payment",IF(ISNUMBER(SEARCH("Payment to Small Business",C527)),"Merchant Payment",IF(ISNUMBER(SEARCH("Sent to",C527)),"Sent to Person",IF(ISNUMBER(SEARCH("Customer Transfer to",C527)),"Sent to Person",IF(ISNUMBER(SEARCH("Business Payment",C527)),"Money In",IF(ISNUMBER(SEARCH("Funds Received",C527)),"Money In",IF(ISNUMBER(SEARCH("Receive International",C527)),"Money In",IF(ISNUMBER(SEARCH("Send Money Reversal",C527)),"Money In",IF(ISNUMBER(SEARCH("Pay Utility Reversal",C527)),"Money In",IF(ISNUMBER(SEARCH("Customer Transfer",C527)),"Money In",IF(ISNUMBER(SEARCH("Ziidi",C527)),"Investment",IF(ISNUMBER(SEARCH("Nabo",C527)),"Investment",IF(ISNUMBER(SEARCH("Paybill Online",C527)),"Pay Bill",IF(ISNUMBER(SEARCH("Pay Bill",C527)),"Pay Bill",IF(ISNUMBER(SEARCH("Spotify",C527)),"Pay Bill",IF(ISNUMBER(SEARCH("M-Shwari",C527)),"Mshwari",IF(ISNUMBER(SEARCH("Mshwari",C527)),"Mshwari",IF(ISNUMBER(SEARCH("Withdrawal charge",C527)),"Fees",IF(ISNUMBER(SEARCH("Customer Withdrawal",C527)),"Fees",IF(ISNUMBER(SEARCH("charge",C527)),"Fees","Other")))))))))))))))))))))))))</f>
        <v>Bundles</v>
      </c>
      <c r="R527" s="1" t="str">
        <f aca="false">TEXT(B527,"MMM YYYY")</f>
        <v>Mar 2026</v>
      </c>
    </row>
    <row r="528" customFormat="false" ht="13.8" hidden="false" customHeight="false" outlineLevel="0" collapsed="false">
      <c r="A528" s="4" t="s">
        <v>1121</v>
      </c>
      <c r="B528" s="4" t="s">
        <v>1122</v>
      </c>
      <c r="C528" s="4" t="s">
        <v>445</v>
      </c>
      <c r="D528" s="4" t="s">
        <v>18</v>
      </c>
      <c r="E528" s="4" t="n">
        <v>2000</v>
      </c>
      <c r="F528" s="4"/>
      <c r="G528" s="4" t="n">
        <v>2127</v>
      </c>
      <c r="L528" s="1" t="str">
        <f aca="false">IF(ISNUMBER(SEARCH("Bundle",C528)),"Bundles",IF(ISNUMBER(SEARCH("Airtime",C528)),"Bundles",IF(ISNUMBER(SEARCH("Merchant",C528)),"Merchant Payment",IF(ISNUMBER(SEARCH("Offnet C2B",C528)),"Merchant Payment",IF(ISNUMBER(SEARCH("Offnet B2C",C528)),"Merchant Payment",IF(ISNUMBER(SEARCH("Customer Payment to Small",C528)),"Merchant Payment",IF(ISNUMBER(SEARCH("Payment to Small Business",C528)),"Merchant Payment",IF(ISNUMBER(SEARCH("Sent to",C528)),"Sent to Person",IF(ISNUMBER(SEARCH("Customer Transfer to",C528)),"Sent to Person",IF(ISNUMBER(SEARCH("Business Payment",C528)),"Money In",IF(ISNUMBER(SEARCH("Funds Received",C528)),"Money In",IF(ISNUMBER(SEARCH("Receive International",C528)),"Money In",IF(ISNUMBER(SEARCH("Send Money Reversal",C528)),"Money In",IF(ISNUMBER(SEARCH("Pay Utility Reversal",C528)),"Money In",IF(ISNUMBER(SEARCH("Customer Transfer",C528)),"Money In",IF(ISNUMBER(SEARCH("Ziidi",C528)),"Investment",IF(ISNUMBER(SEARCH("Nabo",C528)),"Investment",IF(ISNUMBER(SEARCH("Paybill Online",C528)),"Pay Bill",IF(ISNUMBER(SEARCH("Pay Bill",C528)),"Pay Bill",IF(ISNUMBER(SEARCH("Spotify",C528)),"Pay Bill",IF(ISNUMBER(SEARCH("M-Shwari",C528)),"Mshwari",IF(ISNUMBER(SEARCH("Mshwari",C528)),"Mshwari",IF(ISNUMBER(SEARCH("Withdrawal charge",C528)),"Fees",IF(ISNUMBER(SEARCH("Customer Withdrawal",C528)),"Fees",IF(ISNUMBER(SEARCH("charge",C528)),"Fees","Other")))))))))))))))))))))))))</f>
        <v>Money In</v>
      </c>
      <c r="R528" s="1" t="str">
        <f aca="false">TEXT(B528,"MMM YYYY")</f>
        <v>Mar 2026</v>
      </c>
    </row>
    <row r="529" customFormat="false" ht="13.8" hidden="false" customHeight="false" outlineLevel="0" collapsed="false">
      <c r="A529" s="4" t="s">
        <v>1123</v>
      </c>
      <c r="B529" s="4" t="s">
        <v>1124</v>
      </c>
      <c r="C529" s="4" t="s">
        <v>29</v>
      </c>
      <c r="D529" s="4" t="s">
        <v>18</v>
      </c>
      <c r="E529" s="4"/>
      <c r="F529" s="4" t="n">
        <v>20</v>
      </c>
      <c r="G529" s="4" t="n">
        <v>2107</v>
      </c>
      <c r="L529" s="1" t="str">
        <f aca="false">IF(ISNUMBER(SEARCH("Bundle",C529)),"Bundles",IF(ISNUMBER(SEARCH("Airtime",C529)),"Bundles",IF(ISNUMBER(SEARCH("Merchant",C529)),"Merchant Payment",IF(ISNUMBER(SEARCH("Offnet C2B",C529)),"Merchant Payment",IF(ISNUMBER(SEARCH("Offnet B2C",C529)),"Merchant Payment",IF(ISNUMBER(SEARCH("Customer Payment to Small",C529)),"Merchant Payment",IF(ISNUMBER(SEARCH("Payment to Small Business",C529)),"Merchant Payment",IF(ISNUMBER(SEARCH("Sent to",C529)),"Sent to Person",IF(ISNUMBER(SEARCH("Customer Transfer to",C529)),"Sent to Person",IF(ISNUMBER(SEARCH("Business Payment",C529)),"Money In",IF(ISNUMBER(SEARCH("Funds Received",C529)),"Money In",IF(ISNUMBER(SEARCH("Receive International",C529)),"Money In",IF(ISNUMBER(SEARCH("Send Money Reversal",C529)),"Money In",IF(ISNUMBER(SEARCH("Pay Utility Reversal",C529)),"Money In",IF(ISNUMBER(SEARCH("Customer Transfer",C529)),"Money In",IF(ISNUMBER(SEARCH("Ziidi",C529)),"Investment",IF(ISNUMBER(SEARCH("Nabo",C529)),"Investment",IF(ISNUMBER(SEARCH("Paybill Online",C529)),"Pay Bill",IF(ISNUMBER(SEARCH("Pay Bill",C529)),"Pay Bill",IF(ISNUMBER(SEARCH("Spotify",C529)),"Pay Bill",IF(ISNUMBER(SEARCH("M-Shwari",C529)),"Mshwari",IF(ISNUMBER(SEARCH("Mshwari",C529)),"Mshwari",IF(ISNUMBER(SEARCH("Withdrawal charge",C529)),"Fees",IF(ISNUMBER(SEARCH("Customer Withdrawal",C529)),"Fees",IF(ISNUMBER(SEARCH("charge",C529)),"Fees","Other")))))))))))))))))))))))))</f>
        <v>Bundles</v>
      </c>
      <c r="R529" s="1" t="str">
        <f aca="false">TEXT(B529,"MMM YYYY")</f>
        <v>Mar 2026</v>
      </c>
    </row>
    <row r="530" customFormat="false" ht="13.8" hidden="false" customHeight="false" outlineLevel="0" collapsed="false">
      <c r="A530" s="4" t="s">
        <v>1125</v>
      </c>
      <c r="B530" s="4" t="s">
        <v>1126</v>
      </c>
      <c r="C530" s="4" t="s">
        <v>29</v>
      </c>
      <c r="D530" s="4" t="s">
        <v>18</v>
      </c>
      <c r="E530" s="4"/>
      <c r="F530" s="4" t="n">
        <v>20</v>
      </c>
      <c r="G530" s="4" t="n">
        <v>2087</v>
      </c>
      <c r="L530" s="1" t="str">
        <f aca="false">IF(ISNUMBER(SEARCH("Bundle",C530)),"Bundles",IF(ISNUMBER(SEARCH("Airtime",C530)),"Bundles",IF(ISNUMBER(SEARCH("Merchant",C530)),"Merchant Payment",IF(ISNUMBER(SEARCH("Offnet C2B",C530)),"Merchant Payment",IF(ISNUMBER(SEARCH("Offnet B2C",C530)),"Merchant Payment",IF(ISNUMBER(SEARCH("Customer Payment to Small",C530)),"Merchant Payment",IF(ISNUMBER(SEARCH("Payment to Small Business",C530)),"Merchant Payment",IF(ISNUMBER(SEARCH("Sent to",C530)),"Sent to Person",IF(ISNUMBER(SEARCH("Customer Transfer to",C530)),"Sent to Person",IF(ISNUMBER(SEARCH("Business Payment",C530)),"Money In",IF(ISNUMBER(SEARCH("Funds Received",C530)),"Money In",IF(ISNUMBER(SEARCH("Receive International",C530)),"Money In",IF(ISNUMBER(SEARCH("Send Money Reversal",C530)),"Money In",IF(ISNUMBER(SEARCH("Pay Utility Reversal",C530)),"Money In",IF(ISNUMBER(SEARCH("Customer Transfer",C530)),"Money In",IF(ISNUMBER(SEARCH("Ziidi",C530)),"Investment",IF(ISNUMBER(SEARCH("Nabo",C530)),"Investment",IF(ISNUMBER(SEARCH("Paybill Online",C530)),"Pay Bill",IF(ISNUMBER(SEARCH("Pay Bill",C530)),"Pay Bill",IF(ISNUMBER(SEARCH("Spotify",C530)),"Pay Bill",IF(ISNUMBER(SEARCH("M-Shwari",C530)),"Mshwari",IF(ISNUMBER(SEARCH("Mshwari",C530)),"Mshwari",IF(ISNUMBER(SEARCH("Withdrawal charge",C530)),"Fees",IF(ISNUMBER(SEARCH("Customer Withdrawal",C530)),"Fees",IF(ISNUMBER(SEARCH("charge",C530)),"Fees","Other")))))))))))))))))))))))))</f>
        <v>Bundles</v>
      </c>
      <c r="R530" s="1" t="str">
        <f aca="false">TEXT(B530,"MMM YYYY")</f>
        <v>Mar 2026</v>
      </c>
    </row>
    <row r="531" customFormat="false" ht="13.8" hidden="false" customHeight="false" outlineLevel="0" collapsed="false">
      <c r="A531" s="4" t="s">
        <v>1127</v>
      </c>
      <c r="B531" s="4" t="s">
        <v>1128</v>
      </c>
      <c r="C531" s="4" t="s">
        <v>29</v>
      </c>
      <c r="D531" s="4" t="s">
        <v>18</v>
      </c>
      <c r="E531" s="4"/>
      <c r="F531" s="4" t="n">
        <v>10</v>
      </c>
      <c r="G531" s="4" t="n">
        <v>2077</v>
      </c>
      <c r="L531" s="1" t="str">
        <f aca="false">IF(ISNUMBER(SEARCH("Bundle",C531)),"Bundles",IF(ISNUMBER(SEARCH("Airtime",C531)),"Bundles",IF(ISNUMBER(SEARCH("Merchant",C531)),"Merchant Payment",IF(ISNUMBER(SEARCH("Offnet C2B",C531)),"Merchant Payment",IF(ISNUMBER(SEARCH("Offnet B2C",C531)),"Merchant Payment",IF(ISNUMBER(SEARCH("Customer Payment to Small",C531)),"Merchant Payment",IF(ISNUMBER(SEARCH("Payment to Small Business",C531)),"Merchant Payment",IF(ISNUMBER(SEARCH("Sent to",C531)),"Sent to Person",IF(ISNUMBER(SEARCH("Customer Transfer to",C531)),"Sent to Person",IF(ISNUMBER(SEARCH("Business Payment",C531)),"Money In",IF(ISNUMBER(SEARCH("Funds Received",C531)),"Money In",IF(ISNUMBER(SEARCH("Receive International",C531)),"Money In",IF(ISNUMBER(SEARCH("Send Money Reversal",C531)),"Money In",IF(ISNUMBER(SEARCH("Pay Utility Reversal",C531)),"Money In",IF(ISNUMBER(SEARCH("Customer Transfer",C531)),"Money In",IF(ISNUMBER(SEARCH("Ziidi",C531)),"Investment",IF(ISNUMBER(SEARCH("Nabo",C531)),"Investment",IF(ISNUMBER(SEARCH("Paybill Online",C531)),"Pay Bill",IF(ISNUMBER(SEARCH("Pay Bill",C531)),"Pay Bill",IF(ISNUMBER(SEARCH("Spotify",C531)),"Pay Bill",IF(ISNUMBER(SEARCH("M-Shwari",C531)),"Mshwari",IF(ISNUMBER(SEARCH("Mshwari",C531)),"Mshwari",IF(ISNUMBER(SEARCH("Withdrawal charge",C531)),"Fees",IF(ISNUMBER(SEARCH("Customer Withdrawal",C531)),"Fees",IF(ISNUMBER(SEARCH("charge",C531)),"Fees","Other")))))))))))))))))))))))))</f>
        <v>Bundles</v>
      </c>
      <c r="R531" s="1" t="str">
        <f aca="false">TEXT(B531,"MMM YYYY")</f>
        <v>Mar 2026</v>
      </c>
    </row>
    <row r="532" customFormat="false" ht="13.8" hidden="false" customHeight="false" outlineLevel="0" collapsed="false">
      <c r="A532" s="4" t="s">
        <v>1129</v>
      </c>
      <c r="B532" s="4" t="s">
        <v>1130</v>
      </c>
      <c r="C532" s="4" t="s">
        <v>1131</v>
      </c>
      <c r="D532" s="4" t="s">
        <v>18</v>
      </c>
      <c r="E532" s="4"/>
      <c r="F532" s="4" t="n">
        <v>100</v>
      </c>
      <c r="G532" s="4" t="n">
        <v>1977</v>
      </c>
      <c r="L532" s="1" t="str">
        <f aca="false">IF(ISNUMBER(SEARCH("Bundle",C532)),"Bundles",IF(ISNUMBER(SEARCH("Airtime",C532)),"Bundles",IF(ISNUMBER(SEARCH("Merchant",C532)),"Merchant Payment",IF(ISNUMBER(SEARCH("Offnet C2B",C532)),"Merchant Payment",IF(ISNUMBER(SEARCH("Offnet B2C",C532)),"Merchant Payment",IF(ISNUMBER(SEARCH("Customer Payment to Small",C532)),"Merchant Payment",IF(ISNUMBER(SEARCH("Payment to Small Business",C532)),"Merchant Payment",IF(ISNUMBER(SEARCH("Sent to",C532)),"Sent to Person",IF(ISNUMBER(SEARCH("Customer Transfer to",C532)),"Sent to Person",IF(ISNUMBER(SEARCH("Business Payment",C532)),"Money In",IF(ISNUMBER(SEARCH("Funds Received",C532)),"Money In",IF(ISNUMBER(SEARCH("Receive International",C532)),"Money In",IF(ISNUMBER(SEARCH("Send Money Reversal",C532)),"Money In",IF(ISNUMBER(SEARCH("Pay Utility Reversal",C532)),"Money In",IF(ISNUMBER(SEARCH("Customer Transfer",C532)),"Money In",IF(ISNUMBER(SEARCH("Ziidi",C532)),"Investment",IF(ISNUMBER(SEARCH("Nabo",C532)),"Investment",IF(ISNUMBER(SEARCH("Paybill Online",C532)),"Pay Bill",IF(ISNUMBER(SEARCH("Pay Bill",C532)),"Pay Bill",IF(ISNUMBER(SEARCH("Spotify",C532)),"Pay Bill",IF(ISNUMBER(SEARCH("M-Shwari",C532)),"Mshwari",IF(ISNUMBER(SEARCH("Mshwari",C532)),"Mshwari",IF(ISNUMBER(SEARCH("Withdrawal charge",C532)),"Fees",IF(ISNUMBER(SEARCH("Customer Withdrawal",C532)),"Fees",IF(ISNUMBER(SEARCH("charge",C532)),"Fees","Other")))))))))))))))))))))))))</f>
        <v>Sent to Person</v>
      </c>
      <c r="R532" s="1" t="str">
        <f aca="false">TEXT(B532,"MMM YYYY")</f>
        <v>Mar 2026</v>
      </c>
    </row>
    <row r="533" customFormat="false" ht="13.8" hidden="false" customHeight="false" outlineLevel="0" collapsed="false">
      <c r="A533" s="4" t="s">
        <v>1132</v>
      </c>
      <c r="B533" s="4" t="s">
        <v>1133</v>
      </c>
      <c r="C533" s="4" t="s">
        <v>1086</v>
      </c>
      <c r="D533" s="4" t="s">
        <v>18</v>
      </c>
      <c r="E533" s="4"/>
      <c r="F533" s="4" t="n">
        <v>100</v>
      </c>
      <c r="G533" s="4" t="n">
        <v>1877</v>
      </c>
      <c r="L533" s="1" t="str">
        <f aca="false">IF(ISNUMBER(SEARCH("Bundle",C533)),"Bundles",IF(ISNUMBER(SEARCH("Airtime",C533)),"Bundles",IF(ISNUMBER(SEARCH("Merchant",C533)),"Merchant Payment",IF(ISNUMBER(SEARCH("Offnet C2B",C533)),"Merchant Payment",IF(ISNUMBER(SEARCH("Offnet B2C",C533)),"Merchant Payment",IF(ISNUMBER(SEARCH("Customer Payment to Small",C533)),"Merchant Payment",IF(ISNUMBER(SEARCH("Payment to Small Business",C533)),"Merchant Payment",IF(ISNUMBER(SEARCH("Sent to",C533)),"Sent to Person",IF(ISNUMBER(SEARCH("Customer Transfer to",C533)),"Sent to Person",IF(ISNUMBER(SEARCH("Business Payment",C533)),"Money In",IF(ISNUMBER(SEARCH("Funds Received",C533)),"Money In",IF(ISNUMBER(SEARCH("Receive International",C533)),"Money In",IF(ISNUMBER(SEARCH("Send Money Reversal",C533)),"Money In",IF(ISNUMBER(SEARCH("Pay Utility Reversal",C533)),"Money In",IF(ISNUMBER(SEARCH("Customer Transfer",C533)),"Money In",IF(ISNUMBER(SEARCH("Ziidi",C533)),"Investment",IF(ISNUMBER(SEARCH("Nabo",C533)),"Investment",IF(ISNUMBER(SEARCH("Paybill Online",C533)),"Pay Bill",IF(ISNUMBER(SEARCH("Pay Bill",C533)),"Pay Bill",IF(ISNUMBER(SEARCH("Spotify",C533)),"Pay Bill",IF(ISNUMBER(SEARCH("M-Shwari",C533)),"Mshwari",IF(ISNUMBER(SEARCH("Mshwari",C533)),"Mshwari",IF(ISNUMBER(SEARCH("Withdrawal charge",C533)),"Fees",IF(ISNUMBER(SEARCH("Customer Withdrawal",C533)),"Fees",IF(ISNUMBER(SEARCH("charge",C533)),"Fees","Other")))))))))))))))))))))))))</f>
        <v>Sent to Person</v>
      </c>
      <c r="R533" s="1" t="str">
        <f aca="false">TEXT(B533,"MMM YYYY")</f>
        <v>Mar 2026</v>
      </c>
    </row>
    <row r="534" customFormat="false" ht="13.8" hidden="false" customHeight="false" outlineLevel="0" collapsed="false">
      <c r="A534" s="4" t="s">
        <v>1134</v>
      </c>
      <c r="B534" s="4" t="s">
        <v>1135</v>
      </c>
      <c r="C534" s="4" t="s">
        <v>666</v>
      </c>
      <c r="D534" s="4" t="s">
        <v>18</v>
      </c>
      <c r="E534" s="4"/>
      <c r="F534" s="4" t="n">
        <v>30</v>
      </c>
      <c r="G534" s="4" t="n">
        <v>1847</v>
      </c>
      <c r="L534" s="1" t="str">
        <f aca="false">IF(ISNUMBER(SEARCH("Bundle",C534)),"Bundles",IF(ISNUMBER(SEARCH("Airtime",C534)),"Bundles",IF(ISNUMBER(SEARCH("Merchant",C534)),"Merchant Payment",IF(ISNUMBER(SEARCH("Offnet C2B",C534)),"Merchant Payment",IF(ISNUMBER(SEARCH("Offnet B2C",C534)),"Merchant Payment",IF(ISNUMBER(SEARCH("Customer Payment to Small",C534)),"Merchant Payment",IF(ISNUMBER(SEARCH("Payment to Small Business",C534)),"Merchant Payment",IF(ISNUMBER(SEARCH("Sent to",C534)),"Sent to Person",IF(ISNUMBER(SEARCH("Customer Transfer to",C534)),"Sent to Person",IF(ISNUMBER(SEARCH("Business Payment",C534)),"Money In",IF(ISNUMBER(SEARCH("Funds Received",C534)),"Money In",IF(ISNUMBER(SEARCH("Receive International",C534)),"Money In",IF(ISNUMBER(SEARCH("Send Money Reversal",C534)),"Money In",IF(ISNUMBER(SEARCH("Pay Utility Reversal",C534)),"Money In",IF(ISNUMBER(SEARCH("Customer Transfer",C534)),"Money In",IF(ISNUMBER(SEARCH("Ziidi",C534)),"Investment",IF(ISNUMBER(SEARCH("Nabo",C534)),"Investment",IF(ISNUMBER(SEARCH("Paybill Online",C534)),"Pay Bill",IF(ISNUMBER(SEARCH("Pay Bill",C534)),"Pay Bill",IF(ISNUMBER(SEARCH("Spotify",C534)),"Pay Bill",IF(ISNUMBER(SEARCH("M-Shwari",C534)),"Mshwari",IF(ISNUMBER(SEARCH("Mshwari",C534)),"Mshwari",IF(ISNUMBER(SEARCH("Withdrawal charge",C534)),"Fees",IF(ISNUMBER(SEARCH("Customer Withdrawal",C534)),"Fees",IF(ISNUMBER(SEARCH("charge",C534)),"Fees","Other")))))))))))))))))))))))))</f>
        <v>Merchant Payment</v>
      </c>
      <c r="R534" s="1" t="str">
        <f aca="false">TEXT(B534,"MMM YYYY")</f>
        <v>Mar 2026</v>
      </c>
    </row>
    <row r="535" customFormat="false" ht="13.8" hidden="false" customHeight="false" outlineLevel="0" collapsed="false">
      <c r="A535" s="4" t="s">
        <v>1136</v>
      </c>
      <c r="B535" s="4" t="s">
        <v>1137</v>
      </c>
      <c r="C535" s="4" t="s">
        <v>29</v>
      </c>
      <c r="D535" s="4" t="s">
        <v>18</v>
      </c>
      <c r="E535" s="4"/>
      <c r="F535" s="4" t="n">
        <v>10</v>
      </c>
      <c r="G535" s="4" t="n">
        <v>1837</v>
      </c>
      <c r="L535" s="1" t="str">
        <f aca="false">IF(ISNUMBER(SEARCH("Bundle",C535)),"Bundles",IF(ISNUMBER(SEARCH("Airtime",C535)),"Bundles",IF(ISNUMBER(SEARCH("Merchant",C535)),"Merchant Payment",IF(ISNUMBER(SEARCH("Offnet C2B",C535)),"Merchant Payment",IF(ISNUMBER(SEARCH("Offnet B2C",C535)),"Merchant Payment",IF(ISNUMBER(SEARCH("Customer Payment to Small",C535)),"Merchant Payment",IF(ISNUMBER(SEARCH("Payment to Small Business",C535)),"Merchant Payment",IF(ISNUMBER(SEARCH("Sent to",C535)),"Sent to Person",IF(ISNUMBER(SEARCH("Customer Transfer to",C535)),"Sent to Person",IF(ISNUMBER(SEARCH("Business Payment",C535)),"Money In",IF(ISNUMBER(SEARCH("Funds Received",C535)),"Money In",IF(ISNUMBER(SEARCH("Receive International",C535)),"Money In",IF(ISNUMBER(SEARCH("Send Money Reversal",C535)),"Money In",IF(ISNUMBER(SEARCH("Pay Utility Reversal",C535)),"Money In",IF(ISNUMBER(SEARCH("Customer Transfer",C535)),"Money In",IF(ISNUMBER(SEARCH("Ziidi",C535)),"Investment",IF(ISNUMBER(SEARCH("Nabo",C535)),"Investment",IF(ISNUMBER(SEARCH("Paybill Online",C535)),"Pay Bill",IF(ISNUMBER(SEARCH("Pay Bill",C535)),"Pay Bill",IF(ISNUMBER(SEARCH("Spotify",C535)),"Pay Bill",IF(ISNUMBER(SEARCH("M-Shwari",C535)),"Mshwari",IF(ISNUMBER(SEARCH("Mshwari",C535)),"Mshwari",IF(ISNUMBER(SEARCH("Withdrawal charge",C535)),"Fees",IF(ISNUMBER(SEARCH("Customer Withdrawal",C535)),"Fees",IF(ISNUMBER(SEARCH("charge",C535)),"Fees","Other")))))))))))))))))))))))))</f>
        <v>Bundles</v>
      </c>
      <c r="R535" s="1" t="str">
        <f aca="false">TEXT(B535,"MMM YYYY")</f>
        <v>Mar 2026</v>
      </c>
    </row>
    <row r="536" customFormat="false" ht="13.8" hidden="false" customHeight="false" outlineLevel="0" collapsed="false">
      <c r="A536" s="4" t="s">
        <v>1138</v>
      </c>
      <c r="B536" s="4" t="s">
        <v>1139</v>
      </c>
      <c r="C536" s="4" t="s">
        <v>1140</v>
      </c>
      <c r="D536" s="4" t="s">
        <v>18</v>
      </c>
      <c r="E536" s="4"/>
      <c r="F536" s="4" t="n">
        <v>5</v>
      </c>
      <c r="G536" s="4" t="n">
        <v>1832</v>
      </c>
      <c r="L536" s="1" t="str">
        <f aca="false">IF(ISNUMBER(SEARCH("Bundle",C536)),"Bundles",IF(ISNUMBER(SEARCH("Airtime",C536)),"Bundles",IF(ISNUMBER(SEARCH("Merchant",C536)),"Merchant Payment",IF(ISNUMBER(SEARCH("Offnet C2B",C536)),"Merchant Payment",IF(ISNUMBER(SEARCH("Offnet B2C",C536)),"Merchant Payment",IF(ISNUMBER(SEARCH("Customer Payment to Small",C536)),"Merchant Payment",IF(ISNUMBER(SEARCH("Payment to Small Business",C536)),"Merchant Payment",IF(ISNUMBER(SEARCH("Sent to",C536)),"Sent to Person",IF(ISNUMBER(SEARCH("Customer Transfer to",C536)),"Sent to Person",IF(ISNUMBER(SEARCH("Business Payment",C536)),"Money In",IF(ISNUMBER(SEARCH("Funds Received",C536)),"Money In",IF(ISNUMBER(SEARCH("Receive International",C536)),"Money In",IF(ISNUMBER(SEARCH("Send Money Reversal",C536)),"Money In",IF(ISNUMBER(SEARCH("Pay Utility Reversal",C536)),"Money In",IF(ISNUMBER(SEARCH("Customer Transfer",C536)),"Money In",IF(ISNUMBER(SEARCH("Ziidi",C536)),"Investment",IF(ISNUMBER(SEARCH("Nabo",C536)),"Investment",IF(ISNUMBER(SEARCH("Paybill Online",C536)),"Pay Bill",IF(ISNUMBER(SEARCH("Pay Bill",C536)),"Pay Bill",IF(ISNUMBER(SEARCH("Spotify",C536)),"Pay Bill",IF(ISNUMBER(SEARCH("M-Shwari",C536)),"Mshwari",IF(ISNUMBER(SEARCH("Mshwari",C536)),"Mshwari",IF(ISNUMBER(SEARCH("Withdrawal charge",C536)),"Fees",IF(ISNUMBER(SEARCH("Customer Withdrawal",C536)),"Fees",IF(ISNUMBER(SEARCH("charge",C536)),"Fees","Other")))))))))))))))))))))))))</f>
        <v>Bundles</v>
      </c>
      <c r="R536" s="1" t="str">
        <f aca="false">TEXT(B536,"MMM YYYY")</f>
        <v>Mar 2026</v>
      </c>
    </row>
    <row r="537" customFormat="false" ht="13.8" hidden="false" customHeight="false" outlineLevel="0" collapsed="false">
      <c r="A537" s="4" t="s">
        <v>1141</v>
      </c>
      <c r="B537" s="4" t="s">
        <v>1142</v>
      </c>
      <c r="C537" s="4" t="s">
        <v>1143</v>
      </c>
      <c r="D537" s="4" t="s">
        <v>18</v>
      </c>
      <c r="E537" s="4" t="n">
        <v>100</v>
      </c>
      <c r="F537" s="4"/>
      <c r="G537" s="4" t="n">
        <v>1932</v>
      </c>
      <c r="L537" s="1" t="str">
        <f aca="false">IF(ISNUMBER(SEARCH("Bundle",C537)),"Bundles",IF(ISNUMBER(SEARCH("Airtime",C537)),"Bundles",IF(ISNUMBER(SEARCH("Merchant",C537)),"Merchant Payment",IF(ISNUMBER(SEARCH("Offnet C2B",C537)),"Merchant Payment",IF(ISNUMBER(SEARCH("Offnet B2C",C537)),"Merchant Payment",IF(ISNUMBER(SEARCH("Customer Payment to Small",C537)),"Merchant Payment",IF(ISNUMBER(SEARCH("Payment to Small Business",C537)),"Merchant Payment",IF(ISNUMBER(SEARCH("Sent to",C537)),"Sent to Person",IF(ISNUMBER(SEARCH("Customer Transfer to",C537)),"Sent to Person",IF(ISNUMBER(SEARCH("Business Payment",C537)),"Money In",IF(ISNUMBER(SEARCH("Funds Received",C537)),"Money In",IF(ISNUMBER(SEARCH("Receive International",C537)),"Money In",IF(ISNUMBER(SEARCH("Send Money Reversal",C537)),"Money In",IF(ISNUMBER(SEARCH("Pay Utility Reversal",C537)),"Money In",IF(ISNUMBER(SEARCH("Customer Transfer",C537)),"Money In",IF(ISNUMBER(SEARCH("Ziidi",C537)),"Investment",IF(ISNUMBER(SEARCH("Nabo",C537)),"Investment",IF(ISNUMBER(SEARCH("Paybill Online",C537)),"Pay Bill",IF(ISNUMBER(SEARCH("Pay Bill",C537)),"Pay Bill",IF(ISNUMBER(SEARCH("Spotify",C537)),"Pay Bill",IF(ISNUMBER(SEARCH("M-Shwari",C537)),"Mshwari",IF(ISNUMBER(SEARCH("Mshwari",C537)),"Mshwari",IF(ISNUMBER(SEARCH("Withdrawal charge",C537)),"Fees",IF(ISNUMBER(SEARCH("Customer Withdrawal",C537)),"Fees",IF(ISNUMBER(SEARCH("charge",C537)),"Fees","Other")))))))))))))))))))))))))</f>
        <v>Money In</v>
      </c>
      <c r="R537" s="1" t="str">
        <f aca="false">TEXT(B537,"MMM YYYY")</f>
        <v>Mar 2026</v>
      </c>
    </row>
    <row r="538" customFormat="false" ht="13.8" hidden="false" customHeight="false" outlineLevel="0" collapsed="false">
      <c r="A538" s="4" t="s">
        <v>1144</v>
      </c>
      <c r="B538" s="4" t="s">
        <v>1145</v>
      </c>
      <c r="C538" s="4" t="s">
        <v>29</v>
      </c>
      <c r="D538" s="4" t="s">
        <v>18</v>
      </c>
      <c r="E538" s="4"/>
      <c r="F538" s="4" t="n">
        <v>20</v>
      </c>
      <c r="G538" s="4" t="n">
        <v>1912</v>
      </c>
      <c r="L538" s="1" t="str">
        <f aca="false">IF(ISNUMBER(SEARCH("Bundle",C538)),"Bundles",IF(ISNUMBER(SEARCH("Airtime",C538)),"Bundles",IF(ISNUMBER(SEARCH("Merchant",C538)),"Merchant Payment",IF(ISNUMBER(SEARCH("Offnet C2B",C538)),"Merchant Payment",IF(ISNUMBER(SEARCH("Offnet B2C",C538)),"Merchant Payment",IF(ISNUMBER(SEARCH("Customer Payment to Small",C538)),"Merchant Payment",IF(ISNUMBER(SEARCH("Payment to Small Business",C538)),"Merchant Payment",IF(ISNUMBER(SEARCH("Sent to",C538)),"Sent to Person",IF(ISNUMBER(SEARCH("Customer Transfer to",C538)),"Sent to Person",IF(ISNUMBER(SEARCH("Business Payment",C538)),"Money In",IF(ISNUMBER(SEARCH("Funds Received",C538)),"Money In",IF(ISNUMBER(SEARCH("Receive International",C538)),"Money In",IF(ISNUMBER(SEARCH("Send Money Reversal",C538)),"Money In",IF(ISNUMBER(SEARCH("Pay Utility Reversal",C538)),"Money In",IF(ISNUMBER(SEARCH("Customer Transfer",C538)),"Money In",IF(ISNUMBER(SEARCH("Ziidi",C538)),"Investment",IF(ISNUMBER(SEARCH("Nabo",C538)),"Investment",IF(ISNUMBER(SEARCH("Paybill Online",C538)),"Pay Bill",IF(ISNUMBER(SEARCH("Pay Bill",C538)),"Pay Bill",IF(ISNUMBER(SEARCH("Spotify",C538)),"Pay Bill",IF(ISNUMBER(SEARCH("M-Shwari",C538)),"Mshwari",IF(ISNUMBER(SEARCH("Mshwari",C538)),"Mshwari",IF(ISNUMBER(SEARCH("Withdrawal charge",C538)),"Fees",IF(ISNUMBER(SEARCH("Customer Withdrawal",C538)),"Fees",IF(ISNUMBER(SEARCH("charge",C538)),"Fees","Other")))))))))))))))))))))))))</f>
        <v>Bundles</v>
      </c>
      <c r="R538" s="1" t="str">
        <f aca="false">TEXT(B538,"MMM YYYY")</f>
        <v>Mar 2026</v>
      </c>
    </row>
    <row r="539" customFormat="false" ht="13.8" hidden="false" customHeight="false" outlineLevel="0" collapsed="false">
      <c r="A539" s="4" t="s">
        <v>1146</v>
      </c>
      <c r="B539" s="4" t="s">
        <v>1147</v>
      </c>
      <c r="C539" s="4" t="s">
        <v>29</v>
      </c>
      <c r="D539" s="4" t="s">
        <v>18</v>
      </c>
      <c r="E539" s="4"/>
      <c r="F539" s="4" t="n">
        <v>20</v>
      </c>
      <c r="G539" s="4" t="n">
        <v>1892</v>
      </c>
      <c r="L539" s="1" t="str">
        <f aca="false">IF(ISNUMBER(SEARCH("Bundle",C539)),"Bundles",IF(ISNUMBER(SEARCH("Airtime",C539)),"Bundles",IF(ISNUMBER(SEARCH("Merchant",C539)),"Merchant Payment",IF(ISNUMBER(SEARCH("Offnet C2B",C539)),"Merchant Payment",IF(ISNUMBER(SEARCH("Offnet B2C",C539)),"Merchant Payment",IF(ISNUMBER(SEARCH("Customer Payment to Small",C539)),"Merchant Payment",IF(ISNUMBER(SEARCH("Payment to Small Business",C539)),"Merchant Payment",IF(ISNUMBER(SEARCH("Sent to",C539)),"Sent to Person",IF(ISNUMBER(SEARCH("Customer Transfer to",C539)),"Sent to Person",IF(ISNUMBER(SEARCH("Business Payment",C539)),"Money In",IF(ISNUMBER(SEARCH("Funds Received",C539)),"Money In",IF(ISNUMBER(SEARCH("Receive International",C539)),"Money In",IF(ISNUMBER(SEARCH("Send Money Reversal",C539)),"Money In",IF(ISNUMBER(SEARCH("Pay Utility Reversal",C539)),"Money In",IF(ISNUMBER(SEARCH("Customer Transfer",C539)),"Money In",IF(ISNUMBER(SEARCH("Ziidi",C539)),"Investment",IF(ISNUMBER(SEARCH("Nabo",C539)),"Investment",IF(ISNUMBER(SEARCH("Paybill Online",C539)),"Pay Bill",IF(ISNUMBER(SEARCH("Pay Bill",C539)),"Pay Bill",IF(ISNUMBER(SEARCH("Spotify",C539)),"Pay Bill",IF(ISNUMBER(SEARCH("M-Shwari",C539)),"Mshwari",IF(ISNUMBER(SEARCH("Mshwari",C539)),"Mshwari",IF(ISNUMBER(SEARCH("Withdrawal charge",C539)),"Fees",IF(ISNUMBER(SEARCH("Customer Withdrawal",C539)),"Fees",IF(ISNUMBER(SEARCH("charge",C539)),"Fees","Other")))))))))))))))))))))))))</f>
        <v>Bundles</v>
      </c>
      <c r="R539" s="1" t="str">
        <f aca="false">TEXT(B539,"MMM YYYY")</f>
        <v>Mar 2026</v>
      </c>
    </row>
    <row r="540" customFormat="false" ht="13.8" hidden="false" customHeight="false" outlineLevel="0" collapsed="false">
      <c r="A540" s="4" t="s">
        <v>1148</v>
      </c>
      <c r="B540" s="4" t="s">
        <v>1149</v>
      </c>
      <c r="C540" s="4" t="s">
        <v>29</v>
      </c>
      <c r="D540" s="4" t="s">
        <v>18</v>
      </c>
      <c r="E540" s="4"/>
      <c r="F540" s="4" t="n">
        <v>20</v>
      </c>
      <c r="G540" s="4" t="n">
        <v>1872</v>
      </c>
      <c r="L540" s="1" t="str">
        <f aca="false">IF(ISNUMBER(SEARCH("Bundle",C540)),"Bundles",IF(ISNUMBER(SEARCH("Airtime",C540)),"Bundles",IF(ISNUMBER(SEARCH("Merchant",C540)),"Merchant Payment",IF(ISNUMBER(SEARCH("Offnet C2B",C540)),"Merchant Payment",IF(ISNUMBER(SEARCH("Offnet B2C",C540)),"Merchant Payment",IF(ISNUMBER(SEARCH("Customer Payment to Small",C540)),"Merchant Payment",IF(ISNUMBER(SEARCH("Payment to Small Business",C540)),"Merchant Payment",IF(ISNUMBER(SEARCH("Sent to",C540)),"Sent to Person",IF(ISNUMBER(SEARCH("Customer Transfer to",C540)),"Sent to Person",IF(ISNUMBER(SEARCH("Business Payment",C540)),"Money In",IF(ISNUMBER(SEARCH("Funds Received",C540)),"Money In",IF(ISNUMBER(SEARCH("Receive International",C540)),"Money In",IF(ISNUMBER(SEARCH("Send Money Reversal",C540)),"Money In",IF(ISNUMBER(SEARCH("Pay Utility Reversal",C540)),"Money In",IF(ISNUMBER(SEARCH("Customer Transfer",C540)),"Money In",IF(ISNUMBER(SEARCH("Ziidi",C540)),"Investment",IF(ISNUMBER(SEARCH("Nabo",C540)),"Investment",IF(ISNUMBER(SEARCH("Paybill Online",C540)),"Pay Bill",IF(ISNUMBER(SEARCH("Pay Bill",C540)),"Pay Bill",IF(ISNUMBER(SEARCH("Spotify",C540)),"Pay Bill",IF(ISNUMBER(SEARCH("M-Shwari",C540)),"Mshwari",IF(ISNUMBER(SEARCH("Mshwari",C540)),"Mshwari",IF(ISNUMBER(SEARCH("Withdrawal charge",C540)),"Fees",IF(ISNUMBER(SEARCH("Customer Withdrawal",C540)),"Fees",IF(ISNUMBER(SEARCH("charge",C540)),"Fees","Other")))))))))))))))))))))))))</f>
        <v>Bundles</v>
      </c>
      <c r="R540" s="1" t="str">
        <f aca="false">TEXT(B540,"MMM YYYY")</f>
        <v>Mar 2026</v>
      </c>
    </row>
    <row r="541" customFormat="false" ht="13.8" hidden="false" customHeight="false" outlineLevel="0" collapsed="false">
      <c r="A541" s="4" t="s">
        <v>1150</v>
      </c>
      <c r="B541" s="4" t="s">
        <v>1151</v>
      </c>
      <c r="C541" s="4" t="s">
        <v>1152</v>
      </c>
      <c r="D541" s="4" t="s">
        <v>18</v>
      </c>
      <c r="E541" s="4" t="n">
        <v>3000</v>
      </c>
      <c r="F541" s="4"/>
      <c r="G541" s="4" t="n">
        <v>4872</v>
      </c>
      <c r="L541" s="1" t="str">
        <f aca="false">IF(ISNUMBER(SEARCH("Bundle",C541)),"Bundles",IF(ISNUMBER(SEARCH("Airtime",C541)),"Bundles",IF(ISNUMBER(SEARCH("Merchant",C541)),"Merchant Payment",IF(ISNUMBER(SEARCH("Offnet C2B",C541)),"Merchant Payment",IF(ISNUMBER(SEARCH("Offnet B2C",C541)),"Merchant Payment",IF(ISNUMBER(SEARCH("Customer Payment to Small",C541)),"Merchant Payment",IF(ISNUMBER(SEARCH("Payment to Small Business",C541)),"Merchant Payment",IF(ISNUMBER(SEARCH("Sent to",C541)),"Sent to Person",IF(ISNUMBER(SEARCH("Customer Transfer to",C541)),"Sent to Person",IF(ISNUMBER(SEARCH("Business Payment",C541)),"Money In",IF(ISNUMBER(SEARCH("Funds Received",C541)),"Money In",IF(ISNUMBER(SEARCH("Receive International",C541)),"Money In",IF(ISNUMBER(SEARCH("Send Money Reversal",C541)),"Money In",IF(ISNUMBER(SEARCH("Pay Utility Reversal",C541)),"Money In",IF(ISNUMBER(SEARCH("Customer Transfer",C541)),"Money In",IF(ISNUMBER(SEARCH("Ziidi",C541)),"Investment",IF(ISNUMBER(SEARCH("Nabo",C541)),"Investment",IF(ISNUMBER(SEARCH("Paybill Online",C541)),"Pay Bill",IF(ISNUMBER(SEARCH("Pay Bill",C541)),"Pay Bill",IF(ISNUMBER(SEARCH("Spotify",C541)),"Pay Bill",IF(ISNUMBER(SEARCH("M-Shwari",C541)),"Mshwari",IF(ISNUMBER(SEARCH("Mshwari",C541)),"Mshwari",IF(ISNUMBER(SEARCH("Withdrawal charge",C541)),"Fees",IF(ISNUMBER(SEARCH("Customer Withdrawal",C541)),"Fees",IF(ISNUMBER(SEARCH("charge",C541)),"Fees","Other")))))))))))))))))))))))))</f>
        <v>Money In</v>
      </c>
      <c r="R541" s="1" t="str">
        <f aca="false">TEXT(B541,"MMM YYYY")</f>
        <v>Mar 2026</v>
      </c>
    </row>
    <row r="542" customFormat="false" ht="13.8" hidden="false" customHeight="false" outlineLevel="0" collapsed="false">
      <c r="A542" s="4" t="s">
        <v>1153</v>
      </c>
      <c r="B542" s="4" t="s">
        <v>1154</v>
      </c>
      <c r="C542" s="4" t="s">
        <v>29</v>
      </c>
      <c r="D542" s="4" t="s">
        <v>18</v>
      </c>
      <c r="E542" s="4"/>
      <c r="F542" s="4" t="n">
        <v>20</v>
      </c>
      <c r="G542" s="4" t="n">
        <v>4852</v>
      </c>
      <c r="L542" s="1" t="str">
        <f aca="false">IF(ISNUMBER(SEARCH("Bundle",C542)),"Bundles",IF(ISNUMBER(SEARCH("Airtime",C542)),"Bundles",IF(ISNUMBER(SEARCH("Merchant",C542)),"Merchant Payment",IF(ISNUMBER(SEARCH("Offnet C2B",C542)),"Merchant Payment",IF(ISNUMBER(SEARCH("Offnet B2C",C542)),"Merchant Payment",IF(ISNUMBER(SEARCH("Customer Payment to Small",C542)),"Merchant Payment",IF(ISNUMBER(SEARCH("Payment to Small Business",C542)),"Merchant Payment",IF(ISNUMBER(SEARCH("Sent to",C542)),"Sent to Person",IF(ISNUMBER(SEARCH("Customer Transfer to",C542)),"Sent to Person",IF(ISNUMBER(SEARCH("Business Payment",C542)),"Money In",IF(ISNUMBER(SEARCH("Funds Received",C542)),"Money In",IF(ISNUMBER(SEARCH("Receive International",C542)),"Money In",IF(ISNUMBER(SEARCH("Send Money Reversal",C542)),"Money In",IF(ISNUMBER(SEARCH("Pay Utility Reversal",C542)),"Money In",IF(ISNUMBER(SEARCH("Customer Transfer",C542)),"Money In",IF(ISNUMBER(SEARCH("Ziidi",C542)),"Investment",IF(ISNUMBER(SEARCH("Nabo",C542)),"Investment",IF(ISNUMBER(SEARCH("Paybill Online",C542)),"Pay Bill",IF(ISNUMBER(SEARCH("Pay Bill",C542)),"Pay Bill",IF(ISNUMBER(SEARCH("Spotify",C542)),"Pay Bill",IF(ISNUMBER(SEARCH("M-Shwari",C542)),"Mshwari",IF(ISNUMBER(SEARCH("Mshwari",C542)),"Mshwari",IF(ISNUMBER(SEARCH("Withdrawal charge",C542)),"Fees",IF(ISNUMBER(SEARCH("Customer Withdrawal",C542)),"Fees",IF(ISNUMBER(SEARCH("charge",C542)),"Fees","Other")))))))))))))))))))))))))</f>
        <v>Bundles</v>
      </c>
      <c r="R542" s="1" t="str">
        <f aca="false">TEXT(B542,"MMM YYYY")</f>
        <v>Mar 2026</v>
      </c>
    </row>
    <row r="543" customFormat="false" ht="13.8" hidden="false" customHeight="false" outlineLevel="0" collapsed="false">
      <c r="A543" s="4" t="s">
        <v>1155</v>
      </c>
      <c r="B543" s="4" t="s">
        <v>1156</v>
      </c>
      <c r="C543" s="4" t="s">
        <v>177</v>
      </c>
      <c r="D543" s="4" t="s">
        <v>18</v>
      </c>
      <c r="E543" s="4" t="n">
        <v>1000</v>
      </c>
      <c r="F543" s="4"/>
      <c r="G543" s="4" t="n">
        <v>5852</v>
      </c>
      <c r="L543" s="1" t="str">
        <f aca="false">IF(ISNUMBER(SEARCH("Bundle",C543)),"Bundles",IF(ISNUMBER(SEARCH("Airtime",C543)),"Bundles",IF(ISNUMBER(SEARCH("Merchant",C543)),"Merchant Payment",IF(ISNUMBER(SEARCH("Offnet C2B",C543)),"Merchant Payment",IF(ISNUMBER(SEARCH("Offnet B2C",C543)),"Merchant Payment",IF(ISNUMBER(SEARCH("Customer Payment to Small",C543)),"Merchant Payment",IF(ISNUMBER(SEARCH("Payment to Small Business",C543)),"Merchant Payment",IF(ISNUMBER(SEARCH("Sent to",C543)),"Sent to Person",IF(ISNUMBER(SEARCH("Customer Transfer to",C543)),"Sent to Person",IF(ISNUMBER(SEARCH("Business Payment",C543)),"Money In",IF(ISNUMBER(SEARCH("Funds Received",C543)),"Money In",IF(ISNUMBER(SEARCH("Receive International",C543)),"Money In",IF(ISNUMBER(SEARCH("Send Money Reversal",C543)),"Money In",IF(ISNUMBER(SEARCH("Pay Utility Reversal",C543)),"Money In",IF(ISNUMBER(SEARCH("Customer Transfer",C543)),"Money In",IF(ISNUMBER(SEARCH("Ziidi",C543)),"Investment",IF(ISNUMBER(SEARCH("Nabo",C543)),"Investment",IF(ISNUMBER(SEARCH("Paybill Online",C543)),"Pay Bill",IF(ISNUMBER(SEARCH("Pay Bill",C543)),"Pay Bill",IF(ISNUMBER(SEARCH("Spotify",C543)),"Pay Bill",IF(ISNUMBER(SEARCH("M-Shwari",C543)),"Mshwari",IF(ISNUMBER(SEARCH("Mshwari",C543)),"Mshwari",IF(ISNUMBER(SEARCH("Withdrawal charge",C543)),"Fees",IF(ISNUMBER(SEARCH("Customer Withdrawal",C543)),"Fees",IF(ISNUMBER(SEARCH("charge",C543)),"Fees","Other")))))))))))))))))))))))))</f>
        <v>Money In</v>
      </c>
      <c r="R543" s="1" t="str">
        <f aca="false">TEXT(B543,"MMM YYYY")</f>
        <v>Mar 2026</v>
      </c>
    </row>
    <row r="544" customFormat="false" ht="13.8" hidden="false" customHeight="false" outlineLevel="0" collapsed="false">
      <c r="A544" s="4" t="s">
        <v>1157</v>
      </c>
      <c r="B544" s="4" t="s">
        <v>1158</v>
      </c>
      <c r="C544" s="4" t="s">
        <v>29</v>
      </c>
      <c r="D544" s="4" t="s">
        <v>18</v>
      </c>
      <c r="E544" s="4"/>
      <c r="F544" s="4" t="n">
        <v>20</v>
      </c>
      <c r="G544" s="4" t="n">
        <v>5832</v>
      </c>
      <c r="L544" s="1" t="str">
        <f aca="false">IF(ISNUMBER(SEARCH("Bundle",C544)),"Bundles",IF(ISNUMBER(SEARCH("Airtime",C544)),"Bundles",IF(ISNUMBER(SEARCH("Merchant",C544)),"Merchant Payment",IF(ISNUMBER(SEARCH("Offnet C2B",C544)),"Merchant Payment",IF(ISNUMBER(SEARCH("Offnet B2C",C544)),"Merchant Payment",IF(ISNUMBER(SEARCH("Customer Payment to Small",C544)),"Merchant Payment",IF(ISNUMBER(SEARCH("Payment to Small Business",C544)),"Merchant Payment",IF(ISNUMBER(SEARCH("Sent to",C544)),"Sent to Person",IF(ISNUMBER(SEARCH("Customer Transfer to",C544)),"Sent to Person",IF(ISNUMBER(SEARCH("Business Payment",C544)),"Money In",IF(ISNUMBER(SEARCH("Funds Received",C544)),"Money In",IF(ISNUMBER(SEARCH("Receive International",C544)),"Money In",IF(ISNUMBER(SEARCH("Send Money Reversal",C544)),"Money In",IF(ISNUMBER(SEARCH("Pay Utility Reversal",C544)),"Money In",IF(ISNUMBER(SEARCH("Customer Transfer",C544)),"Money In",IF(ISNUMBER(SEARCH("Ziidi",C544)),"Investment",IF(ISNUMBER(SEARCH("Nabo",C544)),"Investment",IF(ISNUMBER(SEARCH("Paybill Online",C544)),"Pay Bill",IF(ISNUMBER(SEARCH("Pay Bill",C544)),"Pay Bill",IF(ISNUMBER(SEARCH("Spotify",C544)),"Pay Bill",IF(ISNUMBER(SEARCH("M-Shwari",C544)),"Mshwari",IF(ISNUMBER(SEARCH("Mshwari",C544)),"Mshwari",IF(ISNUMBER(SEARCH("Withdrawal charge",C544)),"Fees",IF(ISNUMBER(SEARCH("Customer Withdrawal",C544)),"Fees",IF(ISNUMBER(SEARCH("charge",C544)),"Fees","Other")))))))))))))))))))))))))</f>
        <v>Bundles</v>
      </c>
      <c r="R544" s="1" t="str">
        <f aca="false">TEXT(B544,"MMM YYYY")</f>
        <v>Mar 2026</v>
      </c>
    </row>
    <row r="545" customFormat="false" ht="13.8" hidden="false" customHeight="false" outlineLevel="0" collapsed="false">
      <c r="A545" s="4" t="s">
        <v>1159</v>
      </c>
      <c r="B545" s="4" t="s">
        <v>1160</v>
      </c>
      <c r="C545" s="4" t="s">
        <v>621</v>
      </c>
      <c r="D545" s="4" t="s">
        <v>18</v>
      </c>
      <c r="E545" s="4"/>
      <c r="F545" s="4" t="n">
        <v>5000</v>
      </c>
      <c r="G545" s="4" t="n">
        <v>832</v>
      </c>
      <c r="L545" s="1" t="str">
        <f aca="false">IF(ISNUMBER(SEARCH("Bundle",C545)),"Bundles",IF(ISNUMBER(SEARCH("Airtime",C545)),"Bundles",IF(ISNUMBER(SEARCH("Merchant",C545)),"Merchant Payment",IF(ISNUMBER(SEARCH("Offnet C2B",C545)),"Merchant Payment",IF(ISNUMBER(SEARCH("Offnet B2C",C545)),"Merchant Payment",IF(ISNUMBER(SEARCH("Customer Payment to Small",C545)),"Merchant Payment",IF(ISNUMBER(SEARCH("Payment to Small Business",C545)),"Merchant Payment",IF(ISNUMBER(SEARCH("Sent to",C545)),"Sent to Person",IF(ISNUMBER(SEARCH("Customer Transfer to",C545)),"Sent to Person",IF(ISNUMBER(SEARCH("Business Payment",C545)),"Money In",IF(ISNUMBER(SEARCH("Funds Received",C545)),"Money In",IF(ISNUMBER(SEARCH("Receive International",C545)),"Money In",IF(ISNUMBER(SEARCH("Send Money Reversal",C545)),"Money In",IF(ISNUMBER(SEARCH("Pay Utility Reversal",C545)),"Money In",IF(ISNUMBER(SEARCH("Customer Transfer",C545)),"Money In",IF(ISNUMBER(SEARCH("Ziidi",C545)),"Investment",IF(ISNUMBER(SEARCH("Nabo",C545)),"Investment",IF(ISNUMBER(SEARCH("Paybill Online",C545)),"Pay Bill",IF(ISNUMBER(SEARCH("Pay Bill",C545)),"Pay Bill",IF(ISNUMBER(SEARCH("Spotify",C545)),"Pay Bill",IF(ISNUMBER(SEARCH("M-Shwari",C545)),"Mshwari",IF(ISNUMBER(SEARCH("Mshwari",C545)),"Mshwari",IF(ISNUMBER(SEARCH("Withdrawal charge",C545)),"Fees",IF(ISNUMBER(SEARCH("Customer Withdrawal",C545)),"Fees",IF(ISNUMBER(SEARCH("charge",C545)),"Fees","Other")))))))))))))))))))))))))</f>
        <v>Mshwari</v>
      </c>
      <c r="R545" s="1" t="str">
        <f aca="false">TEXT(B545,"MMM YYYY")</f>
        <v>Mar 2026</v>
      </c>
    </row>
    <row r="546" customFormat="false" ht="13.8" hidden="false" customHeight="false" outlineLevel="0" collapsed="false">
      <c r="A546" s="4" t="s">
        <v>1161</v>
      </c>
      <c r="B546" s="4" t="s">
        <v>1162</v>
      </c>
      <c r="C546" s="4" t="s">
        <v>29</v>
      </c>
      <c r="D546" s="4" t="s">
        <v>18</v>
      </c>
      <c r="E546" s="4"/>
      <c r="F546" s="4" t="n">
        <v>20</v>
      </c>
      <c r="G546" s="4" t="n">
        <v>812</v>
      </c>
      <c r="L546" s="1" t="str">
        <f aca="false">IF(ISNUMBER(SEARCH("Bundle",C546)),"Bundles",IF(ISNUMBER(SEARCH("Airtime",C546)),"Bundles",IF(ISNUMBER(SEARCH("Merchant",C546)),"Merchant Payment",IF(ISNUMBER(SEARCH("Offnet C2B",C546)),"Merchant Payment",IF(ISNUMBER(SEARCH("Offnet B2C",C546)),"Merchant Payment",IF(ISNUMBER(SEARCH("Customer Payment to Small",C546)),"Merchant Payment",IF(ISNUMBER(SEARCH("Payment to Small Business",C546)),"Merchant Payment",IF(ISNUMBER(SEARCH("Sent to",C546)),"Sent to Person",IF(ISNUMBER(SEARCH("Customer Transfer to",C546)),"Sent to Person",IF(ISNUMBER(SEARCH("Business Payment",C546)),"Money In",IF(ISNUMBER(SEARCH("Funds Received",C546)),"Money In",IF(ISNUMBER(SEARCH("Receive International",C546)),"Money In",IF(ISNUMBER(SEARCH("Send Money Reversal",C546)),"Money In",IF(ISNUMBER(SEARCH("Pay Utility Reversal",C546)),"Money In",IF(ISNUMBER(SEARCH("Customer Transfer",C546)),"Money In",IF(ISNUMBER(SEARCH("Ziidi",C546)),"Investment",IF(ISNUMBER(SEARCH("Nabo",C546)),"Investment",IF(ISNUMBER(SEARCH("Paybill Online",C546)),"Pay Bill",IF(ISNUMBER(SEARCH("Pay Bill",C546)),"Pay Bill",IF(ISNUMBER(SEARCH("Spotify",C546)),"Pay Bill",IF(ISNUMBER(SEARCH("M-Shwari",C546)),"Mshwari",IF(ISNUMBER(SEARCH("Mshwari",C546)),"Mshwari",IF(ISNUMBER(SEARCH("Withdrawal charge",C546)),"Fees",IF(ISNUMBER(SEARCH("Customer Withdrawal",C546)),"Fees",IF(ISNUMBER(SEARCH("charge",C546)),"Fees","Other")))))))))))))))))))))))))</f>
        <v>Bundles</v>
      </c>
      <c r="R546" s="1" t="str">
        <f aca="false">TEXT(B546,"MMM YYYY")</f>
        <v>Mar 2026</v>
      </c>
    </row>
    <row r="547" customFormat="false" ht="13.8" hidden="false" customHeight="false" outlineLevel="0" collapsed="false">
      <c r="A547" s="4" t="s">
        <v>1163</v>
      </c>
      <c r="B547" s="4" t="s">
        <v>1164</v>
      </c>
      <c r="C547" s="4" t="s">
        <v>1010</v>
      </c>
      <c r="D547" s="4" t="s">
        <v>18</v>
      </c>
      <c r="E547" s="4"/>
      <c r="F547" s="4" t="n">
        <v>50</v>
      </c>
      <c r="G547" s="4" t="n">
        <v>762</v>
      </c>
      <c r="L547" s="1" t="str">
        <f aca="false">IF(ISNUMBER(SEARCH("Bundle",C547)),"Bundles",IF(ISNUMBER(SEARCH("Airtime",C547)),"Bundles",IF(ISNUMBER(SEARCH("Merchant",C547)),"Merchant Payment",IF(ISNUMBER(SEARCH("Offnet C2B",C547)),"Merchant Payment",IF(ISNUMBER(SEARCH("Offnet B2C",C547)),"Merchant Payment",IF(ISNUMBER(SEARCH("Customer Payment to Small",C547)),"Merchant Payment",IF(ISNUMBER(SEARCH("Payment to Small Business",C547)),"Merchant Payment",IF(ISNUMBER(SEARCH("Sent to",C547)),"Sent to Person",IF(ISNUMBER(SEARCH("Customer Transfer to",C547)),"Sent to Person",IF(ISNUMBER(SEARCH("Business Payment",C547)),"Money In",IF(ISNUMBER(SEARCH("Funds Received",C547)),"Money In",IF(ISNUMBER(SEARCH("Receive International",C547)),"Money In",IF(ISNUMBER(SEARCH("Send Money Reversal",C547)),"Money In",IF(ISNUMBER(SEARCH("Pay Utility Reversal",C547)),"Money In",IF(ISNUMBER(SEARCH("Customer Transfer",C547)),"Money In",IF(ISNUMBER(SEARCH("Ziidi",C547)),"Investment",IF(ISNUMBER(SEARCH("Nabo",C547)),"Investment",IF(ISNUMBER(SEARCH("Paybill Online",C547)),"Pay Bill",IF(ISNUMBER(SEARCH("Pay Bill",C547)),"Pay Bill",IF(ISNUMBER(SEARCH("Spotify",C547)),"Pay Bill",IF(ISNUMBER(SEARCH("M-Shwari",C547)),"Mshwari",IF(ISNUMBER(SEARCH("Mshwari",C547)),"Mshwari",IF(ISNUMBER(SEARCH("Withdrawal charge",C547)),"Fees",IF(ISNUMBER(SEARCH("Customer Withdrawal",C547)),"Fees",IF(ISNUMBER(SEARCH("charge",C547)),"Fees","Other")))))))))))))))))))))))))</f>
        <v>Merchant Payment</v>
      </c>
      <c r="R547" s="1" t="str">
        <f aca="false">TEXT(B547,"MMM YYYY")</f>
        <v>Mar 2026</v>
      </c>
    </row>
    <row r="548" customFormat="false" ht="13.8" hidden="false" customHeight="false" outlineLevel="0" collapsed="false">
      <c r="A548" s="4" t="s">
        <v>1165</v>
      </c>
      <c r="B548" s="4" t="s">
        <v>1166</v>
      </c>
      <c r="C548" s="4" t="s">
        <v>1013</v>
      </c>
      <c r="D548" s="4" t="s">
        <v>18</v>
      </c>
      <c r="E548" s="4"/>
      <c r="F548" s="4" t="n">
        <v>100</v>
      </c>
      <c r="G548" s="4" t="n">
        <v>662</v>
      </c>
      <c r="L548" s="1" t="str">
        <f aca="false">IF(ISNUMBER(SEARCH("Bundle",C548)),"Bundles",IF(ISNUMBER(SEARCH("Airtime",C548)),"Bundles",IF(ISNUMBER(SEARCH("Merchant",C548)),"Merchant Payment",IF(ISNUMBER(SEARCH("Offnet C2B",C548)),"Merchant Payment",IF(ISNUMBER(SEARCH("Offnet B2C",C548)),"Merchant Payment",IF(ISNUMBER(SEARCH("Customer Payment to Small",C548)),"Merchant Payment",IF(ISNUMBER(SEARCH("Payment to Small Business",C548)),"Merchant Payment",IF(ISNUMBER(SEARCH("Sent to",C548)),"Sent to Person",IF(ISNUMBER(SEARCH("Customer Transfer to",C548)),"Sent to Person",IF(ISNUMBER(SEARCH("Business Payment",C548)),"Money In",IF(ISNUMBER(SEARCH("Funds Received",C548)),"Money In",IF(ISNUMBER(SEARCH("Receive International",C548)),"Money In",IF(ISNUMBER(SEARCH("Send Money Reversal",C548)),"Money In",IF(ISNUMBER(SEARCH("Pay Utility Reversal",C548)),"Money In",IF(ISNUMBER(SEARCH("Customer Transfer",C548)),"Money In",IF(ISNUMBER(SEARCH("Ziidi",C548)),"Investment",IF(ISNUMBER(SEARCH("Nabo",C548)),"Investment",IF(ISNUMBER(SEARCH("Paybill Online",C548)),"Pay Bill",IF(ISNUMBER(SEARCH("Pay Bill",C548)),"Pay Bill",IF(ISNUMBER(SEARCH("Spotify",C548)),"Pay Bill",IF(ISNUMBER(SEARCH("M-Shwari",C548)),"Mshwari",IF(ISNUMBER(SEARCH("Mshwari",C548)),"Mshwari",IF(ISNUMBER(SEARCH("Withdrawal charge",C548)),"Fees",IF(ISNUMBER(SEARCH("Customer Withdrawal",C548)),"Fees",IF(ISNUMBER(SEARCH("charge",C548)),"Fees","Other")))))))))))))))))))))))))</f>
        <v>Sent to Person</v>
      </c>
      <c r="R548" s="1" t="str">
        <f aca="false">TEXT(B548,"MMM YYYY")</f>
        <v>Mar 2026</v>
      </c>
    </row>
    <row r="549" customFormat="false" ht="13.8" hidden="false" customHeight="false" outlineLevel="0" collapsed="false">
      <c r="A549" s="4" t="s">
        <v>1167</v>
      </c>
      <c r="B549" s="4" t="s">
        <v>1168</v>
      </c>
      <c r="C549" s="4" t="s">
        <v>1169</v>
      </c>
      <c r="D549" s="4" t="s">
        <v>18</v>
      </c>
      <c r="E549" s="4"/>
      <c r="F549" s="4" t="n">
        <v>70</v>
      </c>
      <c r="G549" s="4" t="n">
        <v>592</v>
      </c>
      <c r="L549" s="1" t="str">
        <f aca="false">IF(ISNUMBER(SEARCH("Bundle",C549)),"Bundles",IF(ISNUMBER(SEARCH("Airtime",C549)),"Bundles",IF(ISNUMBER(SEARCH("Merchant",C549)),"Merchant Payment",IF(ISNUMBER(SEARCH("Offnet C2B",C549)),"Merchant Payment",IF(ISNUMBER(SEARCH("Offnet B2C",C549)),"Merchant Payment",IF(ISNUMBER(SEARCH("Customer Payment to Small",C549)),"Merchant Payment",IF(ISNUMBER(SEARCH("Payment to Small Business",C549)),"Merchant Payment",IF(ISNUMBER(SEARCH("Sent to",C549)),"Sent to Person",IF(ISNUMBER(SEARCH("Customer Transfer to",C549)),"Sent to Person",IF(ISNUMBER(SEARCH("Business Payment",C549)),"Money In",IF(ISNUMBER(SEARCH("Funds Received",C549)),"Money In",IF(ISNUMBER(SEARCH("Receive International",C549)),"Money In",IF(ISNUMBER(SEARCH("Send Money Reversal",C549)),"Money In",IF(ISNUMBER(SEARCH("Pay Utility Reversal",C549)),"Money In",IF(ISNUMBER(SEARCH("Customer Transfer",C549)),"Money In",IF(ISNUMBER(SEARCH("Ziidi",C549)),"Investment",IF(ISNUMBER(SEARCH("Nabo",C549)),"Investment",IF(ISNUMBER(SEARCH("Paybill Online",C549)),"Pay Bill",IF(ISNUMBER(SEARCH("Pay Bill",C549)),"Pay Bill",IF(ISNUMBER(SEARCH("Spotify",C549)),"Pay Bill",IF(ISNUMBER(SEARCH("M-Shwari",C549)),"Mshwari",IF(ISNUMBER(SEARCH("Mshwari",C549)),"Mshwari",IF(ISNUMBER(SEARCH("Withdrawal charge",C549)),"Fees",IF(ISNUMBER(SEARCH("Customer Withdrawal",C549)),"Fees",IF(ISNUMBER(SEARCH("charge",C549)),"Fees","Other")))))))))))))))))))))))))</f>
        <v>Sent to Person</v>
      </c>
      <c r="R549" s="1" t="str">
        <f aca="false">TEXT(B549,"MMM YYYY")</f>
        <v>Mar 2026</v>
      </c>
    </row>
    <row r="550" customFormat="false" ht="13.8" hidden="false" customHeight="false" outlineLevel="0" collapsed="false">
      <c r="A550" s="4" t="s">
        <v>1170</v>
      </c>
      <c r="B550" s="4" t="s">
        <v>1171</v>
      </c>
      <c r="C550" s="4" t="s">
        <v>182</v>
      </c>
      <c r="D550" s="4" t="s">
        <v>18</v>
      </c>
      <c r="E550" s="4"/>
      <c r="F550" s="4" t="n">
        <v>5</v>
      </c>
      <c r="G550" s="4" t="n">
        <v>287</v>
      </c>
      <c r="L550" s="1" t="str">
        <f aca="false">IF(ISNUMBER(SEARCH("Bundle",C550)),"Bundles",IF(ISNUMBER(SEARCH("Airtime",C550)),"Bundles",IF(ISNUMBER(SEARCH("Merchant",C550)),"Merchant Payment",IF(ISNUMBER(SEARCH("Offnet C2B",C550)),"Merchant Payment",IF(ISNUMBER(SEARCH("Offnet B2C",C550)),"Merchant Payment",IF(ISNUMBER(SEARCH("Customer Payment to Small",C550)),"Merchant Payment",IF(ISNUMBER(SEARCH("Payment to Small Business",C550)),"Merchant Payment",IF(ISNUMBER(SEARCH("Sent to",C550)),"Sent to Person",IF(ISNUMBER(SEARCH("Customer Transfer to",C550)),"Sent to Person",IF(ISNUMBER(SEARCH("Business Payment",C550)),"Money In",IF(ISNUMBER(SEARCH("Funds Received",C550)),"Money In",IF(ISNUMBER(SEARCH("Receive International",C550)),"Money In",IF(ISNUMBER(SEARCH("Send Money Reversal",C550)),"Money In",IF(ISNUMBER(SEARCH("Pay Utility Reversal",C550)),"Money In",IF(ISNUMBER(SEARCH("Customer Transfer",C550)),"Money In",IF(ISNUMBER(SEARCH("Ziidi",C550)),"Investment",IF(ISNUMBER(SEARCH("Nabo",C550)),"Investment",IF(ISNUMBER(SEARCH("Paybill Online",C550)),"Pay Bill",IF(ISNUMBER(SEARCH("Pay Bill",C550)),"Pay Bill",IF(ISNUMBER(SEARCH("Spotify",C550)),"Pay Bill",IF(ISNUMBER(SEARCH("M-Shwari",C550)),"Mshwari",IF(ISNUMBER(SEARCH("Mshwari",C550)),"Mshwari",IF(ISNUMBER(SEARCH("Withdrawal charge",C550)),"Fees",IF(ISNUMBER(SEARCH("Customer Withdrawal",C550)),"Fees",IF(ISNUMBER(SEARCH("charge",C550)),"Fees","Other")))))))))))))))))))))))))</f>
        <v>Pay Bill</v>
      </c>
      <c r="R550" s="1" t="str">
        <f aca="false">TEXT(B550,"MMM YYYY")</f>
        <v>Mar 2026</v>
      </c>
    </row>
    <row r="551" customFormat="false" ht="13.8" hidden="false" customHeight="false" outlineLevel="0" collapsed="false">
      <c r="A551" s="4" t="s">
        <v>1170</v>
      </c>
      <c r="B551" s="4" t="s">
        <v>1171</v>
      </c>
      <c r="C551" s="4" t="s">
        <v>1172</v>
      </c>
      <c r="D551" s="4" t="s">
        <v>18</v>
      </c>
      <c r="E551" s="4"/>
      <c r="F551" s="4" t="n">
        <v>300</v>
      </c>
      <c r="G551" s="4" t="n">
        <v>292</v>
      </c>
      <c r="L551" s="1" t="str">
        <f aca="false">IF(ISNUMBER(SEARCH("Bundle",C551)),"Bundles",IF(ISNUMBER(SEARCH("Airtime",C551)),"Bundles",IF(ISNUMBER(SEARCH("Merchant",C551)),"Merchant Payment",IF(ISNUMBER(SEARCH("Offnet C2B",C551)),"Merchant Payment",IF(ISNUMBER(SEARCH("Offnet B2C",C551)),"Merchant Payment",IF(ISNUMBER(SEARCH("Customer Payment to Small",C551)),"Merchant Payment",IF(ISNUMBER(SEARCH("Payment to Small Business",C551)),"Merchant Payment",IF(ISNUMBER(SEARCH("Sent to",C551)),"Sent to Person",IF(ISNUMBER(SEARCH("Customer Transfer to",C551)),"Sent to Person",IF(ISNUMBER(SEARCH("Business Payment",C551)),"Money In",IF(ISNUMBER(SEARCH("Funds Received",C551)),"Money In",IF(ISNUMBER(SEARCH("Receive International",C551)),"Money In",IF(ISNUMBER(SEARCH("Send Money Reversal",C551)),"Money In",IF(ISNUMBER(SEARCH("Pay Utility Reversal",C551)),"Money In",IF(ISNUMBER(SEARCH("Customer Transfer",C551)),"Money In",IF(ISNUMBER(SEARCH("Ziidi",C551)),"Investment",IF(ISNUMBER(SEARCH("Nabo",C551)),"Investment",IF(ISNUMBER(SEARCH("Paybill Online",C551)),"Pay Bill",IF(ISNUMBER(SEARCH("Pay Bill",C551)),"Pay Bill",IF(ISNUMBER(SEARCH("Spotify",C551)),"Pay Bill",IF(ISNUMBER(SEARCH("M-Shwari",C551)),"Mshwari",IF(ISNUMBER(SEARCH("Mshwari",C551)),"Mshwari",IF(ISNUMBER(SEARCH("Withdrawal charge",C551)),"Fees",IF(ISNUMBER(SEARCH("Customer Withdrawal",C551)),"Fees",IF(ISNUMBER(SEARCH("charge",C551)),"Fees","Other")))))))))))))))))))))))))</f>
        <v>Pay Bill</v>
      </c>
      <c r="R551" s="1" t="str">
        <f aca="false">TEXT(B551,"MMM YYYY")</f>
        <v>Mar 2026</v>
      </c>
    </row>
    <row r="552" customFormat="false" ht="13.8" hidden="false" customHeight="false" outlineLevel="0" collapsed="false">
      <c r="A552" s="4" t="s">
        <v>1173</v>
      </c>
      <c r="B552" s="4" t="s">
        <v>1174</v>
      </c>
      <c r="C552" s="4" t="s">
        <v>316</v>
      </c>
      <c r="D552" s="4" t="s">
        <v>18</v>
      </c>
      <c r="E552" s="4"/>
      <c r="F552" s="4" t="n">
        <v>230</v>
      </c>
      <c r="G552" s="4" t="n">
        <v>57</v>
      </c>
      <c r="L552" s="1" t="str">
        <f aca="false">IF(ISNUMBER(SEARCH("Bundle",C552)),"Bundles",IF(ISNUMBER(SEARCH("Airtime",C552)),"Bundles",IF(ISNUMBER(SEARCH("Merchant",C552)),"Merchant Payment",IF(ISNUMBER(SEARCH("Offnet C2B",C552)),"Merchant Payment",IF(ISNUMBER(SEARCH("Offnet B2C",C552)),"Merchant Payment",IF(ISNUMBER(SEARCH("Customer Payment to Small",C552)),"Merchant Payment",IF(ISNUMBER(SEARCH("Payment to Small Business",C552)),"Merchant Payment",IF(ISNUMBER(SEARCH("Sent to",C552)),"Sent to Person",IF(ISNUMBER(SEARCH("Customer Transfer to",C552)),"Sent to Person",IF(ISNUMBER(SEARCH("Business Payment",C552)),"Money In",IF(ISNUMBER(SEARCH("Funds Received",C552)),"Money In",IF(ISNUMBER(SEARCH("Receive International",C552)),"Money In",IF(ISNUMBER(SEARCH("Send Money Reversal",C552)),"Money In",IF(ISNUMBER(SEARCH("Pay Utility Reversal",C552)),"Money In",IF(ISNUMBER(SEARCH("Customer Transfer",C552)),"Money In",IF(ISNUMBER(SEARCH("Ziidi",C552)),"Investment",IF(ISNUMBER(SEARCH("Nabo",C552)),"Investment",IF(ISNUMBER(SEARCH("Paybill Online",C552)),"Pay Bill",IF(ISNUMBER(SEARCH("Pay Bill",C552)),"Pay Bill",IF(ISNUMBER(SEARCH("Spotify",C552)),"Pay Bill",IF(ISNUMBER(SEARCH("M-Shwari",C552)),"Mshwari",IF(ISNUMBER(SEARCH("Mshwari",C552)),"Mshwari",IF(ISNUMBER(SEARCH("Withdrawal charge",C552)),"Fees",IF(ISNUMBER(SEARCH("Customer Withdrawal",C552)),"Fees",IF(ISNUMBER(SEARCH("charge",C552)),"Fees","Other")))))))))))))))))))))))))</f>
        <v>Merchant Payment</v>
      </c>
      <c r="R552" s="1" t="str">
        <f aca="false">TEXT(B552,"MMM YYYY")</f>
        <v>Mar 2026</v>
      </c>
    </row>
    <row r="553" customFormat="false" ht="13.8" hidden="false" customHeight="false" outlineLevel="0" collapsed="false">
      <c r="A553" s="4" t="s">
        <v>1175</v>
      </c>
      <c r="B553" s="4" t="s">
        <v>1176</v>
      </c>
      <c r="C553" s="4" t="s">
        <v>29</v>
      </c>
      <c r="D553" s="4" t="s">
        <v>18</v>
      </c>
      <c r="E553" s="4"/>
      <c r="F553" s="4" t="n">
        <v>20</v>
      </c>
      <c r="G553" s="4" t="n">
        <v>37</v>
      </c>
      <c r="L553" s="1" t="str">
        <f aca="false">IF(ISNUMBER(SEARCH("Bundle",C553)),"Bundles",IF(ISNUMBER(SEARCH("Airtime",C553)),"Bundles",IF(ISNUMBER(SEARCH("Merchant",C553)),"Merchant Payment",IF(ISNUMBER(SEARCH("Offnet C2B",C553)),"Merchant Payment",IF(ISNUMBER(SEARCH("Offnet B2C",C553)),"Merchant Payment",IF(ISNUMBER(SEARCH("Customer Payment to Small",C553)),"Merchant Payment",IF(ISNUMBER(SEARCH("Payment to Small Business",C553)),"Merchant Payment",IF(ISNUMBER(SEARCH("Sent to",C553)),"Sent to Person",IF(ISNUMBER(SEARCH("Customer Transfer to",C553)),"Sent to Person",IF(ISNUMBER(SEARCH("Business Payment",C553)),"Money In",IF(ISNUMBER(SEARCH("Funds Received",C553)),"Money In",IF(ISNUMBER(SEARCH("Receive International",C553)),"Money In",IF(ISNUMBER(SEARCH("Send Money Reversal",C553)),"Money In",IF(ISNUMBER(SEARCH("Pay Utility Reversal",C553)),"Money In",IF(ISNUMBER(SEARCH("Customer Transfer",C553)),"Money In",IF(ISNUMBER(SEARCH("Ziidi",C553)),"Investment",IF(ISNUMBER(SEARCH("Nabo",C553)),"Investment",IF(ISNUMBER(SEARCH("Paybill Online",C553)),"Pay Bill",IF(ISNUMBER(SEARCH("Pay Bill",C553)),"Pay Bill",IF(ISNUMBER(SEARCH("Spotify",C553)),"Pay Bill",IF(ISNUMBER(SEARCH("M-Shwari",C553)),"Mshwari",IF(ISNUMBER(SEARCH("Mshwari",C553)),"Mshwari",IF(ISNUMBER(SEARCH("Withdrawal charge",C553)),"Fees",IF(ISNUMBER(SEARCH("Customer Withdrawal",C553)),"Fees",IF(ISNUMBER(SEARCH("charge",C553)),"Fees","Other")))))))))))))))))))))))))</f>
        <v>Bundles</v>
      </c>
      <c r="R553" s="1" t="str">
        <f aca="false">TEXT(B553,"MMM YYYY")</f>
        <v>Mar 2026</v>
      </c>
    </row>
    <row r="554" customFormat="false" ht="13.8" hidden="false" customHeight="false" outlineLevel="0" collapsed="false">
      <c r="A554" s="4" t="s">
        <v>1177</v>
      </c>
      <c r="B554" s="4" t="s">
        <v>1178</v>
      </c>
      <c r="C554" s="4" t="s">
        <v>29</v>
      </c>
      <c r="D554" s="4" t="s">
        <v>18</v>
      </c>
      <c r="E554" s="4"/>
      <c r="F554" s="4" t="n">
        <v>25</v>
      </c>
      <c r="G554" s="4" t="n">
        <v>12</v>
      </c>
      <c r="L554" s="1" t="str">
        <f aca="false">IF(ISNUMBER(SEARCH("Bundle",C554)),"Bundles",IF(ISNUMBER(SEARCH("Airtime",C554)),"Bundles",IF(ISNUMBER(SEARCH("Merchant",C554)),"Merchant Payment",IF(ISNUMBER(SEARCH("Offnet C2B",C554)),"Merchant Payment",IF(ISNUMBER(SEARCH("Offnet B2C",C554)),"Merchant Payment",IF(ISNUMBER(SEARCH("Customer Payment to Small",C554)),"Merchant Payment",IF(ISNUMBER(SEARCH("Payment to Small Business",C554)),"Merchant Payment",IF(ISNUMBER(SEARCH("Sent to",C554)),"Sent to Person",IF(ISNUMBER(SEARCH("Customer Transfer to",C554)),"Sent to Person",IF(ISNUMBER(SEARCH("Business Payment",C554)),"Money In",IF(ISNUMBER(SEARCH("Funds Received",C554)),"Money In",IF(ISNUMBER(SEARCH("Receive International",C554)),"Money In",IF(ISNUMBER(SEARCH("Send Money Reversal",C554)),"Money In",IF(ISNUMBER(SEARCH("Pay Utility Reversal",C554)),"Money In",IF(ISNUMBER(SEARCH("Customer Transfer",C554)),"Money In",IF(ISNUMBER(SEARCH("Ziidi",C554)),"Investment",IF(ISNUMBER(SEARCH("Nabo",C554)),"Investment",IF(ISNUMBER(SEARCH("Paybill Online",C554)),"Pay Bill",IF(ISNUMBER(SEARCH("Pay Bill",C554)),"Pay Bill",IF(ISNUMBER(SEARCH("Spotify",C554)),"Pay Bill",IF(ISNUMBER(SEARCH("M-Shwari",C554)),"Mshwari",IF(ISNUMBER(SEARCH("Mshwari",C554)),"Mshwari",IF(ISNUMBER(SEARCH("Withdrawal charge",C554)),"Fees",IF(ISNUMBER(SEARCH("Customer Withdrawal",C554)),"Fees",IF(ISNUMBER(SEARCH("charge",C554)),"Fees","Other")))))))))))))))))))))))))</f>
        <v>Bundles</v>
      </c>
      <c r="R554" s="1" t="str">
        <f aca="false">TEXT(B554,"MMM YYYY")</f>
        <v>Mar 2026</v>
      </c>
    </row>
    <row r="555" customFormat="false" ht="13.8" hidden="false" customHeight="false" outlineLevel="0" collapsed="false">
      <c r="A555" s="4" t="s">
        <v>1179</v>
      </c>
      <c r="B555" s="4" t="s">
        <v>1180</v>
      </c>
      <c r="C555" s="4" t="s">
        <v>29</v>
      </c>
      <c r="D555" s="4" t="s">
        <v>18</v>
      </c>
      <c r="E555" s="4"/>
      <c r="F555" s="4" t="n">
        <v>10</v>
      </c>
      <c r="G555" s="4" t="n">
        <v>2</v>
      </c>
      <c r="L555" s="1" t="str">
        <f aca="false">IF(ISNUMBER(SEARCH("Bundle",C555)),"Bundles",IF(ISNUMBER(SEARCH("Airtime",C555)),"Bundles",IF(ISNUMBER(SEARCH("Merchant",C555)),"Merchant Payment",IF(ISNUMBER(SEARCH("Offnet C2B",C555)),"Merchant Payment",IF(ISNUMBER(SEARCH("Offnet B2C",C555)),"Merchant Payment",IF(ISNUMBER(SEARCH("Customer Payment to Small",C555)),"Merchant Payment",IF(ISNUMBER(SEARCH("Payment to Small Business",C555)),"Merchant Payment",IF(ISNUMBER(SEARCH("Sent to",C555)),"Sent to Person",IF(ISNUMBER(SEARCH("Customer Transfer to",C555)),"Sent to Person",IF(ISNUMBER(SEARCH("Business Payment",C555)),"Money In",IF(ISNUMBER(SEARCH("Funds Received",C555)),"Money In",IF(ISNUMBER(SEARCH("Receive International",C555)),"Money In",IF(ISNUMBER(SEARCH("Send Money Reversal",C555)),"Money In",IF(ISNUMBER(SEARCH("Pay Utility Reversal",C555)),"Money In",IF(ISNUMBER(SEARCH("Customer Transfer",C555)),"Money In",IF(ISNUMBER(SEARCH("Ziidi",C555)),"Investment",IF(ISNUMBER(SEARCH("Nabo",C555)),"Investment",IF(ISNUMBER(SEARCH("Paybill Online",C555)),"Pay Bill",IF(ISNUMBER(SEARCH("Pay Bill",C555)),"Pay Bill",IF(ISNUMBER(SEARCH("Spotify",C555)),"Pay Bill",IF(ISNUMBER(SEARCH("M-Shwari",C555)),"Mshwari",IF(ISNUMBER(SEARCH("Mshwari",C555)),"Mshwari",IF(ISNUMBER(SEARCH("Withdrawal charge",C555)),"Fees",IF(ISNUMBER(SEARCH("Customer Withdrawal",C555)),"Fees",IF(ISNUMBER(SEARCH("charge",C555)),"Fees","Other")))))))))))))))))))))))))</f>
        <v>Bundles</v>
      </c>
      <c r="R555" s="1" t="str">
        <f aca="false">TEXT(B555,"MMM YYYY")</f>
        <v>Mar 2026</v>
      </c>
    </row>
    <row r="556" customFormat="false" ht="13.8" hidden="false" customHeight="false" outlineLevel="0" collapsed="false">
      <c r="A556" s="4" t="s">
        <v>1181</v>
      </c>
      <c r="B556" s="4" t="s">
        <v>1182</v>
      </c>
      <c r="C556" s="4" t="s">
        <v>192</v>
      </c>
      <c r="D556" s="4" t="s">
        <v>18</v>
      </c>
      <c r="E556" s="4" t="n">
        <v>500</v>
      </c>
      <c r="F556" s="4"/>
      <c r="G556" s="4" t="n">
        <v>502</v>
      </c>
      <c r="L556" s="1" t="str">
        <f aca="false">IF(ISNUMBER(SEARCH("Bundle",C556)),"Bundles",IF(ISNUMBER(SEARCH("Airtime",C556)),"Bundles",IF(ISNUMBER(SEARCH("Merchant",C556)),"Merchant Payment",IF(ISNUMBER(SEARCH("Offnet C2B",C556)),"Merchant Payment",IF(ISNUMBER(SEARCH("Offnet B2C",C556)),"Merchant Payment",IF(ISNUMBER(SEARCH("Customer Payment to Small",C556)),"Merchant Payment",IF(ISNUMBER(SEARCH("Payment to Small Business",C556)),"Merchant Payment",IF(ISNUMBER(SEARCH("Sent to",C556)),"Sent to Person",IF(ISNUMBER(SEARCH("Customer Transfer to",C556)),"Sent to Person",IF(ISNUMBER(SEARCH("Business Payment",C556)),"Money In",IF(ISNUMBER(SEARCH("Funds Received",C556)),"Money In",IF(ISNUMBER(SEARCH("Receive International",C556)),"Money In",IF(ISNUMBER(SEARCH("Send Money Reversal",C556)),"Money In",IF(ISNUMBER(SEARCH("Pay Utility Reversal",C556)),"Money In",IF(ISNUMBER(SEARCH("Customer Transfer",C556)),"Money In",IF(ISNUMBER(SEARCH("Ziidi",C556)),"Investment",IF(ISNUMBER(SEARCH("Nabo",C556)),"Investment",IF(ISNUMBER(SEARCH("Paybill Online",C556)),"Pay Bill",IF(ISNUMBER(SEARCH("Pay Bill",C556)),"Pay Bill",IF(ISNUMBER(SEARCH("Spotify",C556)),"Pay Bill",IF(ISNUMBER(SEARCH("M-Shwari",C556)),"Mshwari",IF(ISNUMBER(SEARCH("Mshwari",C556)),"Mshwari",IF(ISNUMBER(SEARCH("Withdrawal charge",C556)),"Fees",IF(ISNUMBER(SEARCH("Customer Withdrawal",C556)),"Fees",IF(ISNUMBER(SEARCH("charge",C556)),"Fees","Other")))))))))))))))))))))))))</f>
        <v>Mshwari</v>
      </c>
      <c r="R556" s="1" t="str">
        <f aca="false">TEXT(B556,"MMM YYYY")</f>
        <v>Mar 2026</v>
      </c>
    </row>
    <row r="557" customFormat="false" ht="13.8" hidden="false" customHeight="false" outlineLevel="0" collapsed="false">
      <c r="A557" s="4" t="s">
        <v>1183</v>
      </c>
      <c r="B557" s="4" t="s">
        <v>1184</v>
      </c>
      <c r="C557" s="4" t="s">
        <v>29</v>
      </c>
      <c r="D557" s="4" t="s">
        <v>18</v>
      </c>
      <c r="E557" s="4"/>
      <c r="F557" s="4" t="n">
        <v>20</v>
      </c>
      <c r="G557" s="4" t="n">
        <v>482</v>
      </c>
      <c r="L557" s="1" t="str">
        <f aca="false">IF(ISNUMBER(SEARCH("Bundle",C557)),"Bundles",IF(ISNUMBER(SEARCH("Airtime",C557)),"Bundles",IF(ISNUMBER(SEARCH("Merchant",C557)),"Merchant Payment",IF(ISNUMBER(SEARCH("Offnet C2B",C557)),"Merchant Payment",IF(ISNUMBER(SEARCH("Offnet B2C",C557)),"Merchant Payment",IF(ISNUMBER(SEARCH("Customer Payment to Small",C557)),"Merchant Payment",IF(ISNUMBER(SEARCH("Payment to Small Business",C557)),"Merchant Payment",IF(ISNUMBER(SEARCH("Sent to",C557)),"Sent to Person",IF(ISNUMBER(SEARCH("Customer Transfer to",C557)),"Sent to Person",IF(ISNUMBER(SEARCH("Business Payment",C557)),"Money In",IF(ISNUMBER(SEARCH("Funds Received",C557)),"Money In",IF(ISNUMBER(SEARCH("Receive International",C557)),"Money In",IF(ISNUMBER(SEARCH("Send Money Reversal",C557)),"Money In",IF(ISNUMBER(SEARCH("Pay Utility Reversal",C557)),"Money In",IF(ISNUMBER(SEARCH("Customer Transfer",C557)),"Money In",IF(ISNUMBER(SEARCH("Ziidi",C557)),"Investment",IF(ISNUMBER(SEARCH("Nabo",C557)),"Investment",IF(ISNUMBER(SEARCH("Paybill Online",C557)),"Pay Bill",IF(ISNUMBER(SEARCH("Pay Bill",C557)),"Pay Bill",IF(ISNUMBER(SEARCH("Spotify",C557)),"Pay Bill",IF(ISNUMBER(SEARCH("M-Shwari",C557)),"Mshwari",IF(ISNUMBER(SEARCH("Mshwari",C557)),"Mshwari",IF(ISNUMBER(SEARCH("Withdrawal charge",C557)),"Fees",IF(ISNUMBER(SEARCH("Customer Withdrawal",C557)),"Fees",IF(ISNUMBER(SEARCH("charge",C557)),"Fees","Other")))))))))))))))))))))))))</f>
        <v>Bundles</v>
      </c>
      <c r="R557" s="1" t="str">
        <f aca="false">TEXT(B557,"MMM YYYY")</f>
        <v>Mar 2026</v>
      </c>
    </row>
    <row r="558" customFormat="false" ht="13.8" hidden="false" customHeight="false" outlineLevel="0" collapsed="false">
      <c r="A558" s="4" t="s">
        <v>1185</v>
      </c>
      <c r="B558" s="4" t="s">
        <v>1186</v>
      </c>
      <c r="C558" s="4" t="s">
        <v>29</v>
      </c>
      <c r="D558" s="4" t="s">
        <v>18</v>
      </c>
      <c r="E558" s="4"/>
      <c r="F558" s="4" t="n">
        <v>10</v>
      </c>
      <c r="G558" s="4" t="n">
        <v>472</v>
      </c>
      <c r="L558" s="1" t="str">
        <f aca="false">IF(ISNUMBER(SEARCH("Bundle",C558)),"Bundles",IF(ISNUMBER(SEARCH("Airtime",C558)),"Bundles",IF(ISNUMBER(SEARCH("Merchant",C558)),"Merchant Payment",IF(ISNUMBER(SEARCH("Offnet C2B",C558)),"Merchant Payment",IF(ISNUMBER(SEARCH("Offnet B2C",C558)),"Merchant Payment",IF(ISNUMBER(SEARCH("Customer Payment to Small",C558)),"Merchant Payment",IF(ISNUMBER(SEARCH("Payment to Small Business",C558)),"Merchant Payment",IF(ISNUMBER(SEARCH("Sent to",C558)),"Sent to Person",IF(ISNUMBER(SEARCH("Customer Transfer to",C558)),"Sent to Person",IF(ISNUMBER(SEARCH("Business Payment",C558)),"Money In",IF(ISNUMBER(SEARCH("Funds Received",C558)),"Money In",IF(ISNUMBER(SEARCH("Receive International",C558)),"Money In",IF(ISNUMBER(SEARCH("Send Money Reversal",C558)),"Money In",IF(ISNUMBER(SEARCH("Pay Utility Reversal",C558)),"Money In",IF(ISNUMBER(SEARCH("Customer Transfer",C558)),"Money In",IF(ISNUMBER(SEARCH("Ziidi",C558)),"Investment",IF(ISNUMBER(SEARCH("Nabo",C558)),"Investment",IF(ISNUMBER(SEARCH("Paybill Online",C558)),"Pay Bill",IF(ISNUMBER(SEARCH("Pay Bill",C558)),"Pay Bill",IF(ISNUMBER(SEARCH("Spotify",C558)),"Pay Bill",IF(ISNUMBER(SEARCH("M-Shwari",C558)),"Mshwari",IF(ISNUMBER(SEARCH("Mshwari",C558)),"Mshwari",IF(ISNUMBER(SEARCH("Withdrawal charge",C558)),"Fees",IF(ISNUMBER(SEARCH("Customer Withdrawal",C558)),"Fees",IF(ISNUMBER(SEARCH("charge",C558)),"Fees","Other")))))))))))))))))))))))))</f>
        <v>Bundles</v>
      </c>
      <c r="R558" s="1" t="str">
        <f aca="false">TEXT(B558,"MMM YYYY")</f>
        <v>Mar 2026</v>
      </c>
    </row>
    <row r="559" customFormat="false" ht="13.8" hidden="false" customHeight="false" outlineLevel="0" collapsed="false">
      <c r="A559" s="4" t="s">
        <v>1187</v>
      </c>
      <c r="B559" s="4" t="s">
        <v>1188</v>
      </c>
      <c r="C559" s="4" t="s">
        <v>29</v>
      </c>
      <c r="D559" s="4" t="s">
        <v>18</v>
      </c>
      <c r="E559" s="4"/>
      <c r="F559" s="4" t="n">
        <v>20</v>
      </c>
      <c r="G559" s="4" t="n">
        <v>452</v>
      </c>
      <c r="L559" s="1" t="str">
        <f aca="false">IF(ISNUMBER(SEARCH("Bundle",C559)),"Bundles",IF(ISNUMBER(SEARCH("Airtime",C559)),"Bundles",IF(ISNUMBER(SEARCH("Merchant",C559)),"Merchant Payment",IF(ISNUMBER(SEARCH("Offnet C2B",C559)),"Merchant Payment",IF(ISNUMBER(SEARCH("Offnet B2C",C559)),"Merchant Payment",IF(ISNUMBER(SEARCH("Customer Payment to Small",C559)),"Merchant Payment",IF(ISNUMBER(SEARCH("Payment to Small Business",C559)),"Merchant Payment",IF(ISNUMBER(SEARCH("Sent to",C559)),"Sent to Person",IF(ISNUMBER(SEARCH("Customer Transfer to",C559)),"Sent to Person",IF(ISNUMBER(SEARCH("Business Payment",C559)),"Money In",IF(ISNUMBER(SEARCH("Funds Received",C559)),"Money In",IF(ISNUMBER(SEARCH("Receive International",C559)),"Money In",IF(ISNUMBER(SEARCH("Send Money Reversal",C559)),"Money In",IF(ISNUMBER(SEARCH("Pay Utility Reversal",C559)),"Money In",IF(ISNUMBER(SEARCH("Customer Transfer",C559)),"Money In",IF(ISNUMBER(SEARCH("Ziidi",C559)),"Investment",IF(ISNUMBER(SEARCH("Nabo",C559)),"Investment",IF(ISNUMBER(SEARCH("Paybill Online",C559)),"Pay Bill",IF(ISNUMBER(SEARCH("Pay Bill",C559)),"Pay Bill",IF(ISNUMBER(SEARCH("Spotify",C559)),"Pay Bill",IF(ISNUMBER(SEARCH("M-Shwari",C559)),"Mshwari",IF(ISNUMBER(SEARCH("Mshwari",C559)),"Mshwari",IF(ISNUMBER(SEARCH("Withdrawal charge",C559)),"Fees",IF(ISNUMBER(SEARCH("Customer Withdrawal",C559)),"Fees",IF(ISNUMBER(SEARCH("charge",C559)),"Fees","Other")))))))))))))))))))))))))</f>
        <v>Bundles</v>
      </c>
      <c r="R559" s="1" t="str">
        <f aca="false">TEXT(B559,"MMM YYYY")</f>
        <v>Mar 2026</v>
      </c>
    </row>
    <row r="560" customFormat="false" ht="13.8" hidden="false" customHeight="false" outlineLevel="0" collapsed="false">
      <c r="A560" s="4" t="s">
        <v>1189</v>
      </c>
      <c r="B560" s="4" t="s">
        <v>1190</v>
      </c>
      <c r="C560" s="4" t="s">
        <v>29</v>
      </c>
      <c r="D560" s="4" t="s">
        <v>18</v>
      </c>
      <c r="E560" s="4"/>
      <c r="F560" s="4" t="n">
        <v>10</v>
      </c>
      <c r="G560" s="4" t="n">
        <v>442</v>
      </c>
      <c r="L560" s="1" t="str">
        <f aca="false">IF(ISNUMBER(SEARCH("Bundle",C560)),"Bundles",IF(ISNUMBER(SEARCH("Airtime",C560)),"Bundles",IF(ISNUMBER(SEARCH("Merchant",C560)),"Merchant Payment",IF(ISNUMBER(SEARCH("Offnet C2B",C560)),"Merchant Payment",IF(ISNUMBER(SEARCH("Offnet B2C",C560)),"Merchant Payment",IF(ISNUMBER(SEARCH("Customer Payment to Small",C560)),"Merchant Payment",IF(ISNUMBER(SEARCH("Payment to Small Business",C560)),"Merchant Payment",IF(ISNUMBER(SEARCH("Sent to",C560)),"Sent to Person",IF(ISNUMBER(SEARCH("Customer Transfer to",C560)),"Sent to Person",IF(ISNUMBER(SEARCH("Business Payment",C560)),"Money In",IF(ISNUMBER(SEARCH("Funds Received",C560)),"Money In",IF(ISNUMBER(SEARCH("Receive International",C560)),"Money In",IF(ISNUMBER(SEARCH("Send Money Reversal",C560)),"Money In",IF(ISNUMBER(SEARCH("Pay Utility Reversal",C560)),"Money In",IF(ISNUMBER(SEARCH("Customer Transfer",C560)),"Money In",IF(ISNUMBER(SEARCH("Ziidi",C560)),"Investment",IF(ISNUMBER(SEARCH("Nabo",C560)),"Investment",IF(ISNUMBER(SEARCH("Paybill Online",C560)),"Pay Bill",IF(ISNUMBER(SEARCH("Pay Bill",C560)),"Pay Bill",IF(ISNUMBER(SEARCH("Spotify",C560)),"Pay Bill",IF(ISNUMBER(SEARCH("M-Shwari",C560)),"Mshwari",IF(ISNUMBER(SEARCH("Mshwari",C560)),"Mshwari",IF(ISNUMBER(SEARCH("Withdrawal charge",C560)),"Fees",IF(ISNUMBER(SEARCH("Customer Withdrawal",C560)),"Fees",IF(ISNUMBER(SEARCH("charge",C560)),"Fees","Other")))))))))))))))))))))))))</f>
        <v>Bundles</v>
      </c>
      <c r="R560" s="1" t="str">
        <f aca="false">TEXT(B560,"MMM YYYY")</f>
        <v>Mar 2026</v>
      </c>
    </row>
    <row r="561" customFormat="false" ht="13.8" hidden="false" customHeight="false" outlineLevel="0" collapsed="false">
      <c r="A561" s="4" t="s">
        <v>1191</v>
      </c>
      <c r="B561" s="4" t="s">
        <v>1192</v>
      </c>
      <c r="C561" s="4" t="s">
        <v>29</v>
      </c>
      <c r="D561" s="4" t="s">
        <v>18</v>
      </c>
      <c r="E561" s="4"/>
      <c r="F561" s="4" t="n">
        <v>10</v>
      </c>
      <c r="G561" s="4" t="n">
        <v>432</v>
      </c>
      <c r="L561" s="1" t="str">
        <f aca="false">IF(ISNUMBER(SEARCH("Bundle",C561)),"Bundles",IF(ISNUMBER(SEARCH("Airtime",C561)),"Bundles",IF(ISNUMBER(SEARCH("Merchant",C561)),"Merchant Payment",IF(ISNUMBER(SEARCH("Offnet C2B",C561)),"Merchant Payment",IF(ISNUMBER(SEARCH("Offnet B2C",C561)),"Merchant Payment",IF(ISNUMBER(SEARCH("Customer Payment to Small",C561)),"Merchant Payment",IF(ISNUMBER(SEARCH("Payment to Small Business",C561)),"Merchant Payment",IF(ISNUMBER(SEARCH("Sent to",C561)),"Sent to Person",IF(ISNUMBER(SEARCH("Customer Transfer to",C561)),"Sent to Person",IF(ISNUMBER(SEARCH("Business Payment",C561)),"Money In",IF(ISNUMBER(SEARCH("Funds Received",C561)),"Money In",IF(ISNUMBER(SEARCH("Receive International",C561)),"Money In",IF(ISNUMBER(SEARCH("Send Money Reversal",C561)),"Money In",IF(ISNUMBER(SEARCH("Pay Utility Reversal",C561)),"Money In",IF(ISNUMBER(SEARCH("Customer Transfer",C561)),"Money In",IF(ISNUMBER(SEARCH("Ziidi",C561)),"Investment",IF(ISNUMBER(SEARCH("Nabo",C561)),"Investment",IF(ISNUMBER(SEARCH("Paybill Online",C561)),"Pay Bill",IF(ISNUMBER(SEARCH("Pay Bill",C561)),"Pay Bill",IF(ISNUMBER(SEARCH("Spotify",C561)),"Pay Bill",IF(ISNUMBER(SEARCH("M-Shwari",C561)),"Mshwari",IF(ISNUMBER(SEARCH("Mshwari",C561)),"Mshwari",IF(ISNUMBER(SEARCH("Withdrawal charge",C561)),"Fees",IF(ISNUMBER(SEARCH("Customer Withdrawal",C561)),"Fees",IF(ISNUMBER(SEARCH("charge",C561)),"Fees","Other")))))))))))))))))))))))))</f>
        <v>Bundles</v>
      </c>
      <c r="R561" s="1" t="str">
        <f aca="false">TEXT(B561,"MMM YYYY")</f>
        <v>Mar 2026</v>
      </c>
    </row>
    <row r="562" customFormat="false" ht="13.8" hidden="false" customHeight="false" outlineLevel="0" collapsed="false">
      <c r="A562" s="4" t="s">
        <v>1193</v>
      </c>
      <c r="B562" s="4" t="s">
        <v>1194</v>
      </c>
      <c r="C562" s="4" t="s">
        <v>29</v>
      </c>
      <c r="D562" s="4" t="s">
        <v>18</v>
      </c>
      <c r="E562" s="4"/>
      <c r="F562" s="4" t="n">
        <v>10</v>
      </c>
      <c r="G562" s="4" t="n">
        <v>422</v>
      </c>
      <c r="L562" s="1" t="str">
        <f aca="false">IF(ISNUMBER(SEARCH("Bundle",C562)),"Bundles",IF(ISNUMBER(SEARCH("Airtime",C562)),"Bundles",IF(ISNUMBER(SEARCH("Merchant",C562)),"Merchant Payment",IF(ISNUMBER(SEARCH("Offnet C2B",C562)),"Merchant Payment",IF(ISNUMBER(SEARCH("Offnet B2C",C562)),"Merchant Payment",IF(ISNUMBER(SEARCH("Customer Payment to Small",C562)),"Merchant Payment",IF(ISNUMBER(SEARCH("Payment to Small Business",C562)),"Merchant Payment",IF(ISNUMBER(SEARCH("Sent to",C562)),"Sent to Person",IF(ISNUMBER(SEARCH("Customer Transfer to",C562)),"Sent to Person",IF(ISNUMBER(SEARCH("Business Payment",C562)),"Money In",IF(ISNUMBER(SEARCH("Funds Received",C562)),"Money In",IF(ISNUMBER(SEARCH("Receive International",C562)),"Money In",IF(ISNUMBER(SEARCH("Send Money Reversal",C562)),"Money In",IF(ISNUMBER(SEARCH("Pay Utility Reversal",C562)),"Money In",IF(ISNUMBER(SEARCH("Customer Transfer",C562)),"Money In",IF(ISNUMBER(SEARCH("Ziidi",C562)),"Investment",IF(ISNUMBER(SEARCH("Nabo",C562)),"Investment",IF(ISNUMBER(SEARCH("Paybill Online",C562)),"Pay Bill",IF(ISNUMBER(SEARCH("Pay Bill",C562)),"Pay Bill",IF(ISNUMBER(SEARCH("Spotify",C562)),"Pay Bill",IF(ISNUMBER(SEARCH("M-Shwari",C562)),"Mshwari",IF(ISNUMBER(SEARCH("Mshwari",C562)),"Mshwari",IF(ISNUMBER(SEARCH("Withdrawal charge",C562)),"Fees",IF(ISNUMBER(SEARCH("Customer Withdrawal",C562)),"Fees",IF(ISNUMBER(SEARCH("charge",C562)),"Fees","Other")))))))))))))))))))))))))</f>
        <v>Bundles</v>
      </c>
      <c r="R562" s="1" t="str">
        <f aca="false">TEXT(B562,"MMM YYYY")</f>
        <v>Mar 2026</v>
      </c>
    </row>
    <row r="563" customFormat="false" ht="13.8" hidden="false" customHeight="false" outlineLevel="0" collapsed="false">
      <c r="A563" s="4" t="s">
        <v>1195</v>
      </c>
      <c r="B563" s="4" t="s">
        <v>1196</v>
      </c>
      <c r="C563" s="4" t="s">
        <v>29</v>
      </c>
      <c r="D563" s="4" t="s">
        <v>18</v>
      </c>
      <c r="E563" s="4"/>
      <c r="F563" s="4" t="n">
        <v>10</v>
      </c>
      <c r="G563" s="4" t="n">
        <v>412</v>
      </c>
      <c r="L563" s="1" t="str">
        <f aca="false">IF(ISNUMBER(SEARCH("Bundle",C563)),"Bundles",IF(ISNUMBER(SEARCH("Airtime",C563)),"Bundles",IF(ISNUMBER(SEARCH("Merchant",C563)),"Merchant Payment",IF(ISNUMBER(SEARCH("Offnet C2B",C563)),"Merchant Payment",IF(ISNUMBER(SEARCH("Offnet B2C",C563)),"Merchant Payment",IF(ISNUMBER(SEARCH("Customer Payment to Small",C563)),"Merchant Payment",IF(ISNUMBER(SEARCH("Payment to Small Business",C563)),"Merchant Payment",IF(ISNUMBER(SEARCH("Sent to",C563)),"Sent to Person",IF(ISNUMBER(SEARCH("Customer Transfer to",C563)),"Sent to Person",IF(ISNUMBER(SEARCH("Business Payment",C563)),"Money In",IF(ISNUMBER(SEARCH("Funds Received",C563)),"Money In",IF(ISNUMBER(SEARCH("Receive International",C563)),"Money In",IF(ISNUMBER(SEARCH("Send Money Reversal",C563)),"Money In",IF(ISNUMBER(SEARCH("Pay Utility Reversal",C563)),"Money In",IF(ISNUMBER(SEARCH("Customer Transfer",C563)),"Money In",IF(ISNUMBER(SEARCH("Ziidi",C563)),"Investment",IF(ISNUMBER(SEARCH("Nabo",C563)),"Investment",IF(ISNUMBER(SEARCH("Paybill Online",C563)),"Pay Bill",IF(ISNUMBER(SEARCH("Pay Bill",C563)),"Pay Bill",IF(ISNUMBER(SEARCH("Spotify",C563)),"Pay Bill",IF(ISNUMBER(SEARCH("M-Shwari",C563)),"Mshwari",IF(ISNUMBER(SEARCH("Mshwari",C563)),"Mshwari",IF(ISNUMBER(SEARCH("Withdrawal charge",C563)),"Fees",IF(ISNUMBER(SEARCH("Customer Withdrawal",C563)),"Fees",IF(ISNUMBER(SEARCH("charge",C563)),"Fees","Other")))))))))))))))))))))))))</f>
        <v>Bundles</v>
      </c>
      <c r="R563" s="1" t="str">
        <f aca="false">TEXT(B563,"MMM YYYY")</f>
        <v>Mar 2026</v>
      </c>
    </row>
    <row r="564" customFormat="false" ht="13.8" hidden="false" customHeight="false" outlineLevel="0" collapsed="false">
      <c r="A564" s="4" t="s">
        <v>1197</v>
      </c>
      <c r="B564" s="4" t="s">
        <v>1198</v>
      </c>
      <c r="C564" s="4" t="s">
        <v>29</v>
      </c>
      <c r="D564" s="4" t="s">
        <v>18</v>
      </c>
      <c r="E564" s="4"/>
      <c r="F564" s="4" t="n">
        <v>10</v>
      </c>
      <c r="G564" s="4" t="n">
        <v>402</v>
      </c>
      <c r="L564" s="1" t="str">
        <f aca="false">IF(ISNUMBER(SEARCH("Bundle",C564)),"Bundles",IF(ISNUMBER(SEARCH("Airtime",C564)),"Bundles",IF(ISNUMBER(SEARCH("Merchant",C564)),"Merchant Payment",IF(ISNUMBER(SEARCH("Offnet C2B",C564)),"Merchant Payment",IF(ISNUMBER(SEARCH("Offnet B2C",C564)),"Merchant Payment",IF(ISNUMBER(SEARCH("Customer Payment to Small",C564)),"Merchant Payment",IF(ISNUMBER(SEARCH("Payment to Small Business",C564)),"Merchant Payment",IF(ISNUMBER(SEARCH("Sent to",C564)),"Sent to Person",IF(ISNUMBER(SEARCH("Customer Transfer to",C564)),"Sent to Person",IF(ISNUMBER(SEARCH("Business Payment",C564)),"Money In",IF(ISNUMBER(SEARCH("Funds Received",C564)),"Money In",IF(ISNUMBER(SEARCH("Receive International",C564)),"Money In",IF(ISNUMBER(SEARCH("Send Money Reversal",C564)),"Money In",IF(ISNUMBER(SEARCH("Pay Utility Reversal",C564)),"Money In",IF(ISNUMBER(SEARCH("Customer Transfer",C564)),"Money In",IF(ISNUMBER(SEARCH("Ziidi",C564)),"Investment",IF(ISNUMBER(SEARCH("Nabo",C564)),"Investment",IF(ISNUMBER(SEARCH("Paybill Online",C564)),"Pay Bill",IF(ISNUMBER(SEARCH("Pay Bill",C564)),"Pay Bill",IF(ISNUMBER(SEARCH("Spotify",C564)),"Pay Bill",IF(ISNUMBER(SEARCH("M-Shwari",C564)),"Mshwari",IF(ISNUMBER(SEARCH("Mshwari",C564)),"Mshwari",IF(ISNUMBER(SEARCH("Withdrawal charge",C564)),"Fees",IF(ISNUMBER(SEARCH("Customer Withdrawal",C564)),"Fees",IF(ISNUMBER(SEARCH("charge",C564)),"Fees","Other")))))))))))))))))))))))))</f>
        <v>Bundles</v>
      </c>
      <c r="R564" s="1" t="str">
        <f aca="false">TEXT(B564,"MMM YYYY")</f>
        <v>Mar 2026</v>
      </c>
    </row>
    <row r="565" customFormat="false" ht="13.8" hidden="false" customHeight="false" outlineLevel="0" collapsed="false">
      <c r="A565" s="4" t="s">
        <v>1199</v>
      </c>
      <c r="B565" s="4" t="s">
        <v>1200</v>
      </c>
      <c r="C565" s="4" t="s">
        <v>467</v>
      </c>
      <c r="D565" s="4" t="s">
        <v>18</v>
      </c>
      <c r="E565" s="4"/>
      <c r="F565" s="4" t="n">
        <v>60</v>
      </c>
      <c r="G565" s="4" t="n">
        <v>342</v>
      </c>
      <c r="L565" s="1" t="str">
        <f aca="false">IF(ISNUMBER(SEARCH("Bundle",C565)),"Bundles",IF(ISNUMBER(SEARCH("Airtime",C565)),"Bundles",IF(ISNUMBER(SEARCH("Merchant",C565)),"Merchant Payment",IF(ISNUMBER(SEARCH("Offnet C2B",C565)),"Merchant Payment",IF(ISNUMBER(SEARCH("Offnet B2C",C565)),"Merchant Payment",IF(ISNUMBER(SEARCH("Customer Payment to Small",C565)),"Merchant Payment",IF(ISNUMBER(SEARCH("Payment to Small Business",C565)),"Merchant Payment",IF(ISNUMBER(SEARCH("Sent to",C565)),"Sent to Person",IF(ISNUMBER(SEARCH("Customer Transfer to",C565)),"Sent to Person",IF(ISNUMBER(SEARCH("Business Payment",C565)),"Money In",IF(ISNUMBER(SEARCH("Funds Received",C565)),"Money In",IF(ISNUMBER(SEARCH("Receive International",C565)),"Money In",IF(ISNUMBER(SEARCH("Send Money Reversal",C565)),"Money In",IF(ISNUMBER(SEARCH("Pay Utility Reversal",C565)),"Money In",IF(ISNUMBER(SEARCH("Customer Transfer",C565)),"Money In",IF(ISNUMBER(SEARCH("Ziidi",C565)),"Investment",IF(ISNUMBER(SEARCH("Nabo",C565)),"Investment",IF(ISNUMBER(SEARCH("Paybill Online",C565)),"Pay Bill",IF(ISNUMBER(SEARCH("Pay Bill",C565)),"Pay Bill",IF(ISNUMBER(SEARCH("Spotify",C565)),"Pay Bill",IF(ISNUMBER(SEARCH("M-Shwari",C565)),"Mshwari",IF(ISNUMBER(SEARCH("Mshwari",C565)),"Mshwari",IF(ISNUMBER(SEARCH("Withdrawal charge",C565)),"Fees",IF(ISNUMBER(SEARCH("Customer Withdrawal",C565)),"Fees",IF(ISNUMBER(SEARCH("charge",C565)),"Fees","Other")))))))))))))))))))))))))</f>
        <v>Merchant Payment</v>
      </c>
      <c r="R565" s="1" t="str">
        <f aca="false">TEXT(B565,"MMM YYYY")</f>
        <v>Mar 2026</v>
      </c>
    </row>
    <row r="566" customFormat="false" ht="13.8" hidden="false" customHeight="false" outlineLevel="0" collapsed="false">
      <c r="A566" s="4" t="s">
        <v>1201</v>
      </c>
      <c r="B566" s="4" t="s">
        <v>1202</v>
      </c>
      <c r="C566" s="4" t="s">
        <v>1203</v>
      </c>
      <c r="D566" s="4" t="s">
        <v>18</v>
      </c>
      <c r="E566" s="4"/>
      <c r="F566" s="4" t="n">
        <v>50</v>
      </c>
      <c r="G566" s="4" t="n">
        <v>292</v>
      </c>
      <c r="L566" s="1" t="str">
        <f aca="false">IF(ISNUMBER(SEARCH("Bundle",C566)),"Bundles",IF(ISNUMBER(SEARCH("Airtime",C566)),"Bundles",IF(ISNUMBER(SEARCH("Merchant",C566)),"Merchant Payment",IF(ISNUMBER(SEARCH("Offnet C2B",C566)),"Merchant Payment",IF(ISNUMBER(SEARCH("Offnet B2C",C566)),"Merchant Payment",IF(ISNUMBER(SEARCH("Customer Payment to Small",C566)),"Merchant Payment",IF(ISNUMBER(SEARCH("Payment to Small Business",C566)),"Merchant Payment",IF(ISNUMBER(SEARCH("Sent to",C566)),"Sent to Person",IF(ISNUMBER(SEARCH("Customer Transfer to",C566)),"Sent to Person",IF(ISNUMBER(SEARCH("Business Payment",C566)),"Money In",IF(ISNUMBER(SEARCH("Funds Received",C566)),"Money In",IF(ISNUMBER(SEARCH("Receive International",C566)),"Money In",IF(ISNUMBER(SEARCH("Send Money Reversal",C566)),"Money In",IF(ISNUMBER(SEARCH("Pay Utility Reversal",C566)),"Money In",IF(ISNUMBER(SEARCH("Customer Transfer",C566)),"Money In",IF(ISNUMBER(SEARCH("Ziidi",C566)),"Investment",IF(ISNUMBER(SEARCH("Nabo",C566)),"Investment",IF(ISNUMBER(SEARCH("Paybill Online",C566)),"Pay Bill",IF(ISNUMBER(SEARCH("Pay Bill",C566)),"Pay Bill",IF(ISNUMBER(SEARCH("Spotify",C566)),"Pay Bill",IF(ISNUMBER(SEARCH("M-Shwari",C566)),"Mshwari",IF(ISNUMBER(SEARCH("Mshwari",C566)),"Mshwari",IF(ISNUMBER(SEARCH("Withdrawal charge",C566)),"Fees",IF(ISNUMBER(SEARCH("Customer Withdrawal",C566)),"Fees",IF(ISNUMBER(SEARCH("charge",C566)),"Fees","Other")))))))))))))))))))))))))</f>
        <v>Merchant Payment</v>
      </c>
      <c r="R566" s="1" t="str">
        <f aca="false">TEXT(B566,"MMM YYYY")</f>
        <v>Mar 2026</v>
      </c>
    </row>
    <row r="567" customFormat="false" ht="13.8" hidden="false" customHeight="false" outlineLevel="0" collapsed="false">
      <c r="A567" s="4" t="s">
        <v>1204</v>
      </c>
      <c r="B567" s="4" t="s">
        <v>1205</v>
      </c>
      <c r="C567" s="4" t="s">
        <v>1206</v>
      </c>
      <c r="D567" s="4" t="s">
        <v>18</v>
      </c>
      <c r="E567" s="4"/>
      <c r="F567" s="4" t="n">
        <v>20</v>
      </c>
      <c r="G567" s="4" t="n">
        <v>272</v>
      </c>
      <c r="L567" s="1" t="str">
        <f aca="false">IF(ISNUMBER(SEARCH("Bundle",C567)),"Bundles",IF(ISNUMBER(SEARCH("Airtime",C567)),"Bundles",IF(ISNUMBER(SEARCH("Merchant",C567)),"Merchant Payment",IF(ISNUMBER(SEARCH("Offnet C2B",C567)),"Merchant Payment",IF(ISNUMBER(SEARCH("Offnet B2C",C567)),"Merchant Payment",IF(ISNUMBER(SEARCH("Customer Payment to Small",C567)),"Merchant Payment",IF(ISNUMBER(SEARCH("Payment to Small Business",C567)),"Merchant Payment",IF(ISNUMBER(SEARCH("Sent to",C567)),"Sent to Person",IF(ISNUMBER(SEARCH("Customer Transfer to",C567)),"Sent to Person",IF(ISNUMBER(SEARCH("Business Payment",C567)),"Money In",IF(ISNUMBER(SEARCH("Funds Received",C567)),"Money In",IF(ISNUMBER(SEARCH("Receive International",C567)),"Money In",IF(ISNUMBER(SEARCH("Send Money Reversal",C567)),"Money In",IF(ISNUMBER(SEARCH("Pay Utility Reversal",C567)),"Money In",IF(ISNUMBER(SEARCH("Customer Transfer",C567)),"Money In",IF(ISNUMBER(SEARCH("Ziidi",C567)),"Investment",IF(ISNUMBER(SEARCH("Nabo",C567)),"Investment",IF(ISNUMBER(SEARCH("Paybill Online",C567)),"Pay Bill",IF(ISNUMBER(SEARCH("Pay Bill",C567)),"Pay Bill",IF(ISNUMBER(SEARCH("Spotify",C567)),"Pay Bill",IF(ISNUMBER(SEARCH("M-Shwari",C567)),"Mshwari",IF(ISNUMBER(SEARCH("Mshwari",C567)),"Mshwari",IF(ISNUMBER(SEARCH("Withdrawal charge",C567)),"Fees",IF(ISNUMBER(SEARCH("Customer Withdrawal",C567)),"Fees",IF(ISNUMBER(SEARCH("charge",C567)),"Fees","Other")))))))))))))))))))))))))</f>
        <v>Sent to Person</v>
      </c>
      <c r="R567" s="1" t="str">
        <f aca="false">TEXT(B567,"MMM YYYY")</f>
        <v>Mar 2026</v>
      </c>
    </row>
    <row r="568" customFormat="false" ht="13.8" hidden="false" customHeight="false" outlineLevel="0" collapsed="false">
      <c r="A568" s="4" t="s">
        <v>1207</v>
      </c>
      <c r="B568" s="4" t="s">
        <v>1208</v>
      </c>
      <c r="C568" s="4" t="s">
        <v>29</v>
      </c>
      <c r="D568" s="4" t="s">
        <v>18</v>
      </c>
      <c r="E568" s="4"/>
      <c r="F568" s="4" t="n">
        <v>10</v>
      </c>
      <c r="G568" s="4" t="n">
        <v>262</v>
      </c>
      <c r="L568" s="1" t="str">
        <f aca="false">IF(ISNUMBER(SEARCH("Bundle",C568)),"Bundles",IF(ISNUMBER(SEARCH("Airtime",C568)),"Bundles",IF(ISNUMBER(SEARCH("Merchant",C568)),"Merchant Payment",IF(ISNUMBER(SEARCH("Offnet C2B",C568)),"Merchant Payment",IF(ISNUMBER(SEARCH("Offnet B2C",C568)),"Merchant Payment",IF(ISNUMBER(SEARCH("Customer Payment to Small",C568)),"Merchant Payment",IF(ISNUMBER(SEARCH("Payment to Small Business",C568)),"Merchant Payment",IF(ISNUMBER(SEARCH("Sent to",C568)),"Sent to Person",IF(ISNUMBER(SEARCH("Customer Transfer to",C568)),"Sent to Person",IF(ISNUMBER(SEARCH("Business Payment",C568)),"Money In",IF(ISNUMBER(SEARCH("Funds Received",C568)),"Money In",IF(ISNUMBER(SEARCH("Receive International",C568)),"Money In",IF(ISNUMBER(SEARCH("Send Money Reversal",C568)),"Money In",IF(ISNUMBER(SEARCH("Pay Utility Reversal",C568)),"Money In",IF(ISNUMBER(SEARCH("Customer Transfer",C568)),"Money In",IF(ISNUMBER(SEARCH("Ziidi",C568)),"Investment",IF(ISNUMBER(SEARCH("Nabo",C568)),"Investment",IF(ISNUMBER(SEARCH("Paybill Online",C568)),"Pay Bill",IF(ISNUMBER(SEARCH("Pay Bill",C568)),"Pay Bill",IF(ISNUMBER(SEARCH("Spotify",C568)),"Pay Bill",IF(ISNUMBER(SEARCH("M-Shwari",C568)),"Mshwari",IF(ISNUMBER(SEARCH("Mshwari",C568)),"Mshwari",IF(ISNUMBER(SEARCH("Withdrawal charge",C568)),"Fees",IF(ISNUMBER(SEARCH("Customer Withdrawal",C568)),"Fees",IF(ISNUMBER(SEARCH("charge",C568)),"Fees","Other")))))))))))))))))))))))))</f>
        <v>Bundles</v>
      </c>
      <c r="R568" s="1" t="str">
        <f aca="false">TEXT(B568,"MMM YYYY")</f>
        <v>Mar 2026</v>
      </c>
    </row>
    <row r="569" customFormat="false" ht="13.8" hidden="false" customHeight="false" outlineLevel="0" collapsed="false">
      <c r="A569" s="4" t="s">
        <v>1209</v>
      </c>
      <c r="B569" s="4" t="s">
        <v>1210</v>
      </c>
      <c r="C569" s="4" t="s">
        <v>1010</v>
      </c>
      <c r="D569" s="4" t="s">
        <v>18</v>
      </c>
      <c r="E569" s="4"/>
      <c r="F569" s="4" t="n">
        <v>50</v>
      </c>
      <c r="G569" s="4" t="n">
        <v>212</v>
      </c>
      <c r="L569" s="1" t="str">
        <f aca="false">IF(ISNUMBER(SEARCH("Bundle",C569)),"Bundles",IF(ISNUMBER(SEARCH("Airtime",C569)),"Bundles",IF(ISNUMBER(SEARCH("Merchant",C569)),"Merchant Payment",IF(ISNUMBER(SEARCH("Offnet C2B",C569)),"Merchant Payment",IF(ISNUMBER(SEARCH("Offnet B2C",C569)),"Merchant Payment",IF(ISNUMBER(SEARCH("Customer Payment to Small",C569)),"Merchant Payment",IF(ISNUMBER(SEARCH("Payment to Small Business",C569)),"Merchant Payment",IF(ISNUMBER(SEARCH("Sent to",C569)),"Sent to Person",IF(ISNUMBER(SEARCH("Customer Transfer to",C569)),"Sent to Person",IF(ISNUMBER(SEARCH("Business Payment",C569)),"Money In",IF(ISNUMBER(SEARCH("Funds Received",C569)),"Money In",IF(ISNUMBER(SEARCH("Receive International",C569)),"Money In",IF(ISNUMBER(SEARCH("Send Money Reversal",C569)),"Money In",IF(ISNUMBER(SEARCH("Pay Utility Reversal",C569)),"Money In",IF(ISNUMBER(SEARCH("Customer Transfer",C569)),"Money In",IF(ISNUMBER(SEARCH("Ziidi",C569)),"Investment",IF(ISNUMBER(SEARCH("Nabo",C569)),"Investment",IF(ISNUMBER(SEARCH("Paybill Online",C569)),"Pay Bill",IF(ISNUMBER(SEARCH("Pay Bill",C569)),"Pay Bill",IF(ISNUMBER(SEARCH("Spotify",C569)),"Pay Bill",IF(ISNUMBER(SEARCH("M-Shwari",C569)),"Mshwari",IF(ISNUMBER(SEARCH("Mshwari",C569)),"Mshwari",IF(ISNUMBER(SEARCH("Withdrawal charge",C569)),"Fees",IF(ISNUMBER(SEARCH("Customer Withdrawal",C569)),"Fees",IF(ISNUMBER(SEARCH("charge",C569)),"Fees","Other")))))))))))))))))))))))))</f>
        <v>Merchant Payment</v>
      </c>
      <c r="R569" s="1" t="str">
        <f aca="false">TEXT(B569,"MMM YYYY")</f>
        <v>Mar 2026</v>
      </c>
    </row>
    <row r="570" customFormat="false" ht="13.8" hidden="false" customHeight="false" outlineLevel="0" collapsed="false">
      <c r="A570" s="4" t="s">
        <v>1211</v>
      </c>
      <c r="B570" s="4" t="s">
        <v>1212</v>
      </c>
      <c r="C570" s="4" t="s">
        <v>1073</v>
      </c>
      <c r="D570" s="4" t="s">
        <v>18</v>
      </c>
      <c r="E570" s="4"/>
      <c r="F570" s="4" t="n">
        <v>30</v>
      </c>
      <c r="G570" s="4" t="n">
        <v>182</v>
      </c>
      <c r="L570" s="1" t="str">
        <f aca="false">IF(ISNUMBER(SEARCH("Bundle",C570)),"Bundles",IF(ISNUMBER(SEARCH("Airtime",C570)),"Bundles",IF(ISNUMBER(SEARCH("Merchant",C570)),"Merchant Payment",IF(ISNUMBER(SEARCH("Offnet C2B",C570)),"Merchant Payment",IF(ISNUMBER(SEARCH("Offnet B2C",C570)),"Merchant Payment",IF(ISNUMBER(SEARCH("Customer Payment to Small",C570)),"Merchant Payment",IF(ISNUMBER(SEARCH("Payment to Small Business",C570)),"Merchant Payment",IF(ISNUMBER(SEARCH("Sent to",C570)),"Sent to Person",IF(ISNUMBER(SEARCH("Customer Transfer to",C570)),"Sent to Person",IF(ISNUMBER(SEARCH("Business Payment",C570)),"Money In",IF(ISNUMBER(SEARCH("Funds Received",C570)),"Money In",IF(ISNUMBER(SEARCH("Receive International",C570)),"Money In",IF(ISNUMBER(SEARCH("Send Money Reversal",C570)),"Money In",IF(ISNUMBER(SEARCH("Pay Utility Reversal",C570)),"Money In",IF(ISNUMBER(SEARCH("Customer Transfer",C570)),"Money In",IF(ISNUMBER(SEARCH("Ziidi",C570)),"Investment",IF(ISNUMBER(SEARCH("Nabo",C570)),"Investment",IF(ISNUMBER(SEARCH("Paybill Online",C570)),"Pay Bill",IF(ISNUMBER(SEARCH("Pay Bill",C570)),"Pay Bill",IF(ISNUMBER(SEARCH("Spotify",C570)),"Pay Bill",IF(ISNUMBER(SEARCH("M-Shwari",C570)),"Mshwari",IF(ISNUMBER(SEARCH("Mshwari",C570)),"Mshwari",IF(ISNUMBER(SEARCH("Withdrawal charge",C570)),"Fees",IF(ISNUMBER(SEARCH("Customer Withdrawal",C570)),"Fees",IF(ISNUMBER(SEARCH("charge",C570)),"Fees","Other")))))))))))))))))))))))))</f>
        <v>Merchant Payment</v>
      </c>
      <c r="R570" s="1" t="str">
        <f aca="false">TEXT(B570,"MMM YYYY")</f>
        <v>Mar 2026</v>
      </c>
    </row>
    <row r="571" customFormat="false" ht="13.8" hidden="false" customHeight="false" outlineLevel="0" collapsed="false">
      <c r="A571" s="4" t="s">
        <v>1213</v>
      </c>
      <c r="B571" s="4" t="s">
        <v>1214</v>
      </c>
      <c r="C571" s="4" t="s">
        <v>45</v>
      </c>
      <c r="D571" s="4" t="s">
        <v>18</v>
      </c>
      <c r="E571" s="4"/>
      <c r="F571" s="4" t="n">
        <v>40</v>
      </c>
      <c r="G571" s="4" t="n">
        <v>142</v>
      </c>
      <c r="L571" s="1" t="str">
        <f aca="false">IF(ISNUMBER(SEARCH("Bundle",C571)),"Bundles",IF(ISNUMBER(SEARCH("Airtime",C571)),"Bundles",IF(ISNUMBER(SEARCH("Merchant",C571)),"Merchant Payment",IF(ISNUMBER(SEARCH("Offnet C2B",C571)),"Merchant Payment",IF(ISNUMBER(SEARCH("Offnet B2C",C571)),"Merchant Payment",IF(ISNUMBER(SEARCH("Customer Payment to Small",C571)),"Merchant Payment",IF(ISNUMBER(SEARCH("Payment to Small Business",C571)),"Merchant Payment",IF(ISNUMBER(SEARCH("Sent to",C571)),"Sent to Person",IF(ISNUMBER(SEARCH("Customer Transfer to",C571)),"Sent to Person",IF(ISNUMBER(SEARCH("Business Payment",C571)),"Money In",IF(ISNUMBER(SEARCH("Funds Received",C571)),"Money In",IF(ISNUMBER(SEARCH("Receive International",C571)),"Money In",IF(ISNUMBER(SEARCH("Send Money Reversal",C571)),"Money In",IF(ISNUMBER(SEARCH("Pay Utility Reversal",C571)),"Money In",IF(ISNUMBER(SEARCH("Customer Transfer",C571)),"Money In",IF(ISNUMBER(SEARCH("Ziidi",C571)),"Investment",IF(ISNUMBER(SEARCH("Nabo",C571)),"Investment",IF(ISNUMBER(SEARCH("Paybill Online",C571)),"Pay Bill",IF(ISNUMBER(SEARCH("Pay Bill",C571)),"Pay Bill",IF(ISNUMBER(SEARCH("Spotify",C571)),"Pay Bill",IF(ISNUMBER(SEARCH("M-Shwari",C571)),"Mshwari",IF(ISNUMBER(SEARCH("Mshwari",C571)),"Mshwari",IF(ISNUMBER(SEARCH("Withdrawal charge",C571)),"Fees",IF(ISNUMBER(SEARCH("Customer Withdrawal",C571)),"Fees",IF(ISNUMBER(SEARCH("charge",C571)),"Fees","Other")))))))))))))))))))))))))</f>
        <v>Merchant Payment</v>
      </c>
      <c r="R571" s="1" t="str">
        <f aca="false">TEXT(B571,"MMM YYYY")</f>
        <v>Mar 2026</v>
      </c>
    </row>
    <row r="572" customFormat="false" ht="13.8" hidden="false" customHeight="false" outlineLevel="0" collapsed="false">
      <c r="A572" s="4" t="s">
        <v>1215</v>
      </c>
      <c r="B572" s="4" t="s">
        <v>1216</v>
      </c>
      <c r="C572" s="4" t="s">
        <v>29</v>
      </c>
      <c r="D572" s="4" t="s">
        <v>18</v>
      </c>
      <c r="E572" s="4"/>
      <c r="F572" s="4" t="n">
        <v>10</v>
      </c>
      <c r="G572" s="4" t="n">
        <v>132</v>
      </c>
      <c r="L572" s="1" t="str">
        <f aca="false">IF(ISNUMBER(SEARCH("Bundle",C572)),"Bundles",IF(ISNUMBER(SEARCH("Airtime",C572)),"Bundles",IF(ISNUMBER(SEARCH("Merchant",C572)),"Merchant Payment",IF(ISNUMBER(SEARCH("Offnet C2B",C572)),"Merchant Payment",IF(ISNUMBER(SEARCH("Offnet B2C",C572)),"Merchant Payment",IF(ISNUMBER(SEARCH("Customer Payment to Small",C572)),"Merchant Payment",IF(ISNUMBER(SEARCH("Payment to Small Business",C572)),"Merchant Payment",IF(ISNUMBER(SEARCH("Sent to",C572)),"Sent to Person",IF(ISNUMBER(SEARCH("Customer Transfer to",C572)),"Sent to Person",IF(ISNUMBER(SEARCH("Business Payment",C572)),"Money In",IF(ISNUMBER(SEARCH("Funds Received",C572)),"Money In",IF(ISNUMBER(SEARCH("Receive International",C572)),"Money In",IF(ISNUMBER(SEARCH("Send Money Reversal",C572)),"Money In",IF(ISNUMBER(SEARCH("Pay Utility Reversal",C572)),"Money In",IF(ISNUMBER(SEARCH("Customer Transfer",C572)),"Money In",IF(ISNUMBER(SEARCH("Ziidi",C572)),"Investment",IF(ISNUMBER(SEARCH("Nabo",C572)),"Investment",IF(ISNUMBER(SEARCH("Paybill Online",C572)),"Pay Bill",IF(ISNUMBER(SEARCH("Pay Bill",C572)),"Pay Bill",IF(ISNUMBER(SEARCH("Spotify",C572)),"Pay Bill",IF(ISNUMBER(SEARCH("M-Shwari",C572)),"Mshwari",IF(ISNUMBER(SEARCH("Mshwari",C572)),"Mshwari",IF(ISNUMBER(SEARCH("Withdrawal charge",C572)),"Fees",IF(ISNUMBER(SEARCH("Customer Withdrawal",C572)),"Fees",IF(ISNUMBER(SEARCH("charge",C572)),"Fees","Other")))))))))))))))))))))))))</f>
        <v>Bundles</v>
      </c>
      <c r="R572" s="1" t="str">
        <f aca="false">TEXT(B572,"MMM YYYY")</f>
        <v>Mar 2026</v>
      </c>
    </row>
    <row r="573" customFormat="false" ht="13.8" hidden="false" customHeight="false" outlineLevel="0" collapsed="false">
      <c r="A573" s="4" t="s">
        <v>1217</v>
      </c>
      <c r="B573" s="4" t="s">
        <v>1218</v>
      </c>
      <c r="C573" s="4" t="s">
        <v>29</v>
      </c>
      <c r="D573" s="4" t="s">
        <v>18</v>
      </c>
      <c r="E573" s="4"/>
      <c r="F573" s="4" t="n">
        <v>10</v>
      </c>
      <c r="G573" s="4" t="n">
        <v>122</v>
      </c>
      <c r="L573" s="1" t="str">
        <f aca="false">IF(ISNUMBER(SEARCH("Bundle",C573)),"Bundles",IF(ISNUMBER(SEARCH("Airtime",C573)),"Bundles",IF(ISNUMBER(SEARCH("Merchant",C573)),"Merchant Payment",IF(ISNUMBER(SEARCH("Offnet C2B",C573)),"Merchant Payment",IF(ISNUMBER(SEARCH("Offnet B2C",C573)),"Merchant Payment",IF(ISNUMBER(SEARCH("Customer Payment to Small",C573)),"Merchant Payment",IF(ISNUMBER(SEARCH("Payment to Small Business",C573)),"Merchant Payment",IF(ISNUMBER(SEARCH("Sent to",C573)),"Sent to Person",IF(ISNUMBER(SEARCH("Customer Transfer to",C573)),"Sent to Person",IF(ISNUMBER(SEARCH("Business Payment",C573)),"Money In",IF(ISNUMBER(SEARCH("Funds Received",C573)),"Money In",IF(ISNUMBER(SEARCH("Receive International",C573)),"Money In",IF(ISNUMBER(SEARCH("Send Money Reversal",C573)),"Money In",IF(ISNUMBER(SEARCH("Pay Utility Reversal",C573)),"Money In",IF(ISNUMBER(SEARCH("Customer Transfer",C573)),"Money In",IF(ISNUMBER(SEARCH("Ziidi",C573)),"Investment",IF(ISNUMBER(SEARCH("Nabo",C573)),"Investment",IF(ISNUMBER(SEARCH("Paybill Online",C573)),"Pay Bill",IF(ISNUMBER(SEARCH("Pay Bill",C573)),"Pay Bill",IF(ISNUMBER(SEARCH("Spotify",C573)),"Pay Bill",IF(ISNUMBER(SEARCH("M-Shwari",C573)),"Mshwari",IF(ISNUMBER(SEARCH("Mshwari",C573)),"Mshwari",IF(ISNUMBER(SEARCH("Withdrawal charge",C573)),"Fees",IF(ISNUMBER(SEARCH("Customer Withdrawal",C573)),"Fees",IF(ISNUMBER(SEARCH("charge",C573)),"Fees","Other")))))))))))))))))))))))))</f>
        <v>Bundles</v>
      </c>
      <c r="R573" s="1" t="str">
        <f aca="false">TEXT(B573,"MMM YYYY")</f>
        <v>Mar 2026</v>
      </c>
    </row>
    <row r="574" customFormat="false" ht="13.8" hidden="false" customHeight="false" outlineLevel="0" collapsed="false">
      <c r="A574" s="4" t="s">
        <v>1219</v>
      </c>
      <c r="B574" s="4" t="s">
        <v>1220</v>
      </c>
      <c r="C574" s="4" t="s">
        <v>17</v>
      </c>
      <c r="D574" s="4" t="s">
        <v>18</v>
      </c>
      <c r="E574" s="4"/>
      <c r="F574" s="4" t="n">
        <v>20</v>
      </c>
      <c r="G574" s="4" t="n">
        <v>102</v>
      </c>
      <c r="L574" s="1" t="str">
        <f aca="false">IF(ISNUMBER(SEARCH("Bundle",C574)),"Bundles",IF(ISNUMBER(SEARCH("Airtime",C574)),"Bundles",IF(ISNUMBER(SEARCH("Merchant",C574)),"Merchant Payment",IF(ISNUMBER(SEARCH("Offnet C2B",C574)),"Merchant Payment",IF(ISNUMBER(SEARCH("Offnet B2C",C574)),"Merchant Payment",IF(ISNUMBER(SEARCH("Customer Payment to Small",C574)),"Merchant Payment",IF(ISNUMBER(SEARCH("Payment to Small Business",C574)),"Merchant Payment",IF(ISNUMBER(SEARCH("Sent to",C574)),"Sent to Person",IF(ISNUMBER(SEARCH("Customer Transfer to",C574)),"Sent to Person",IF(ISNUMBER(SEARCH("Business Payment",C574)),"Money In",IF(ISNUMBER(SEARCH("Funds Received",C574)),"Money In",IF(ISNUMBER(SEARCH("Receive International",C574)),"Money In",IF(ISNUMBER(SEARCH("Send Money Reversal",C574)),"Money In",IF(ISNUMBER(SEARCH("Pay Utility Reversal",C574)),"Money In",IF(ISNUMBER(SEARCH("Customer Transfer",C574)),"Money In",IF(ISNUMBER(SEARCH("Ziidi",C574)),"Investment",IF(ISNUMBER(SEARCH("Nabo",C574)),"Investment",IF(ISNUMBER(SEARCH("Paybill Online",C574)),"Pay Bill",IF(ISNUMBER(SEARCH("Pay Bill",C574)),"Pay Bill",IF(ISNUMBER(SEARCH("Spotify",C574)),"Pay Bill",IF(ISNUMBER(SEARCH("M-Shwari",C574)),"Mshwari",IF(ISNUMBER(SEARCH("Mshwari",C574)),"Mshwari",IF(ISNUMBER(SEARCH("Withdrawal charge",C574)),"Fees",IF(ISNUMBER(SEARCH("Customer Withdrawal",C574)),"Fees",IF(ISNUMBER(SEARCH("charge",C574)),"Fees","Other")))))))))))))))))))))))))</f>
        <v>Bundles</v>
      </c>
      <c r="R574" s="1" t="str">
        <f aca="false">TEXT(B574,"MMM YYYY")</f>
        <v>Mar 2026</v>
      </c>
    </row>
    <row r="575" customFormat="false" ht="13.8" hidden="false" customHeight="false" outlineLevel="0" collapsed="false">
      <c r="A575" s="4" t="s">
        <v>1221</v>
      </c>
      <c r="B575" s="4" t="s">
        <v>1222</v>
      </c>
      <c r="C575" s="4" t="s">
        <v>29</v>
      </c>
      <c r="D575" s="4" t="s">
        <v>18</v>
      </c>
      <c r="E575" s="4"/>
      <c r="F575" s="4" t="n">
        <v>20</v>
      </c>
      <c r="G575" s="4" t="n">
        <v>82</v>
      </c>
      <c r="L575" s="1" t="str">
        <f aca="false">IF(ISNUMBER(SEARCH("Bundle",C575)),"Bundles",IF(ISNUMBER(SEARCH("Airtime",C575)),"Bundles",IF(ISNUMBER(SEARCH("Merchant",C575)),"Merchant Payment",IF(ISNUMBER(SEARCH("Offnet C2B",C575)),"Merchant Payment",IF(ISNUMBER(SEARCH("Offnet B2C",C575)),"Merchant Payment",IF(ISNUMBER(SEARCH("Customer Payment to Small",C575)),"Merchant Payment",IF(ISNUMBER(SEARCH("Payment to Small Business",C575)),"Merchant Payment",IF(ISNUMBER(SEARCH("Sent to",C575)),"Sent to Person",IF(ISNUMBER(SEARCH("Customer Transfer to",C575)),"Sent to Person",IF(ISNUMBER(SEARCH("Business Payment",C575)),"Money In",IF(ISNUMBER(SEARCH("Funds Received",C575)),"Money In",IF(ISNUMBER(SEARCH("Receive International",C575)),"Money In",IF(ISNUMBER(SEARCH("Send Money Reversal",C575)),"Money In",IF(ISNUMBER(SEARCH("Pay Utility Reversal",C575)),"Money In",IF(ISNUMBER(SEARCH("Customer Transfer",C575)),"Money In",IF(ISNUMBER(SEARCH("Ziidi",C575)),"Investment",IF(ISNUMBER(SEARCH("Nabo",C575)),"Investment",IF(ISNUMBER(SEARCH("Paybill Online",C575)),"Pay Bill",IF(ISNUMBER(SEARCH("Pay Bill",C575)),"Pay Bill",IF(ISNUMBER(SEARCH("Spotify",C575)),"Pay Bill",IF(ISNUMBER(SEARCH("M-Shwari",C575)),"Mshwari",IF(ISNUMBER(SEARCH("Mshwari",C575)),"Mshwari",IF(ISNUMBER(SEARCH("Withdrawal charge",C575)),"Fees",IF(ISNUMBER(SEARCH("Customer Withdrawal",C575)),"Fees",IF(ISNUMBER(SEARCH("charge",C575)),"Fees","Other")))))))))))))))))))))))))</f>
        <v>Bundles</v>
      </c>
      <c r="R575" s="1" t="str">
        <f aca="false">TEXT(B575,"MMM YYYY")</f>
        <v>Mar 2026</v>
      </c>
    </row>
    <row r="576" customFormat="false" ht="13.8" hidden="false" customHeight="false" outlineLevel="0" collapsed="false">
      <c r="A576" s="4" t="s">
        <v>1223</v>
      </c>
      <c r="B576" s="4" t="s">
        <v>1224</v>
      </c>
      <c r="C576" s="4" t="s">
        <v>29</v>
      </c>
      <c r="D576" s="4" t="s">
        <v>18</v>
      </c>
      <c r="E576" s="4"/>
      <c r="F576" s="4" t="n">
        <v>20</v>
      </c>
      <c r="G576" s="4" t="n">
        <v>62</v>
      </c>
      <c r="L576" s="1" t="str">
        <f aca="false">IF(ISNUMBER(SEARCH("Bundle",C576)),"Bundles",IF(ISNUMBER(SEARCH("Airtime",C576)),"Bundles",IF(ISNUMBER(SEARCH("Merchant",C576)),"Merchant Payment",IF(ISNUMBER(SEARCH("Offnet C2B",C576)),"Merchant Payment",IF(ISNUMBER(SEARCH("Offnet B2C",C576)),"Merchant Payment",IF(ISNUMBER(SEARCH("Customer Payment to Small",C576)),"Merchant Payment",IF(ISNUMBER(SEARCH("Payment to Small Business",C576)),"Merchant Payment",IF(ISNUMBER(SEARCH("Sent to",C576)),"Sent to Person",IF(ISNUMBER(SEARCH("Customer Transfer to",C576)),"Sent to Person",IF(ISNUMBER(SEARCH("Business Payment",C576)),"Money In",IF(ISNUMBER(SEARCH("Funds Received",C576)),"Money In",IF(ISNUMBER(SEARCH("Receive International",C576)),"Money In",IF(ISNUMBER(SEARCH("Send Money Reversal",C576)),"Money In",IF(ISNUMBER(SEARCH("Pay Utility Reversal",C576)),"Money In",IF(ISNUMBER(SEARCH("Customer Transfer",C576)),"Money In",IF(ISNUMBER(SEARCH("Ziidi",C576)),"Investment",IF(ISNUMBER(SEARCH("Nabo",C576)),"Investment",IF(ISNUMBER(SEARCH("Paybill Online",C576)),"Pay Bill",IF(ISNUMBER(SEARCH("Pay Bill",C576)),"Pay Bill",IF(ISNUMBER(SEARCH("Spotify",C576)),"Pay Bill",IF(ISNUMBER(SEARCH("M-Shwari",C576)),"Mshwari",IF(ISNUMBER(SEARCH("Mshwari",C576)),"Mshwari",IF(ISNUMBER(SEARCH("Withdrawal charge",C576)),"Fees",IF(ISNUMBER(SEARCH("Customer Withdrawal",C576)),"Fees",IF(ISNUMBER(SEARCH("charge",C576)),"Fees","Other")))))))))))))))))))))))))</f>
        <v>Bundles</v>
      </c>
      <c r="R576" s="1" t="str">
        <f aca="false">TEXT(B576,"MMM YYYY")</f>
        <v>Mar 2026</v>
      </c>
    </row>
    <row r="577" customFormat="false" ht="13.8" hidden="false" customHeight="false" outlineLevel="0" collapsed="false">
      <c r="A577" s="4" t="s">
        <v>1225</v>
      </c>
      <c r="B577" s="4" t="s">
        <v>1226</v>
      </c>
      <c r="C577" s="4" t="s">
        <v>192</v>
      </c>
      <c r="D577" s="4" t="s">
        <v>18</v>
      </c>
      <c r="E577" s="4" t="n">
        <v>1000</v>
      </c>
      <c r="F577" s="4"/>
      <c r="G577" s="4" t="n">
        <v>1062</v>
      </c>
      <c r="L577" s="1" t="str">
        <f aca="false">IF(ISNUMBER(SEARCH("Bundle",C577)),"Bundles",IF(ISNUMBER(SEARCH("Airtime",C577)),"Bundles",IF(ISNUMBER(SEARCH("Merchant",C577)),"Merchant Payment",IF(ISNUMBER(SEARCH("Offnet C2B",C577)),"Merchant Payment",IF(ISNUMBER(SEARCH("Offnet B2C",C577)),"Merchant Payment",IF(ISNUMBER(SEARCH("Customer Payment to Small",C577)),"Merchant Payment",IF(ISNUMBER(SEARCH("Payment to Small Business",C577)),"Merchant Payment",IF(ISNUMBER(SEARCH("Sent to",C577)),"Sent to Person",IF(ISNUMBER(SEARCH("Customer Transfer to",C577)),"Sent to Person",IF(ISNUMBER(SEARCH("Business Payment",C577)),"Money In",IF(ISNUMBER(SEARCH("Funds Received",C577)),"Money In",IF(ISNUMBER(SEARCH("Receive International",C577)),"Money In",IF(ISNUMBER(SEARCH("Send Money Reversal",C577)),"Money In",IF(ISNUMBER(SEARCH("Pay Utility Reversal",C577)),"Money In",IF(ISNUMBER(SEARCH("Customer Transfer",C577)),"Money In",IF(ISNUMBER(SEARCH("Ziidi",C577)),"Investment",IF(ISNUMBER(SEARCH("Nabo",C577)),"Investment",IF(ISNUMBER(SEARCH("Paybill Online",C577)),"Pay Bill",IF(ISNUMBER(SEARCH("Pay Bill",C577)),"Pay Bill",IF(ISNUMBER(SEARCH("Spotify",C577)),"Pay Bill",IF(ISNUMBER(SEARCH("M-Shwari",C577)),"Mshwari",IF(ISNUMBER(SEARCH("Mshwari",C577)),"Mshwari",IF(ISNUMBER(SEARCH("Withdrawal charge",C577)),"Fees",IF(ISNUMBER(SEARCH("Customer Withdrawal",C577)),"Fees",IF(ISNUMBER(SEARCH("charge",C577)),"Fees","Other")))))))))))))))))))))))))</f>
        <v>Mshwari</v>
      </c>
      <c r="R577" s="1" t="str">
        <f aca="false">TEXT(B577,"MMM YYYY")</f>
        <v>Mar 2026</v>
      </c>
    </row>
    <row r="578" customFormat="false" ht="13.8" hidden="false" customHeight="false" outlineLevel="0" collapsed="false">
      <c r="A578" s="4" t="s">
        <v>1227</v>
      </c>
      <c r="B578" s="4" t="s">
        <v>1228</v>
      </c>
      <c r="C578" s="4" t="s">
        <v>1229</v>
      </c>
      <c r="D578" s="4" t="s">
        <v>18</v>
      </c>
      <c r="E578" s="4"/>
      <c r="F578" s="4" t="n">
        <v>859.51</v>
      </c>
      <c r="G578" s="4" t="n">
        <v>202.49</v>
      </c>
      <c r="L578" s="1" t="str">
        <f aca="false">IF(ISNUMBER(SEARCH("Bundle",C578)),"Bundles",IF(ISNUMBER(SEARCH("Airtime",C578)),"Bundles",IF(ISNUMBER(SEARCH("Merchant",C578)),"Merchant Payment",IF(ISNUMBER(SEARCH("Offnet C2B",C578)),"Merchant Payment",IF(ISNUMBER(SEARCH("Offnet B2C",C578)),"Merchant Payment",IF(ISNUMBER(SEARCH("Customer Payment to Small",C578)),"Merchant Payment",IF(ISNUMBER(SEARCH("Payment to Small Business",C578)),"Merchant Payment",IF(ISNUMBER(SEARCH("Sent to",C578)),"Sent to Person",IF(ISNUMBER(SEARCH("Customer Transfer to",C578)),"Sent to Person",IF(ISNUMBER(SEARCH("Business Payment",C578)),"Money In",IF(ISNUMBER(SEARCH("Funds Received",C578)),"Money In",IF(ISNUMBER(SEARCH("Receive International",C578)),"Money In",IF(ISNUMBER(SEARCH("Send Money Reversal",C578)),"Money In",IF(ISNUMBER(SEARCH("Pay Utility Reversal",C578)),"Money In",IF(ISNUMBER(SEARCH("Customer Transfer",C578)),"Money In",IF(ISNUMBER(SEARCH("Ziidi",C578)),"Investment",IF(ISNUMBER(SEARCH("Nabo",C578)),"Investment",IF(ISNUMBER(SEARCH("Paybill Online",C578)),"Pay Bill",IF(ISNUMBER(SEARCH("Pay Bill",C578)),"Pay Bill",IF(ISNUMBER(SEARCH("Spotify",C578)),"Pay Bill",IF(ISNUMBER(SEARCH("M-Shwari",C578)),"Mshwari",IF(ISNUMBER(SEARCH("Mshwari",C578)),"Mshwari",IF(ISNUMBER(SEARCH("Withdrawal charge",C578)),"Fees",IF(ISNUMBER(SEARCH("Customer Withdrawal",C578)),"Fees",IF(ISNUMBER(SEARCH("charge",C578)),"Fees","Other")))))))))))))))))))))))))</f>
        <v>Investment</v>
      </c>
      <c r="R578" s="1" t="str">
        <f aca="false">TEXT(B578,"MMM YYYY")</f>
        <v>Mar 2026</v>
      </c>
    </row>
    <row r="579" customFormat="false" ht="13.8" hidden="false" customHeight="false" outlineLevel="0" collapsed="false">
      <c r="A579" s="4" t="s">
        <v>1230</v>
      </c>
      <c r="B579" s="4" t="s">
        <v>1231</v>
      </c>
      <c r="C579" s="4" t="s">
        <v>1229</v>
      </c>
      <c r="D579" s="4" t="s">
        <v>18</v>
      </c>
      <c r="E579" s="4"/>
      <c r="F579" s="4" t="n">
        <v>153.71</v>
      </c>
      <c r="G579" s="4" t="n">
        <v>48.78</v>
      </c>
      <c r="L579" s="1" t="str">
        <f aca="false">IF(ISNUMBER(SEARCH("Bundle",C579)),"Bundles",IF(ISNUMBER(SEARCH("Airtime",C579)),"Bundles",IF(ISNUMBER(SEARCH("Merchant",C579)),"Merchant Payment",IF(ISNUMBER(SEARCH("Offnet C2B",C579)),"Merchant Payment",IF(ISNUMBER(SEARCH("Offnet B2C",C579)),"Merchant Payment",IF(ISNUMBER(SEARCH("Customer Payment to Small",C579)),"Merchant Payment",IF(ISNUMBER(SEARCH("Payment to Small Business",C579)),"Merchant Payment",IF(ISNUMBER(SEARCH("Sent to",C579)),"Sent to Person",IF(ISNUMBER(SEARCH("Customer Transfer to",C579)),"Sent to Person",IF(ISNUMBER(SEARCH("Business Payment",C579)),"Money In",IF(ISNUMBER(SEARCH("Funds Received",C579)),"Money In",IF(ISNUMBER(SEARCH("Receive International",C579)),"Money In",IF(ISNUMBER(SEARCH("Send Money Reversal",C579)),"Money In",IF(ISNUMBER(SEARCH("Pay Utility Reversal",C579)),"Money In",IF(ISNUMBER(SEARCH("Customer Transfer",C579)),"Money In",IF(ISNUMBER(SEARCH("Ziidi",C579)),"Investment",IF(ISNUMBER(SEARCH("Nabo",C579)),"Investment",IF(ISNUMBER(SEARCH("Paybill Online",C579)),"Pay Bill",IF(ISNUMBER(SEARCH("Pay Bill",C579)),"Pay Bill",IF(ISNUMBER(SEARCH("Spotify",C579)),"Pay Bill",IF(ISNUMBER(SEARCH("M-Shwari",C579)),"Mshwari",IF(ISNUMBER(SEARCH("Mshwari",C579)),"Mshwari",IF(ISNUMBER(SEARCH("Withdrawal charge",C579)),"Fees",IF(ISNUMBER(SEARCH("Customer Withdrawal",C579)),"Fees",IF(ISNUMBER(SEARCH("charge",C579)),"Fees","Other")))))))))))))))))))))))))</f>
        <v>Investment</v>
      </c>
      <c r="R579" s="1" t="str">
        <f aca="false">TEXT(B579,"MMM YYYY")</f>
        <v>Mar 2026</v>
      </c>
    </row>
    <row r="580" customFormat="false" ht="13.8" hidden="false" customHeight="false" outlineLevel="0" collapsed="false">
      <c r="A580" s="4" t="s">
        <v>1232</v>
      </c>
      <c r="B580" s="4" t="s">
        <v>1233</v>
      </c>
      <c r="C580" s="4" t="s">
        <v>29</v>
      </c>
      <c r="D580" s="4" t="s">
        <v>18</v>
      </c>
      <c r="E580" s="4"/>
      <c r="F580" s="4" t="n">
        <v>30</v>
      </c>
      <c r="G580" s="4" t="n">
        <v>18.78</v>
      </c>
      <c r="L580" s="1" t="str">
        <f aca="false">IF(ISNUMBER(SEARCH("Bundle",C580)),"Bundles",IF(ISNUMBER(SEARCH("Airtime",C580)),"Bundles",IF(ISNUMBER(SEARCH("Merchant",C580)),"Merchant Payment",IF(ISNUMBER(SEARCH("Offnet C2B",C580)),"Merchant Payment",IF(ISNUMBER(SEARCH("Offnet B2C",C580)),"Merchant Payment",IF(ISNUMBER(SEARCH("Customer Payment to Small",C580)),"Merchant Payment",IF(ISNUMBER(SEARCH("Payment to Small Business",C580)),"Merchant Payment",IF(ISNUMBER(SEARCH("Sent to",C580)),"Sent to Person",IF(ISNUMBER(SEARCH("Customer Transfer to",C580)),"Sent to Person",IF(ISNUMBER(SEARCH("Business Payment",C580)),"Money In",IF(ISNUMBER(SEARCH("Funds Received",C580)),"Money In",IF(ISNUMBER(SEARCH("Receive International",C580)),"Money In",IF(ISNUMBER(SEARCH("Send Money Reversal",C580)),"Money In",IF(ISNUMBER(SEARCH("Pay Utility Reversal",C580)),"Money In",IF(ISNUMBER(SEARCH("Customer Transfer",C580)),"Money In",IF(ISNUMBER(SEARCH("Ziidi",C580)),"Investment",IF(ISNUMBER(SEARCH("Nabo",C580)),"Investment",IF(ISNUMBER(SEARCH("Paybill Online",C580)),"Pay Bill",IF(ISNUMBER(SEARCH("Pay Bill",C580)),"Pay Bill",IF(ISNUMBER(SEARCH("Spotify",C580)),"Pay Bill",IF(ISNUMBER(SEARCH("M-Shwari",C580)),"Mshwari",IF(ISNUMBER(SEARCH("Mshwari",C580)),"Mshwari",IF(ISNUMBER(SEARCH("Withdrawal charge",C580)),"Fees",IF(ISNUMBER(SEARCH("Customer Withdrawal",C580)),"Fees",IF(ISNUMBER(SEARCH("charge",C580)),"Fees","Other")))))))))))))))))))))))))</f>
        <v>Bundles</v>
      </c>
      <c r="R580" s="1" t="str">
        <f aca="false">TEXT(B580,"MMM YYYY")</f>
        <v>Mar 2026</v>
      </c>
    </row>
    <row r="581" customFormat="false" ht="13.8" hidden="false" customHeight="false" outlineLevel="0" collapsed="false">
      <c r="A581" s="4" t="s">
        <v>1234</v>
      </c>
      <c r="B581" s="4" t="s">
        <v>1235</v>
      </c>
      <c r="C581" s="4" t="s">
        <v>192</v>
      </c>
      <c r="D581" s="4" t="s">
        <v>18</v>
      </c>
      <c r="E581" s="4" t="n">
        <v>200</v>
      </c>
      <c r="F581" s="4"/>
      <c r="G581" s="4" t="n">
        <v>218.78</v>
      </c>
      <c r="L581" s="1" t="str">
        <f aca="false">IF(ISNUMBER(SEARCH("Bundle",C581)),"Bundles",IF(ISNUMBER(SEARCH("Airtime",C581)),"Bundles",IF(ISNUMBER(SEARCH("Merchant",C581)),"Merchant Payment",IF(ISNUMBER(SEARCH("Offnet C2B",C581)),"Merchant Payment",IF(ISNUMBER(SEARCH("Offnet B2C",C581)),"Merchant Payment",IF(ISNUMBER(SEARCH("Customer Payment to Small",C581)),"Merchant Payment",IF(ISNUMBER(SEARCH("Payment to Small Business",C581)),"Merchant Payment",IF(ISNUMBER(SEARCH("Sent to",C581)),"Sent to Person",IF(ISNUMBER(SEARCH("Customer Transfer to",C581)),"Sent to Person",IF(ISNUMBER(SEARCH("Business Payment",C581)),"Money In",IF(ISNUMBER(SEARCH("Funds Received",C581)),"Money In",IF(ISNUMBER(SEARCH("Receive International",C581)),"Money In",IF(ISNUMBER(SEARCH("Send Money Reversal",C581)),"Money In",IF(ISNUMBER(SEARCH("Pay Utility Reversal",C581)),"Money In",IF(ISNUMBER(SEARCH("Customer Transfer",C581)),"Money In",IF(ISNUMBER(SEARCH("Ziidi",C581)),"Investment",IF(ISNUMBER(SEARCH("Nabo",C581)),"Investment",IF(ISNUMBER(SEARCH("Paybill Online",C581)),"Pay Bill",IF(ISNUMBER(SEARCH("Pay Bill",C581)),"Pay Bill",IF(ISNUMBER(SEARCH("Spotify",C581)),"Pay Bill",IF(ISNUMBER(SEARCH("M-Shwari",C581)),"Mshwari",IF(ISNUMBER(SEARCH("Mshwari",C581)),"Mshwari",IF(ISNUMBER(SEARCH("Withdrawal charge",C581)),"Fees",IF(ISNUMBER(SEARCH("Customer Withdrawal",C581)),"Fees",IF(ISNUMBER(SEARCH("charge",C581)),"Fees","Other")))))))))))))))))))))))))</f>
        <v>Mshwari</v>
      </c>
      <c r="R581" s="1" t="str">
        <f aca="false">TEXT(B581,"MMM YYYY")</f>
        <v>Mar 2026</v>
      </c>
    </row>
    <row r="582" customFormat="false" ht="13.8" hidden="false" customHeight="false" outlineLevel="0" collapsed="false">
      <c r="A582" s="4" t="s">
        <v>1236</v>
      </c>
      <c r="B582" s="4" t="s">
        <v>1237</v>
      </c>
      <c r="C582" s="4" t="s">
        <v>29</v>
      </c>
      <c r="D582" s="4" t="s">
        <v>18</v>
      </c>
      <c r="E582" s="4"/>
      <c r="F582" s="4" t="n">
        <v>20</v>
      </c>
      <c r="G582" s="4" t="n">
        <v>198.78</v>
      </c>
      <c r="L582" s="1" t="str">
        <f aca="false">IF(ISNUMBER(SEARCH("Bundle",C582)),"Bundles",IF(ISNUMBER(SEARCH("Airtime",C582)),"Bundles",IF(ISNUMBER(SEARCH("Merchant",C582)),"Merchant Payment",IF(ISNUMBER(SEARCH("Offnet C2B",C582)),"Merchant Payment",IF(ISNUMBER(SEARCH("Offnet B2C",C582)),"Merchant Payment",IF(ISNUMBER(SEARCH("Customer Payment to Small",C582)),"Merchant Payment",IF(ISNUMBER(SEARCH("Payment to Small Business",C582)),"Merchant Payment",IF(ISNUMBER(SEARCH("Sent to",C582)),"Sent to Person",IF(ISNUMBER(SEARCH("Customer Transfer to",C582)),"Sent to Person",IF(ISNUMBER(SEARCH("Business Payment",C582)),"Money In",IF(ISNUMBER(SEARCH("Funds Received",C582)),"Money In",IF(ISNUMBER(SEARCH("Receive International",C582)),"Money In",IF(ISNUMBER(SEARCH("Send Money Reversal",C582)),"Money In",IF(ISNUMBER(SEARCH("Pay Utility Reversal",C582)),"Money In",IF(ISNUMBER(SEARCH("Customer Transfer",C582)),"Money In",IF(ISNUMBER(SEARCH("Ziidi",C582)),"Investment",IF(ISNUMBER(SEARCH("Nabo",C582)),"Investment",IF(ISNUMBER(SEARCH("Paybill Online",C582)),"Pay Bill",IF(ISNUMBER(SEARCH("Pay Bill",C582)),"Pay Bill",IF(ISNUMBER(SEARCH("Spotify",C582)),"Pay Bill",IF(ISNUMBER(SEARCH("M-Shwari",C582)),"Mshwari",IF(ISNUMBER(SEARCH("Mshwari",C582)),"Mshwari",IF(ISNUMBER(SEARCH("Withdrawal charge",C582)),"Fees",IF(ISNUMBER(SEARCH("Customer Withdrawal",C582)),"Fees",IF(ISNUMBER(SEARCH("charge",C582)),"Fees","Other")))))))))))))))))))))))))</f>
        <v>Bundles</v>
      </c>
      <c r="R582" s="1" t="str">
        <f aca="false">TEXT(B582,"MMM YYYY")</f>
        <v>Mar 2026</v>
      </c>
    </row>
    <row r="583" customFormat="false" ht="13.8" hidden="false" customHeight="false" outlineLevel="0" collapsed="false">
      <c r="A583" s="4" t="s">
        <v>1238</v>
      </c>
      <c r="B583" s="4" t="s">
        <v>1239</v>
      </c>
      <c r="C583" s="4" t="s">
        <v>29</v>
      </c>
      <c r="D583" s="4" t="s">
        <v>18</v>
      </c>
      <c r="E583" s="4"/>
      <c r="F583" s="4" t="n">
        <v>10</v>
      </c>
      <c r="G583" s="4" t="n">
        <v>188.78</v>
      </c>
      <c r="L583" s="1" t="str">
        <f aca="false">IF(ISNUMBER(SEARCH("Bundle",C583)),"Bundles",IF(ISNUMBER(SEARCH("Airtime",C583)),"Bundles",IF(ISNUMBER(SEARCH("Merchant",C583)),"Merchant Payment",IF(ISNUMBER(SEARCH("Offnet C2B",C583)),"Merchant Payment",IF(ISNUMBER(SEARCH("Offnet B2C",C583)),"Merchant Payment",IF(ISNUMBER(SEARCH("Customer Payment to Small",C583)),"Merchant Payment",IF(ISNUMBER(SEARCH("Payment to Small Business",C583)),"Merchant Payment",IF(ISNUMBER(SEARCH("Sent to",C583)),"Sent to Person",IF(ISNUMBER(SEARCH("Customer Transfer to",C583)),"Sent to Person",IF(ISNUMBER(SEARCH("Business Payment",C583)),"Money In",IF(ISNUMBER(SEARCH("Funds Received",C583)),"Money In",IF(ISNUMBER(SEARCH("Receive International",C583)),"Money In",IF(ISNUMBER(SEARCH("Send Money Reversal",C583)),"Money In",IF(ISNUMBER(SEARCH("Pay Utility Reversal",C583)),"Money In",IF(ISNUMBER(SEARCH("Customer Transfer",C583)),"Money In",IF(ISNUMBER(SEARCH("Ziidi",C583)),"Investment",IF(ISNUMBER(SEARCH("Nabo",C583)),"Investment",IF(ISNUMBER(SEARCH("Paybill Online",C583)),"Pay Bill",IF(ISNUMBER(SEARCH("Pay Bill",C583)),"Pay Bill",IF(ISNUMBER(SEARCH("Spotify",C583)),"Pay Bill",IF(ISNUMBER(SEARCH("M-Shwari",C583)),"Mshwari",IF(ISNUMBER(SEARCH("Mshwari",C583)),"Mshwari",IF(ISNUMBER(SEARCH("Withdrawal charge",C583)),"Fees",IF(ISNUMBER(SEARCH("Customer Withdrawal",C583)),"Fees",IF(ISNUMBER(SEARCH("charge",C583)),"Fees","Other")))))))))))))))))))))))))</f>
        <v>Bundles</v>
      </c>
      <c r="R583" s="1" t="str">
        <f aca="false">TEXT(B583,"MMM YYYY")</f>
        <v>Mar 2026</v>
      </c>
    </row>
    <row r="584" customFormat="false" ht="13.8" hidden="false" customHeight="false" outlineLevel="0" collapsed="false">
      <c r="A584" s="4" t="s">
        <v>1240</v>
      </c>
      <c r="B584" s="4" t="s">
        <v>1241</v>
      </c>
      <c r="C584" s="4" t="s">
        <v>243</v>
      </c>
      <c r="D584" s="4" t="s">
        <v>18</v>
      </c>
      <c r="E584" s="4"/>
      <c r="F584" s="4" t="n">
        <v>70</v>
      </c>
      <c r="G584" s="4" t="n">
        <v>118.78</v>
      </c>
      <c r="L584" s="1" t="str">
        <f aca="false">IF(ISNUMBER(SEARCH("Bundle",C584)),"Bundles",IF(ISNUMBER(SEARCH("Airtime",C584)),"Bundles",IF(ISNUMBER(SEARCH("Merchant",C584)),"Merchant Payment",IF(ISNUMBER(SEARCH("Offnet C2B",C584)),"Merchant Payment",IF(ISNUMBER(SEARCH("Offnet B2C",C584)),"Merchant Payment",IF(ISNUMBER(SEARCH("Customer Payment to Small",C584)),"Merchant Payment",IF(ISNUMBER(SEARCH("Payment to Small Business",C584)),"Merchant Payment",IF(ISNUMBER(SEARCH("Sent to",C584)),"Sent to Person",IF(ISNUMBER(SEARCH("Customer Transfer to",C584)),"Sent to Person",IF(ISNUMBER(SEARCH("Business Payment",C584)),"Money In",IF(ISNUMBER(SEARCH("Funds Received",C584)),"Money In",IF(ISNUMBER(SEARCH("Receive International",C584)),"Money In",IF(ISNUMBER(SEARCH("Send Money Reversal",C584)),"Money In",IF(ISNUMBER(SEARCH("Pay Utility Reversal",C584)),"Money In",IF(ISNUMBER(SEARCH("Customer Transfer",C584)),"Money In",IF(ISNUMBER(SEARCH("Ziidi",C584)),"Investment",IF(ISNUMBER(SEARCH("Nabo",C584)),"Investment",IF(ISNUMBER(SEARCH("Paybill Online",C584)),"Pay Bill",IF(ISNUMBER(SEARCH("Pay Bill",C584)),"Pay Bill",IF(ISNUMBER(SEARCH("Spotify",C584)),"Pay Bill",IF(ISNUMBER(SEARCH("M-Shwari",C584)),"Mshwari",IF(ISNUMBER(SEARCH("Mshwari",C584)),"Mshwari",IF(ISNUMBER(SEARCH("Withdrawal charge",C584)),"Fees",IF(ISNUMBER(SEARCH("Customer Withdrawal",C584)),"Fees",IF(ISNUMBER(SEARCH("charge",C584)),"Fees","Other")))))))))))))))))))))))))</f>
        <v>Merchant Payment</v>
      </c>
      <c r="R584" s="1" t="str">
        <f aca="false">TEXT(B584,"MMM YYYY")</f>
        <v>Mar 2026</v>
      </c>
    </row>
    <row r="585" customFormat="false" ht="13.8" hidden="false" customHeight="false" outlineLevel="0" collapsed="false">
      <c r="A585" s="4" t="s">
        <v>1242</v>
      </c>
      <c r="B585" s="4" t="s">
        <v>1243</v>
      </c>
      <c r="C585" s="4" t="s">
        <v>192</v>
      </c>
      <c r="D585" s="4" t="s">
        <v>18</v>
      </c>
      <c r="E585" s="4" t="n">
        <v>300</v>
      </c>
      <c r="F585" s="4"/>
      <c r="G585" s="4" t="n">
        <v>418.78</v>
      </c>
      <c r="L585" s="1" t="str">
        <f aca="false">IF(ISNUMBER(SEARCH("Bundle",C585)),"Bundles",IF(ISNUMBER(SEARCH("Airtime",C585)),"Bundles",IF(ISNUMBER(SEARCH("Merchant",C585)),"Merchant Payment",IF(ISNUMBER(SEARCH("Offnet C2B",C585)),"Merchant Payment",IF(ISNUMBER(SEARCH("Offnet B2C",C585)),"Merchant Payment",IF(ISNUMBER(SEARCH("Customer Payment to Small",C585)),"Merchant Payment",IF(ISNUMBER(SEARCH("Payment to Small Business",C585)),"Merchant Payment",IF(ISNUMBER(SEARCH("Sent to",C585)),"Sent to Person",IF(ISNUMBER(SEARCH("Customer Transfer to",C585)),"Sent to Person",IF(ISNUMBER(SEARCH("Business Payment",C585)),"Money In",IF(ISNUMBER(SEARCH("Funds Received",C585)),"Money In",IF(ISNUMBER(SEARCH("Receive International",C585)),"Money In",IF(ISNUMBER(SEARCH("Send Money Reversal",C585)),"Money In",IF(ISNUMBER(SEARCH("Pay Utility Reversal",C585)),"Money In",IF(ISNUMBER(SEARCH("Customer Transfer",C585)),"Money In",IF(ISNUMBER(SEARCH("Ziidi",C585)),"Investment",IF(ISNUMBER(SEARCH("Nabo",C585)),"Investment",IF(ISNUMBER(SEARCH("Paybill Online",C585)),"Pay Bill",IF(ISNUMBER(SEARCH("Pay Bill",C585)),"Pay Bill",IF(ISNUMBER(SEARCH("Spotify",C585)),"Pay Bill",IF(ISNUMBER(SEARCH("M-Shwari",C585)),"Mshwari",IF(ISNUMBER(SEARCH("Mshwari",C585)),"Mshwari",IF(ISNUMBER(SEARCH("Withdrawal charge",C585)),"Fees",IF(ISNUMBER(SEARCH("Customer Withdrawal",C585)),"Fees",IF(ISNUMBER(SEARCH("charge",C585)),"Fees","Other")))))))))))))))))))))))))</f>
        <v>Mshwari</v>
      </c>
      <c r="R585" s="1" t="str">
        <f aca="false">TEXT(B585,"MMM YYYY")</f>
        <v>Mar 2026</v>
      </c>
    </row>
    <row r="586" customFormat="false" ht="13.8" hidden="false" customHeight="false" outlineLevel="0" collapsed="false">
      <c r="A586" s="4" t="s">
        <v>1244</v>
      </c>
      <c r="B586" s="4" t="s">
        <v>1245</v>
      </c>
      <c r="C586" s="4" t="s">
        <v>316</v>
      </c>
      <c r="D586" s="4" t="s">
        <v>18</v>
      </c>
      <c r="E586" s="4"/>
      <c r="F586" s="4" t="n">
        <v>210</v>
      </c>
      <c r="G586" s="4" t="n">
        <v>208.78</v>
      </c>
      <c r="L586" s="1" t="str">
        <f aca="false">IF(ISNUMBER(SEARCH("Bundle",C586)),"Bundles",IF(ISNUMBER(SEARCH("Airtime",C586)),"Bundles",IF(ISNUMBER(SEARCH("Merchant",C586)),"Merchant Payment",IF(ISNUMBER(SEARCH("Offnet C2B",C586)),"Merchant Payment",IF(ISNUMBER(SEARCH("Offnet B2C",C586)),"Merchant Payment",IF(ISNUMBER(SEARCH("Customer Payment to Small",C586)),"Merchant Payment",IF(ISNUMBER(SEARCH("Payment to Small Business",C586)),"Merchant Payment",IF(ISNUMBER(SEARCH("Sent to",C586)),"Sent to Person",IF(ISNUMBER(SEARCH("Customer Transfer to",C586)),"Sent to Person",IF(ISNUMBER(SEARCH("Business Payment",C586)),"Money In",IF(ISNUMBER(SEARCH("Funds Received",C586)),"Money In",IF(ISNUMBER(SEARCH("Receive International",C586)),"Money In",IF(ISNUMBER(SEARCH("Send Money Reversal",C586)),"Money In",IF(ISNUMBER(SEARCH("Pay Utility Reversal",C586)),"Money In",IF(ISNUMBER(SEARCH("Customer Transfer",C586)),"Money In",IF(ISNUMBER(SEARCH("Ziidi",C586)),"Investment",IF(ISNUMBER(SEARCH("Nabo",C586)),"Investment",IF(ISNUMBER(SEARCH("Paybill Online",C586)),"Pay Bill",IF(ISNUMBER(SEARCH("Pay Bill",C586)),"Pay Bill",IF(ISNUMBER(SEARCH("Spotify",C586)),"Pay Bill",IF(ISNUMBER(SEARCH("M-Shwari",C586)),"Mshwari",IF(ISNUMBER(SEARCH("Mshwari",C586)),"Mshwari",IF(ISNUMBER(SEARCH("Withdrawal charge",C586)),"Fees",IF(ISNUMBER(SEARCH("Customer Withdrawal",C586)),"Fees",IF(ISNUMBER(SEARCH("charge",C586)),"Fees","Other")))))))))))))))))))))))))</f>
        <v>Merchant Payment</v>
      </c>
      <c r="R586" s="1" t="str">
        <f aca="false">TEXT(B586,"MMM YYYY")</f>
        <v>Mar 2026</v>
      </c>
    </row>
    <row r="587" customFormat="false" ht="13.8" hidden="false" customHeight="false" outlineLevel="0" collapsed="false">
      <c r="A587" s="4" t="s">
        <v>1246</v>
      </c>
      <c r="B587" s="4" t="s">
        <v>1247</v>
      </c>
      <c r="C587" s="4" t="s">
        <v>29</v>
      </c>
      <c r="D587" s="4" t="s">
        <v>18</v>
      </c>
      <c r="E587" s="4"/>
      <c r="F587" s="4" t="n">
        <v>20</v>
      </c>
      <c r="G587" s="4" t="n">
        <v>188.78</v>
      </c>
      <c r="L587" s="1" t="str">
        <f aca="false">IF(ISNUMBER(SEARCH("Bundle",C587)),"Bundles",IF(ISNUMBER(SEARCH("Airtime",C587)),"Bundles",IF(ISNUMBER(SEARCH("Merchant",C587)),"Merchant Payment",IF(ISNUMBER(SEARCH("Offnet C2B",C587)),"Merchant Payment",IF(ISNUMBER(SEARCH("Offnet B2C",C587)),"Merchant Payment",IF(ISNUMBER(SEARCH("Customer Payment to Small",C587)),"Merchant Payment",IF(ISNUMBER(SEARCH("Payment to Small Business",C587)),"Merchant Payment",IF(ISNUMBER(SEARCH("Sent to",C587)),"Sent to Person",IF(ISNUMBER(SEARCH("Customer Transfer to",C587)),"Sent to Person",IF(ISNUMBER(SEARCH("Business Payment",C587)),"Money In",IF(ISNUMBER(SEARCH("Funds Received",C587)),"Money In",IF(ISNUMBER(SEARCH("Receive International",C587)),"Money In",IF(ISNUMBER(SEARCH("Send Money Reversal",C587)),"Money In",IF(ISNUMBER(SEARCH("Pay Utility Reversal",C587)),"Money In",IF(ISNUMBER(SEARCH("Customer Transfer",C587)),"Money In",IF(ISNUMBER(SEARCH("Ziidi",C587)),"Investment",IF(ISNUMBER(SEARCH("Nabo",C587)),"Investment",IF(ISNUMBER(SEARCH("Paybill Online",C587)),"Pay Bill",IF(ISNUMBER(SEARCH("Pay Bill",C587)),"Pay Bill",IF(ISNUMBER(SEARCH("Spotify",C587)),"Pay Bill",IF(ISNUMBER(SEARCH("M-Shwari",C587)),"Mshwari",IF(ISNUMBER(SEARCH("Mshwari",C587)),"Mshwari",IF(ISNUMBER(SEARCH("Withdrawal charge",C587)),"Fees",IF(ISNUMBER(SEARCH("Customer Withdrawal",C587)),"Fees",IF(ISNUMBER(SEARCH("charge",C587)),"Fees","Other")))))))))))))))))))))))))</f>
        <v>Bundles</v>
      </c>
      <c r="R587" s="1" t="str">
        <f aca="false">TEXT(B587,"MMM YYYY")</f>
        <v>Mar 2026</v>
      </c>
    </row>
    <row r="588" customFormat="false" ht="13.8" hidden="false" customHeight="false" outlineLevel="0" collapsed="false">
      <c r="A588" s="4" t="s">
        <v>1248</v>
      </c>
      <c r="B588" s="4" t="s">
        <v>1249</v>
      </c>
      <c r="C588" s="4" t="s">
        <v>17</v>
      </c>
      <c r="D588" s="4" t="s">
        <v>18</v>
      </c>
      <c r="E588" s="4"/>
      <c r="F588" s="4" t="n">
        <v>10</v>
      </c>
      <c r="G588" s="4" t="n">
        <v>178.78</v>
      </c>
      <c r="L588" s="1" t="str">
        <f aca="false">IF(ISNUMBER(SEARCH("Bundle",C588)),"Bundles",IF(ISNUMBER(SEARCH("Airtime",C588)),"Bundles",IF(ISNUMBER(SEARCH("Merchant",C588)),"Merchant Payment",IF(ISNUMBER(SEARCH("Offnet C2B",C588)),"Merchant Payment",IF(ISNUMBER(SEARCH("Offnet B2C",C588)),"Merchant Payment",IF(ISNUMBER(SEARCH("Customer Payment to Small",C588)),"Merchant Payment",IF(ISNUMBER(SEARCH("Payment to Small Business",C588)),"Merchant Payment",IF(ISNUMBER(SEARCH("Sent to",C588)),"Sent to Person",IF(ISNUMBER(SEARCH("Customer Transfer to",C588)),"Sent to Person",IF(ISNUMBER(SEARCH("Business Payment",C588)),"Money In",IF(ISNUMBER(SEARCH("Funds Received",C588)),"Money In",IF(ISNUMBER(SEARCH("Receive International",C588)),"Money In",IF(ISNUMBER(SEARCH("Send Money Reversal",C588)),"Money In",IF(ISNUMBER(SEARCH("Pay Utility Reversal",C588)),"Money In",IF(ISNUMBER(SEARCH("Customer Transfer",C588)),"Money In",IF(ISNUMBER(SEARCH("Ziidi",C588)),"Investment",IF(ISNUMBER(SEARCH("Nabo",C588)),"Investment",IF(ISNUMBER(SEARCH("Paybill Online",C588)),"Pay Bill",IF(ISNUMBER(SEARCH("Pay Bill",C588)),"Pay Bill",IF(ISNUMBER(SEARCH("Spotify",C588)),"Pay Bill",IF(ISNUMBER(SEARCH("M-Shwari",C588)),"Mshwari",IF(ISNUMBER(SEARCH("Mshwari",C588)),"Mshwari",IF(ISNUMBER(SEARCH("Withdrawal charge",C588)),"Fees",IF(ISNUMBER(SEARCH("Customer Withdrawal",C588)),"Fees",IF(ISNUMBER(SEARCH("charge",C588)),"Fees","Other")))))))))))))))))))))))))</f>
        <v>Bundles</v>
      </c>
      <c r="R588" s="1" t="str">
        <f aca="false">TEXT(B588,"MMM YYYY")</f>
        <v>Mar 2026</v>
      </c>
    </row>
    <row r="589" customFormat="false" ht="13.8" hidden="false" customHeight="false" outlineLevel="0" collapsed="false">
      <c r="A589" s="4" t="s">
        <v>1250</v>
      </c>
      <c r="B589" s="4" t="s">
        <v>1251</v>
      </c>
      <c r="C589" s="4" t="s">
        <v>45</v>
      </c>
      <c r="D589" s="4" t="s">
        <v>18</v>
      </c>
      <c r="E589" s="4"/>
      <c r="F589" s="4" t="n">
        <v>60</v>
      </c>
      <c r="G589" s="4" t="n">
        <v>118.78</v>
      </c>
      <c r="L589" s="1" t="str">
        <f aca="false">IF(ISNUMBER(SEARCH("Bundle",C589)),"Bundles",IF(ISNUMBER(SEARCH("Airtime",C589)),"Bundles",IF(ISNUMBER(SEARCH("Merchant",C589)),"Merchant Payment",IF(ISNUMBER(SEARCH("Offnet C2B",C589)),"Merchant Payment",IF(ISNUMBER(SEARCH("Offnet B2C",C589)),"Merchant Payment",IF(ISNUMBER(SEARCH("Customer Payment to Small",C589)),"Merchant Payment",IF(ISNUMBER(SEARCH("Payment to Small Business",C589)),"Merchant Payment",IF(ISNUMBER(SEARCH("Sent to",C589)),"Sent to Person",IF(ISNUMBER(SEARCH("Customer Transfer to",C589)),"Sent to Person",IF(ISNUMBER(SEARCH("Business Payment",C589)),"Money In",IF(ISNUMBER(SEARCH("Funds Received",C589)),"Money In",IF(ISNUMBER(SEARCH("Receive International",C589)),"Money In",IF(ISNUMBER(SEARCH("Send Money Reversal",C589)),"Money In",IF(ISNUMBER(SEARCH("Pay Utility Reversal",C589)),"Money In",IF(ISNUMBER(SEARCH("Customer Transfer",C589)),"Money In",IF(ISNUMBER(SEARCH("Ziidi",C589)),"Investment",IF(ISNUMBER(SEARCH("Nabo",C589)),"Investment",IF(ISNUMBER(SEARCH("Paybill Online",C589)),"Pay Bill",IF(ISNUMBER(SEARCH("Pay Bill",C589)),"Pay Bill",IF(ISNUMBER(SEARCH("Spotify",C589)),"Pay Bill",IF(ISNUMBER(SEARCH("M-Shwari",C589)),"Mshwari",IF(ISNUMBER(SEARCH("Mshwari",C589)),"Mshwari",IF(ISNUMBER(SEARCH("Withdrawal charge",C589)),"Fees",IF(ISNUMBER(SEARCH("Customer Withdrawal",C589)),"Fees",IF(ISNUMBER(SEARCH("charge",C589)),"Fees","Other")))))))))))))))))))))))))</f>
        <v>Merchant Payment</v>
      </c>
      <c r="R589" s="1" t="str">
        <f aca="false">TEXT(B589,"MMM YYYY")</f>
        <v>Mar 2026</v>
      </c>
    </row>
    <row r="590" customFormat="false" ht="13.8" hidden="false" customHeight="false" outlineLevel="0" collapsed="false">
      <c r="A590" s="4" t="s">
        <v>1252</v>
      </c>
      <c r="B590" s="4" t="s">
        <v>1253</v>
      </c>
      <c r="C590" s="4" t="s">
        <v>29</v>
      </c>
      <c r="D590" s="4" t="s">
        <v>18</v>
      </c>
      <c r="E590" s="4"/>
      <c r="F590" s="4" t="n">
        <v>10</v>
      </c>
      <c r="G590" s="4" t="n">
        <v>108.78</v>
      </c>
      <c r="L590" s="1" t="str">
        <f aca="false">IF(ISNUMBER(SEARCH("Bundle",C590)),"Bundles",IF(ISNUMBER(SEARCH("Airtime",C590)),"Bundles",IF(ISNUMBER(SEARCH("Merchant",C590)),"Merchant Payment",IF(ISNUMBER(SEARCH("Offnet C2B",C590)),"Merchant Payment",IF(ISNUMBER(SEARCH("Offnet B2C",C590)),"Merchant Payment",IF(ISNUMBER(SEARCH("Customer Payment to Small",C590)),"Merchant Payment",IF(ISNUMBER(SEARCH("Payment to Small Business",C590)),"Merchant Payment",IF(ISNUMBER(SEARCH("Sent to",C590)),"Sent to Person",IF(ISNUMBER(SEARCH("Customer Transfer to",C590)),"Sent to Person",IF(ISNUMBER(SEARCH("Business Payment",C590)),"Money In",IF(ISNUMBER(SEARCH("Funds Received",C590)),"Money In",IF(ISNUMBER(SEARCH("Receive International",C590)),"Money In",IF(ISNUMBER(SEARCH("Send Money Reversal",C590)),"Money In",IF(ISNUMBER(SEARCH("Pay Utility Reversal",C590)),"Money In",IF(ISNUMBER(SEARCH("Customer Transfer",C590)),"Money In",IF(ISNUMBER(SEARCH("Ziidi",C590)),"Investment",IF(ISNUMBER(SEARCH("Nabo",C590)),"Investment",IF(ISNUMBER(SEARCH("Paybill Online",C590)),"Pay Bill",IF(ISNUMBER(SEARCH("Pay Bill",C590)),"Pay Bill",IF(ISNUMBER(SEARCH("Spotify",C590)),"Pay Bill",IF(ISNUMBER(SEARCH("M-Shwari",C590)),"Mshwari",IF(ISNUMBER(SEARCH("Mshwari",C590)),"Mshwari",IF(ISNUMBER(SEARCH("Withdrawal charge",C590)),"Fees",IF(ISNUMBER(SEARCH("Customer Withdrawal",C590)),"Fees",IF(ISNUMBER(SEARCH("charge",C590)),"Fees","Other")))))))))))))))))))))))))</f>
        <v>Bundles</v>
      </c>
      <c r="R590" s="1" t="str">
        <f aca="false">TEXT(B590,"MMM YYYY")</f>
        <v>Mar 2026</v>
      </c>
    </row>
    <row r="591" customFormat="false" ht="13.8" hidden="false" customHeight="false" outlineLevel="0" collapsed="false">
      <c r="A591" s="4" t="s">
        <v>1254</v>
      </c>
      <c r="B591" s="4" t="s">
        <v>1255</v>
      </c>
      <c r="C591" s="4" t="s">
        <v>29</v>
      </c>
      <c r="D591" s="4" t="s">
        <v>18</v>
      </c>
      <c r="E591" s="4"/>
      <c r="F591" s="4" t="n">
        <v>20</v>
      </c>
      <c r="G591" s="4" t="n">
        <v>88.78</v>
      </c>
      <c r="L591" s="1" t="str">
        <f aca="false">IF(ISNUMBER(SEARCH("Bundle",C591)),"Bundles",IF(ISNUMBER(SEARCH("Airtime",C591)),"Bundles",IF(ISNUMBER(SEARCH("Merchant",C591)),"Merchant Payment",IF(ISNUMBER(SEARCH("Offnet C2B",C591)),"Merchant Payment",IF(ISNUMBER(SEARCH("Offnet B2C",C591)),"Merchant Payment",IF(ISNUMBER(SEARCH("Customer Payment to Small",C591)),"Merchant Payment",IF(ISNUMBER(SEARCH("Payment to Small Business",C591)),"Merchant Payment",IF(ISNUMBER(SEARCH("Sent to",C591)),"Sent to Person",IF(ISNUMBER(SEARCH("Customer Transfer to",C591)),"Sent to Person",IF(ISNUMBER(SEARCH("Business Payment",C591)),"Money In",IF(ISNUMBER(SEARCH("Funds Received",C591)),"Money In",IF(ISNUMBER(SEARCH("Receive International",C591)),"Money In",IF(ISNUMBER(SEARCH("Send Money Reversal",C591)),"Money In",IF(ISNUMBER(SEARCH("Pay Utility Reversal",C591)),"Money In",IF(ISNUMBER(SEARCH("Customer Transfer",C591)),"Money In",IF(ISNUMBER(SEARCH("Ziidi",C591)),"Investment",IF(ISNUMBER(SEARCH("Nabo",C591)),"Investment",IF(ISNUMBER(SEARCH("Paybill Online",C591)),"Pay Bill",IF(ISNUMBER(SEARCH("Pay Bill",C591)),"Pay Bill",IF(ISNUMBER(SEARCH("Spotify",C591)),"Pay Bill",IF(ISNUMBER(SEARCH("M-Shwari",C591)),"Mshwari",IF(ISNUMBER(SEARCH("Mshwari",C591)),"Mshwari",IF(ISNUMBER(SEARCH("Withdrawal charge",C591)),"Fees",IF(ISNUMBER(SEARCH("Customer Withdrawal",C591)),"Fees",IF(ISNUMBER(SEARCH("charge",C591)),"Fees","Other")))))))))))))))))))))))))</f>
        <v>Bundles</v>
      </c>
      <c r="R591" s="1" t="str">
        <f aca="false">TEXT(B591,"MMM YYYY")</f>
        <v>Mar 2026</v>
      </c>
    </row>
    <row r="592" customFormat="false" ht="13.8" hidden="false" customHeight="false" outlineLevel="0" collapsed="false">
      <c r="A592" s="4" t="s">
        <v>1256</v>
      </c>
      <c r="B592" s="4" t="s">
        <v>1257</v>
      </c>
      <c r="C592" s="4" t="s">
        <v>29</v>
      </c>
      <c r="D592" s="4" t="s">
        <v>18</v>
      </c>
      <c r="E592" s="4"/>
      <c r="F592" s="4" t="n">
        <v>10</v>
      </c>
      <c r="G592" s="4" t="n">
        <v>78.78</v>
      </c>
      <c r="L592" s="1" t="str">
        <f aca="false">IF(ISNUMBER(SEARCH("Bundle",C592)),"Bundles",IF(ISNUMBER(SEARCH("Airtime",C592)),"Bundles",IF(ISNUMBER(SEARCH("Merchant",C592)),"Merchant Payment",IF(ISNUMBER(SEARCH("Offnet C2B",C592)),"Merchant Payment",IF(ISNUMBER(SEARCH("Offnet B2C",C592)),"Merchant Payment",IF(ISNUMBER(SEARCH("Customer Payment to Small",C592)),"Merchant Payment",IF(ISNUMBER(SEARCH("Payment to Small Business",C592)),"Merchant Payment",IF(ISNUMBER(SEARCH("Sent to",C592)),"Sent to Person",IF(ISNUMBER(SEARCH("Customer Transfer to",C592)),"Sent to Person",IF(ISNUMBER(SEARCH("Business Payment",C592)),"Money In",IF(ISNUMBER(SEARCH("Funds Received",C592)),"Money In",IF(ISNUMBER(SEARCH("Receive International",C592)),"Money In",IF(ISNUMBER(SEARCH("Send Money Reversal",C592)),"Money In",IF(ISNUMBER(SEARCH("Pay Utility Reversal",C592)),"Money In",IF(ISNUMBER(SEARCH("Customer Transfer",C592)),"Money In",IF(ISNUMBER(SEARCH("Ziidi",C592)),"Investment",IF(ISNUMBER(SEARCH("Nabo",C592)),"Investment",IF(ISNUMBER(SEARCH("Paybill Online",C592)),"Pay Bill",IF(ISNUMBER(SEARCH("Pay Bill",C592)),"Pay Bill",IF(ISNUMBER(SEARCH("Spotify",C592)),"Pay Bill",IF(ISNUMBER(SEARCH("M-Shwari",C592)),"Mshwari",IF(ISNUMBER(SEARCH("Mshwari",C592)),"Mshwari",IF(ISNUMBER(SEARCH("Withdrawal charge",C592)),"Fees",IF(ISNUMBER(SEARCH("Customer Withdrawal",C592)),"Fees",IF(ISNUMBER(SEARCH("charge",C592)),"Fees","Other")))))))))))))))))))))))))</f>
        <v>Bundles</v>
      </c>
      <c r="R592" s="1" t="str">
        <f aca="false">TEXT(B592,"MMM YYYY")</f>
        <v>Mar 2026</v>
      </c>
    </row>
    <row r="593" customFormat="false" ht="13.8" hidden="false" customHeight="false" outlineLevel="0" collapsed="false">
      <c r="A593" s="4" t="s">
        <v>1258</v>
      </c>
      <c r="B593" s="4" t="s">
        <v>1259</v>
      </c>
      <c r="C593" s="4" t="s">
        <v>29</v>
      </c>
      <c r="D593" s="4" t="s">
        <v>18</v>
      </c>
      <c r="E593" s="4"/>
      <c r="F593" s="4" t="n">
        <v>20</v>
      </c>
      <c r="G593" s="4" t="n">
        <v>58.78</v>
      </c>
      <c r="L593" s="1" t="str">
        <f aca="false">IF(ISNUMBER(SEARCH("Bundle",C593)),"Bundles",IF(ISNUMBER(SEARCH("Airtime",C593)),"Bundles",IF(ISNUMBER(SEARCH("Merchant",C593)),"Merchant Payment",IF(ISNUMBER(SEARCH("Offnet C2B",C593)),"Merchant Payment",IF(ISNUMBER(SEARCH("Offnet B2C",C593)),"Merchant Payment",IF(ISNUMBER(SEARCH("Customer Payment to Small",C593)),"Merchant Payment",IF(ISNUMBER(SEARCH("Payment to Small Business",C593)),"Merchant Payment",IF(ISNUMBER(SEARCH("Sent to",C593)),"Sent to Person",IF(ISNUMBER(SEARCH("Customer Transfer to",C593)),"Sent to Person",IF(ISNUMBER(SEARCH("Business Payment",C593)),"Money In",IF(ISNUMBER(SEARCH("Funds Received",C593)),"Money In",IF(ISNUMBER(SEARCH("Receive International",C593)),"Money In",IF(ISNUMBER(SEARCH("Send Money Reversal",C593)),"Money In",IF(ISNUMBER(SEARCH("Pay Utility Reversal",C593)),"Money In",IF(ISNUMBER(SEARCH("Customer Transfer",C593)),"Money In",IF(ISNUMBER(SEARCH("Ziidi",C593)),"Investment",IF(ISNUMBER(SEARCH("Nabo",C593)),"Investment",IF(ISNUMBER(SEARCH("Paybill Online",C593)),"Pay Bill",IF(ISNUMBER(SEARCH("Pay Bill",C593)),"Pay Bill",IF(ISNUMBER(SEARCH("Spotify",C593)),"Pay Bill",IF(ISNUMBER(SEARCH("M-Shwari",C593)),"Mshwari",IF(ISNUMBER(SEARCH("Mshwari",C593)),"Mshwari",IF(ISNUMBER(SEARCH("Withdrawal charge",C593)),"Fees",IF(ISNUMBER(SEARCH("Customer Withdrawal",C593)),"Fees",IF(ISNUMBER(SEARCH("charge",C593)),"Fees","Other")))))))))))))))))))))))))</f>
        <v>Bundles</v>
      </c>
      <c r="R593" s="1" t="str">
        <f aca="false">TEXT(B593,"MMM YYYY")</f>
        <v>Mar 2026</v>
      </c>
    </row>
    <row r="594" customFormat="false" ht="13.8" hidden="false" customHeight="false" outlineLevel="0" collapsed="false">
      <c r="A594" s="4" t="s">
        <v>1260</v>
      </c>
      <c r="B594" s="4" t="s">
        <v>1261</v>
      </c>
      <c r="C594" s="4" t="s">
        <v>1262</v>
      </c>
      <c r="D594" s="4" t="s">
        <v>18</v>
      </c>
      <c r="E594" s="4"/>
      <c r="F594" s="4" t="n">
        <v>30</v>
      </c>
      <c r="G594" s="4" t="n">
        <v>28.78</v>
      </c>
      <c r="L594" s="1" t="str">
        <f aca="false">IF(ISNUMBER(SEARCH("Bundle",C594)),"Bundles",IF(ISNUMBER(SEARCH("Airtime",C594)),"Bundles",IF(ISNUMBER(SEARCH("Merchant",C594)),"Merchant Payment",IF(ISNUMBER(SEARCH("Offnet C2B",C594)),"Merchant Payment",IF(ISNUMBER(SEARCH("Offnet B2C",C594)),"Merchant Payment",IF(ISNUMBER(SEARCH("Customer Payment to Small",C594)),"Merchant Payment",IF(ISNUMBER(SEARCH("Payment to Small Business",C594)),"Merchant Payment",IF(ISNUMBER(SEARCH("Sent to",C594)),"Sent to Person",IF(ISNUMBER(SEARCH("Customer Transfer to",C594)),"Sent to Person",IF(ISNUMBER(SEARCH("Business Payment",C594)),"Money In",IF(ISNUMBER(SEARCH("Funds Received",C594)),"Money In",IF(ISNUMBER(SEARCH("Receive International",C594)),"Money In",IF(ISNUMBER(SEARCH("Send Money Reversal",C594)),"Money In",IF(ISNUMBER(SEARCH("Pay Utility Reversal",C594)),"Money In",IF(ISNUMBER(SEARCH("Customer Transfer",C594)),"Money In",IF(ISNUMBER(SEARCH("Ziidi",C594)),"Investment",IF(ISNUMBER(SEARCH("Nabo",C594)),"Investment",IF(ISNUMBER(SEARCH("Paybill Online",C594)),"Pay Bill",IF(ISNUMBER(SEARCH("Pay Bill",C594)),"Pay Bill",IF(ISNUMBER(SEARCH("Spotify",C594)),"Pay Bill",IF(ISNUMBER(SEARCH("M-Shwari",C594)),"Mshwari",IF(ISNUMBER(SEARCH("Mshwari",C594)),"Mshwari",IF(ISNUMBER(SEARCH("Withdrawal charge",C594)),"Fees",IF(ISNUMBER(SEARCH("Customer Withdrawal",C594)),"Fees",IF(ISNUMBER(SEARCH("charge",C594)),"Fees","Other")))))))))))))))))))))))))</f>
        <v>Sent to Person</v>
      </c>
      <c r="R594" s="1" t="str">
        <f aca="false">TEXT(B594,"MMM YYYY")</f>
        <v>Mar 2026</v>
      </c>
    </row>
    <row r="595" customFormat="false" ht="13.8" hidden="false" customHeight="false" outlineLevel="0" collapsed="false">
      <c r="A595" s="4" t="s">
        <v>1263</v>
      </c>
      <c r="B595" s="4" t="s">
        <v>1264</v>
      </c>
      <c r="C595" s="4" t="s">
        <v>459</v>
      </c>
      <c r="D595" s="4" t="s">
        <v>18</v>
      </c>
      <c r="E595" s="4"/>
      <c r="F595" s="4" t="n">
        <v>20</v>
      </c>
      <c r="G595" s="4" t="n">
        <v>8.78</v>
      </c>
      <c r="L595" s="1" t="str">
        <f aca="false">IF(ISNUMBER(SEARCH("Bundle",C595)),"Bundles",IF(ISNUMBER(SEARCH("Airtime",C595)),"Bundles",IF(ISNUMBER(SEARCH("Merchant",C595)),"Merchant Payment",IF(ISNUMBER(SEARCH("Offnet C2B",C595)),"Merchant Payment",IF(ISNUMBER(SEARCH("Offnet B2C",C595)),"Merchant Payment",IF(ISNUMBER(SEARCH("Customer Payment to Small",C595)),"Merchant Payment",IF(ISNUMBER(SEARCH("Payment to Small Business",C595)),"Merchant Payment",IF(ISNUMBER(SEARCH("Sent to",C595)),"Sent to Person",IF(ISNUMBER(SEARCH("Customer Transfer to",C595)),"Sent to Person",IF(ISNUMBER(SEARCH("Business Payment",C595)),"Money In",IF(ISNUMBER(SEARCH("Funds Received",C595)),"Money In",IF(ISNUMBER(SEARCH("Receive International",C595)),"Money In",IF(ISNUMBER(SEARCH("Send Money Reversal",C595)),"Money In",IF(ISNUMBER(SEARCH("Pay Utility Reversal",C595)),"Money In",IF(ISNUMBER(SEARCH("Customer Transfer",C595)),"Money In",IF(ISNUMBER(SEARCH("Ziidi",C595)),"Investment",IF(ISNUMBER(SEARCH("Nabo",C595)),"Investment",IF(ISNUMBER(SEARCH("Paybill Online",C595)),"Pay Bill",IF(ISNUMBER(SEARCH("Pay Bill",C595)),"Pay Bill",IF(ISNUMBER(SEARCH("Spotify",C595)),"Pay Bill",IF(ISNUMBER(SEARCH("M-Shwari",C595)),"Mshwari",IF(ISNUMBER(SEARCH("Mshwari",C595)),"Mshwari",IF(ISNUMBER(SEARCH("Withdrawal charge",C595)),"Fees",IF(ISNUMBER(SEARCH("Customer Withdrawal",C595)),"Fees",IF(ISNUMBER(SEARCH("charge",C595)),"Fees","Other")))))))))))))))))))))))))</f>
        <v>Merchant Payment</v>
      </c>
      <c r="R595" s="1" t="str">
        <f aca="false">TEXT(B595,"MMM YYYY")</f>
        <v>Mar 2026</v>
      </c>
    </row>
    <row r="596" customFormat="false" ht="13.8" hidden="false" customHeight="false" outlineLevel="0" collapsed="false">
      <c r="A596" s="4" t="s">
        <v>1265</v>
      </c>
      <c r="B596" s="4" t="s">
        <v>1266</v>
      </c>
      <c r="C596" s="4" t="s">
        <v>192</v>
      </c>
      <c r="D596" s="4" t="s">
        <v>18</v>
      </c>
      <c r="E596" s="4" t="n">
        <v>400</v>
      </c>
      <c r="F596" s="4"/>
      <c r="G596" s="4" t="n">
        <v>408.78</v>
      </c>
      <c r="L596" s="1" t="str">
        <f aca="false">IF(ISNUMBER(SEARCH("Bundle",C596)),"Bundles",IF(ISNUMBER(SEARCH("Airtime",C596)),"Bundles",IF(ISNUMBER(SEARCH("Merchant",C596)),"Merchant Payment",IF(ISNUMBER(SEARCH("Offnet C2B",C596)),"Merchant Payment",IF(ISNUMBER(SEARCH("Offnet B2C",C596)),"Merchant Payment",IF(ISNUMBER(SEARCH("Customer Payment to Small",C596)),"Merchant Payment",IF(ISNUMBER(SEARCH("Payment to Small Business",C596)),"Merchant Payment",IF(ISNUMBER(SEARCH("Sent to",C596)),"Sent to Person",IF(ISNUMBER(SEARCH("Customer Transfer to",C596)),"Sent to Person",IF(ISNUMBER(SEARCH("Business Payment",C596)),"Money In",IF(ISNUMBER(SEARCH("Funds Received",C596)),"Money In",IF(ISNUMBER(SEARCH("Receive International",C596)),"Money In",IF(ISNUMBER(SEARCH("Send Money Reversal",C596)),"Money In",IF(ISNUMBER(SEARCH("Pay Utility Reversal",C596)),"Money In",IF(ISNUMBER(SEARCH("Customer Transfer",C596)),"Money In",IF(ISNUMBER(SEARCH("Ziidi",C596)),"Investment",IF(ISNUMBER(SEARCH("Nabo",C596)),"Investment",IF(ISNUMBER(SEARCH("Paybill Online",C596)),"Pay Bill",IF(ISNUMBER(SEARCH("Pay Bill",C596)),"Pay Bill",IF(ISNUMBER(SEARCH("Spotify",C596)),"Pay Bill",IF(ISNUMBER(SEARCH("M-Shwari",C596)),"Mshwari",IF(ISNUMBER(SEARCH("Mshwari",C596)),"Mshwari",IF(ISNUMBER(SEARCH("Withdrawal charge",C596)),"Fees",IF(ISNUMBER(SEARCH("Customer Withdrawal",C596)),"Fees",IF(ISNUMBER(SEARCH("charge",C596)),"Fees","Other")))))))))))))))))))))))))</f>
        <v>Mshwari</v>
      </c>
      <c r="R596" s="1" t="str">
        <f aca="false">TEXT(B596,"MMM YYYY")</f>
        <v>Mar 2026</v>
      </c>
    </row>
    <row r="597" customFormat="false" ht="13.8" hidden="false" customHeight="false" outlineLevel="0" collapsed="false">
      <c r="A597" s="4" t="s">
        <v>1267</v>
      </c>
      <c r="B597" s="4" t="s">
        <v>1268</v>
      </c>
      <c r="C597" s="4" t="s">
        <v>29</v>
      </c>
      <c r="D597" s="4" t="s">
        <v>18</v>
      </c>
      <c r="E597" s="4"/>
      <c r="F597" s="4" t="n">
        <v>10</v>
      </c>
      <c r="G597" s="4" t="n">
        <v>398.78</v>
      </c>
      <c r="L597" s="1" t="str">
        <f aca="false">IF(ISNUMBER(SEARCH("Bundle",C597)),"Bundles",IF(ISNUMBER(SEARCH("Airtime",C597)),"Bundles",IF(ISNUMBER(SEARCH("Merchant",C597)),"Merchant Payment",IF(ISNUMBER(SEARCH("Offnet C2B",C597)),"Merchant Payment",IF(ISNUMBER(SEARCH("Offnet B2C",C597)),"Merchant Payment",IF(ISNUMBER(SEARCH("Customer Payment to Small",C597)),"Merchant Payment",IF(ISNUMBER(SEARCH("Payment to Small Business",C597)),"Merchant Payment",IF(ISNUMBER(SEARCH("Sent to",C597)),"Sent to Person",IF(ISNUMBER(SEARCH("Customer Transfer to",C597)),"Sent to Person",IF(ISNUMBER(SEARCH("Business Payment",C597)),"Money In",IF(ISNUMBER(SEARCH("Funds Received",C597)),"Money In",IF(ISNUMBER(SEARCH("Receive International",C597)),"Money In",IF(ISNUMBER(SEARCH("Send Money Reversal",C597)),"Money In",IF(ISNUMBER(SEARCH("Pay Utility Reversal",C597)),"Money In",IF(ISNUMBER(SEARCH("Customer Transfer",C597)),"Money In",IF(ISNUMBER(SEARCH("Ziidi",C597)),"Investment",IF(ISNUMBER(SEARCH("Nabo",C597)),"Investment",IF(ISNUMBER(SEARCH("Paybill Online",C597)),"Pay Bill",IF(ISNUMBER(SEARCH("Pay Bill",C597)),"Pay Bill",IF(ISNUMBER(SEARCH("Spotify",C597)),"Pay Bill",IF(ISNUMBER(SEARCH("M-Shwari",C597)),"Mshwari",IF(ISNUMBER(SEARCH("Mshwari",C597)),"Mshwari",IF(ISNUMBER(SEARCH("Withdrawal charge",C597)),"Fees",IF(ISNUMBER(SEARCH("Customer Withdrawal",C597)),"Fees",IF(ISNUMBER(SEARCH("charge",C597)),"Fees","Other")))))))))))))))))))))))))</f>
        <v>Bundles</v>
      </c>
      <c r="R597" s="1" t="str">
        <f aca="false">TEXT(B597,"MMM YYYY")</f>
        <v>Mar 2026</v>
      </c>
    </row>
    <row r="598" customFormat="false" ht="13.8" hidden="false" customHeight="false" outlineLevel="0" collapsed="false">
      <c r="A598" s="4" t="s">
        <v>1269</v>
      </c>
      <c r="B598" s="4" t="s">
        <v>1270</v>
      </c>
      <c r="C598" s="4" t="s">
        <v>29</v>
      </c>
      <c r="D598" s="4" t="s">
        <v>18</v>
      </c>
      <c r="E598" s="4"/>
      <c r="F598" s="4" t="n">
        <v>20</v>
      </c>
      <c r="G598" s="4" t="n">
        <v>378.78</v>
      </c>
      <c r="L598" s="1" t="str">
        <f aca="false">IF(ISNUMBER(SEARCH("Bundle",C598)),"Bundles",IF(ISNUMBER(SEARCH("Airtime",C598)),"Bundles",IF(ISNUMBER(SEARCH("Merchant",C598)),"Merchant Payment",IF(ISNUMBER(SEARCH("Offnet C2B",C598)),"Merchant Payment",IF(ISNUMBER(SEARCH("Offnet B2C",C598)),"Merchant Payment",IF(ISNUMBER(SEARCH("Customer Payment to Small",C598)),"Merchant Payment",IF(ISNUMBER(SEARCH("Payment to Small Business",C598)),"Merchant Payment",IF(ISNUMBER(SEARCH("Sent to",C598)),"Sent to Person",IF(ISNUMBER(SEARCH("Customer Transfer to",C598)),"Sent to Person",IF(ISNUMBER(SEARCH("Business Payment",C598)),"Money In",IF(ISNUMBER(SEARCH("Funds Received",C598)),"Money In",IF(ISNUMBER(SEARCH("Receive International",C598)),"Money In",IF(ISNUMBER(SEARCH("Send Money Reversal",C598)),"Money In",IF(ISNUMBER(SEARCH("Pay Utility Reversal",C598)),"Money In",IF(ISNUMBER(SEARCH("Customer Transfer",C598)),"Money In",IF(ISNUMBER(SEARCH("Ziidi",C598)),"Investment",IF(ISNUMBER(SEARCH("Nabo",C598)),"Investment",IF(ISNUMBER(SEARCH("Paybill Online",C598)),"Pay Bill",IF(ISNUMBER(SEARCH("Pay Bill",C598)),"Pay Bill",IF(ISNUMBER(SEARCH("Spotify",C598)),"Pay Bill",IF(ISNUMBER(SEARCH("M-Shwari",C598)),"Mshwari",IF(ISNUMBER(SEARCH("Mshwari",C598)),"Mshwari",IF(ISNUMBER(SEARCH("Withdrawal charge",C598)),"Fees",IF(ISNUMBER(SEARCH("Customer Withdrawal",C598)),"Fees",IF(ISNUMBER(SEARCH("charge",C598)),"Fees","Other")))))))))))))))))))))))))</f>
        <v>Bundles</v>
      </c>
      <c r="R598" s="1" t="str">
        <f aca="false">TEXT(B598,"MMM YYYY")</f>
        <v>Mar 2026</v>
      </c>
    </row>
    <row r="599" customFormat="false" ht="13.8" hidden="false" customHeight="false" outlineLevel="0" collapsed="false">
      <c r="A599" s="4" t="s">
        <v>1271</v>
      </c>
      <c r="B599" s="4" t="s">
        <v>1272</v>
      </c>
      <c r="C599" s="4" t="s">
        <v>1273</v>
      </c>
      <c r="D599" s="4" t="s">
        <v>18</v>
      </c>
      <c r="E599" s="4"/>
      <c r="F599" s="4" t="n">
        <v>50</v>
      </c>
      <c r="G599" s="4" t="n">
        <v>328.78</v>
      </c>
      <c r="L599" s="1" t="str">
        <f aca="false">IF(ISNUMBER(SEARCH("Bundle",C599)),"Bundles",IF(ISNUMBER(SEARCH("Airtime",C599)),"Bundles",IF(ISNUMBER(SEARCH("Merchant",C599)),"Merchant Payment",IF(ISNUMBER(SEARCH("Offnet C2B",C599)),"Merchant Payment",IF(ISNUMBER(SEARCH("Offnet B2C",C599)),"Merchant Payment",IF(ISNUMBER(SEARCH("Customer Payment to Small",C599)),"Merchant Payment",IF(ISNUMBER(SEARCH("Payment to Small Business",C599)),"Merchant Payment",IF(ISNUMBER(SEARCH("Sent to",C599)),"Sent to Person",IF(ISNUMBER(SEARCH("Customer Transfer to",C599)),"Sent to Person",IF(ISNUMBER(SEARCH("Business Payment",C599)),"Money In",IF(ISNUMBER(SEARCH("Funds Received",C599)),"Money In",IF(ISNUMBER(SEARCH("Receive International",C599)),"Money In",IF(ISNUMBER(SEARCH("Send Money Reversal",C599)),"Money In",IF(ISNUMBER(SEARCH("Pay Utility Reversal",C599)),"Money In",IF(ISNUMBER(SEARCH("Customer Transfer",C599)),"Money In",IF(ISNUMBER(SEARCH("Ziidi",C599)),"Investment",IF(ISNUMBER(SEARCH("Nabo",C599)),"Investment",IF(ISNUMBER(SEARCH("Paybill Online",C599)),"Pay Bill",IF(ISNUMBER(SEARCH("Pay Bill",C599)),"Pay Bill",IF(ISNUMBER(SEARCH("Spotify",C599)),"Pay Bill",IF(ISNUMBER(SEARCH("M-Shwari",C599)),"Mshwari",IF(ISNUMBER(SEARCH("Mshwari",C599)),"Mshwari",IF(ISNUMBER(SEARCH("Withdrawal charge",C599)),"Fees",IF(ISNUMBER(SEARCH("Customer Withdrawal",C599)),"Fees",IF(ISNUMBER(SEARCH("charge",C599)),"Fees","Other")))))))))))))))))))))))))</f>
        <v>Merchant Payment</v>
      </c>
      <c r="R599" s="1" t="str">
        <f aca="false">TEXT(B599,"MMM YYYY")</f>
        <v>Mar 2026</v>
      </c>
    </row>
    <row r="600" customFormat="false" ht="13.8" hidden="false" customHeight="false" outlineLevel="0" collapsed="false">
      <c r="A600" s="4" t="s">
        <v>1274</v>
      </c>
      <c r="B600" s="4" t="s">
        <v>1275</v>
      </c>
      <c r="C600" s="4" t="s">
        <v>1010</v>
      </c>
      <c r="D600" s="4" t="s">
        <v>18</v>
      </c>
      <c r="E600" s="4"/>
      <c r="F600" s="4" t="n">
        <v>50</v>
      </c>
      <c r="G600" s="4" t="n">
        <v>278.78</v>
      </c>
      <c r="L600" s="1" t="str">
        <f aca="false">IF(ISNUMBER(SEARCH("Bundle",C600)),"Bundles",IF(ISNUMBER(SEARCH("Airtime",C600)),"Bundles",IF(ISNUMBER(SEARCH("Merchant",C600)),"Merchant Payment",IF(ISNUMBER(SEARCH("Offnet C2B",C600)),"Merchant Payment",IF(ISNUMBER(SEARCH("Offnet B2C",C600)),"Merchant Payment",IF(ISNUMBER(SEARCH("Customer Payment to Small",C600)),"Merchant Payment",IF(ISNUMBER(SEARCH("Payment to Small Business",C600)),"Merchant Payment",IF(ISNUMBER(SEARCH("Sent to",C600)),"Sent to Person",IF(ISNUMBER(SEARCH("Customer Transfer to",C600)),"Sent to Person",IF(ISNUMBER(SEARCH("Business Payment",C600)),"Money In",IF(ISNUMBER(SEARCH("Funds Received",C600)),"Money In",IF(ISNUMBER(SEARCH("Receive International",C600)),"Money In",IF(ISNUMBER(SEARCH("Send Money Reversal",C600)),"Money In",IF(ISNUMBER(SEARCH("Pay Utility Reversal",C600)),"Money In",IF(ISNUMBER(SEARCH("Customer Transfer",C600)),"Money In",IF(ISNUMBER(SEARCH("Ziidi",C600)),"Investment",IF(ISNUMBER(SEARCH("Nabo",C600)),"Investment",IF(ISNUMBER(SEARCH("Paybill Online",C600)),"Pay Bill",IF(ISNUMBER(SEARCH("Pay Bill",C600)),"Pay Bill",IF(ISNUMBER(SEARCH("Spotify",C600)),"Pay Bill",IF(ISNUMBER(SEARCH("M-Shwari",C600)),"Mshwari",IF(ISNUMBER(SEARCH("Mshwari",C600)),"Mshwari",IF(ISNUMBER(SEARCH("Withdrawal charge",C600)),"Fees",IF(ISNUMBER(SEARCH("Customer Withdrawal",C600)),"Fees",IF(ISNUMBER(SEARCH("charge",C600)),"Fees","Other")))))))))))))))))))))))))</f>
        <v>Merchant Payment</v>
      </c>
      <c r="R600" s="1" t="str">
        <f aca="false">TEXT(B600,"MMM YYYY")</f>
        <v>Mar 2026</v>
      </c>
    </row>
    <row r="601" customFormat="false" ht="13.8" hidden="false" customHeight="false" outlineLevel="0" collapsed="false">
      <c r="A601" s="4" t="s">
        <v>1276</v>
      </c>
      <c r="B601" s="4" t="s">
        <v>1277</v>
      </c>
      <c r="C601" s="4" t="s">
        <v>1086</v>
      </c>
      <c r="D601" s="4" t="s">
        <v>18</v>
      </c>
      <c r="E601" s="4"/>
      <c r="F601" s="4" t="n">
        <v>50</v>
      </c>
      <c r="G601" s="4" t="n">
        <v>228.78</v>
      </c>
      <c r="L601" s="1" t="str">
        <f aca="false">IF(ISNUMBER(SEARCH("Bundle",C601)),"Bundles",IF(ISNUMBER(SEARCH("Airtime",C601)),"Bundles",IF(ISNUMBER(SEARCH("Merchant",C601)),"Merchant Payment",IF(ISNUMBER(SEARCH("Offnet C2B",C601)),"Merchant Payment",IF(ISNUMBER(SEARCH("Offnet B2C",C601)),"Merchant Payment",IF(ISNUMBER(SEARCH("Customer Payment to Small",C601)),"Merchant Payment",IF(ISNUMBER(SEARCH("Payment to Small Business",C601)),"Merchant Payment",IF(ISNUMBER(SEARCH("Sent to",C601)),"Sent to Person",IF(ISNUMBER(SEARCH("Customer Transfer to",C601)),"Sent to Person",IF(ISNUMBER(SEARCH("Business Payment",C601)),"Money In",IF(ISNUMBER(SEARCH("Funds Received",C601)),"Money In",IF(ISNUMBER(SEARCH("Receive International",C601)),"Money In",IF(ISNUMBER(SEARCH("Send Money Reversal",C601)),"Money In",IF(ISNUMBER(SEARCH("Pay Utility Reversal",C601)),"Money In",IF(ISNUMBER(SEARCH("Customer Transfer",C601)),"Money In",IF(ISNUMBER(SEARCH("Ziidi",C601)),"Investment",IF(ISNUMBER(SEARCH("Nabo",C601)),"Investment",IF(ISNUMBER(SEARCH("Paybill Online",C601)),"Pay Bill",IF(ISNUMBER(SEARCH("Pay Bill",C601)),"Pay Bill",IF(ISNUMBER(SEARCH("Spotify",C601)),"Pay Bill",IF(ISNUMBER(SEARCH("M-Shwari",C601)),"Mshwari",IF(ISNUMBER(SEARCH("Mshwari",C601)),"Mshwari",IF(ISNUMBER(SEARCH("Withdrawal charge",C601)),"Fees",IF(ISNUMBER(SEARCH("Customer Withdrawal",C601)),"Fees",IF(ISNUMBER(SEARCH("charge",C601)),"Fees","Other")))))))))))))))))))))))))</f>
        <v>Sent to Person</v>
      </c>
      <c r="R601" s="1" t="str">
        <f aca="false">TEXT(B601,"MMM YYYY")</f>
        <v>Mar 2026</v>
      </c>
    </row>
    <row r="602" customFormat="false" ht="13.8" hidden="false" customHeight="false" outlineLevel="0" collapsed="false">
      <c r="A602" s="4" t="s">
        <v>1278</v>
      </c>
      <c r="B602" s="4" t="s">
        <v>1279</v>
      </c>
      <c r="C602" s="4" t="s">
        <v>1086</v>
      </c>
      <c r="D602" s="4" t="s">
        <v>18</v>
      </c>
      <c r="E602" s="4"/>
      <c r="F602" s="4" t="n">
        <v>50</v>
      </c>
      <c r="G602" s="4" t="n">
        <v>178.78</v>
      </c>
      <c r="L602" s="1" t="str">
        <f aca="false">IF(ISNUMBER(SEARCH("Bundle",C602)),"Bundles",IF(ISNUMBER(SEARCH("Airtime",C602)),"Bundles",IF(ISNUMBER(SEARCH("Merchant",C602)),"Merchant Payment",IF(ISNUMBER(SEARCH("Offnet C2B",C602)),"Merchant Payment",IF(ISNUMBER(SEARCH("Offnet B2C",C602)),"Merchant Payment",IF(ISNUMBER(SEARCH("Customer Payment to Small",C602)),"Merchant Payment",IF(ISNUMBER(SEARCH("Payment to Small Business",C602)),"Merchant Payment",IF(ISNUMBER(SEARCH("Sent to",C602)),"Sent to Person",IF(ISNUMBER(SEARCH("Customer Transfer to",C602)),"Sent to Person",IF(ISNUMBER(SEARCH("Business Payment",C602)),"Money In",IF(ISNUMBER(SEARCH("Funds Received",C602)),"Money In",IF(ISNUMBER(SEARCH("Receive International",C602)),"Money In",IF(ISNUMBER(SEARCH("Send Money Reversal",C602)),"Money In",IF(ISNUMBER(SEARCH("Pay Utility Reversal",C602)),"Money In",IF(ISNUMBER(SEARCH("Customer Transfer",C602)),"Money In",IF(ISNUMBER(SEARCH("Ziidi",C602)),"Investment",IF(ISNUMBER(SEARCH("Nabo",C602)),"Investment",IF(ISNUMBER(SEARCH("Paybill Online",C602)),"Pay Bill",IF(ISNUMBER(SEARCH("Pay Bill",C602)),"Pay Bill",IF(ISNUMBER(SEARCH("Spotify",C602)),"Pay Bill",IF(ISNUMBER(SEARCH("M-Shwari",C602)),"Mshwari",IF(ISNUMBER(SEARCH("Mshwari",C602)),"Mshwari",IF(ISNUMBER(SEARCH("Withdrawal charge",C602)),"Fees",IF(ISNUMBER(SEARCH("Customer Withdrawal",C602)),"Fees",IF(ISNUMBER(SEARCH("charge",C602)),"Fees","Other")))))))))))))))))))))))))</f>
        <v>Sent to Person</v>
      </c>
      <c r="R602" s="1" t="str">
        <f aca="false">TEXT(B602,"MMM YYYY")</f>
        <v>Mar 2026</v>
      </c>
    </row>
    <row r="603" customFormat="false" ht="13.8" hidden="false" customHeight="false" outlineLevel="0" collapsed="false">
      <c r="A603" s="4" t="s">
        <v>1280</v>
      </c>
      <c r="B603" s="4" t="s">
        <v>1281</v>
      </c>
      <c r="C603" s="4" t="s">
        <v>666</v>
      </c>
      <c r="D603" s="4" t="s">
        <v>18</v>
      </c>
      <c r="E603" s="4"/>
      <c r="F603" s="4" t="n">
        <v>68</v>
      </c>
      <c r="G603" s="4" t="n">
        <v>110.78</v>
      </c>
      <c r="L603" s="1" t="str">
        <f aca="false">IF(ISNUMBER(SEARCH("Bundle",C603)),"Bundles",IF(ISNUMBER(SEARCH("Airtime",C603)),"Bundles",IF(ISNUMBER(SEARCH("Merchant",C603)),"Merchant Payment",IF(ISNUMBER(SEARCH("Offnet C2B",C603)),"Merchant Payment",IF(ISNUMBER(SEARCH("Offnet B2C",C603)),"Merchant Payment",IF(ISNUMBER(SEARCH("Customer Payment to Small",C603)),"Merchant Payment",IF(ISNUMBER(SEARCH("Payment to Small Business",C603)),"Merchant Payment",IF(ISNUMBER(SEARCH("Sent to",C603)),"Sent to Person",IF(ISNUMBER(SEARCH("Customer Transfer to",C603)),"Sent to Person",IF(ISNUMBER(SEARCH("Business Payment",C603)),"Money In",IF(ISNUMBER(SEARCH("Funds Received",C603)),"Money In",IF(ISNUMBER(SEARCH("Receive International",C603)),"Money In",IF(ISNUMBER(SEARCH("Send Money Reversal",C603)),"Money In",IF(ISNUMBER(SEARCH("Pay Utility Reversal",C603)),"Money In",IF(ISNUMBER(SEARCH("Customer Transfer",C603)),"Money In",IF(ISNUMBER(SEARCH("Ziidi",C603)),"Investment",IF(ISNUMBER(SEARCH("Nabo",C603)),"Investment",IF(ISNUMBER(SEARCH("Paybill Online",C603)),"Pay Bill",IF(ISNUMBER(SEARCH("Pay Bill",C603)),"Pay Bill",IF(ISNUMBER(SEARCH("Spotify",C603)),"Pay Bill",IF(ISNUMBER(SEARCH("M-Shwari",C603)),"Mshwari",IF(ISNUMBER(SEARCH("Mshwari",C603)),"Mshwari",IF(ISNUMBER(SEARCH("Withdrawal charge",C603)),"Fees",IF(ISNUMBER(SEARCH("Customer Withdrawal",C603)),"Fees",IF(ISNUMBER(SEARCH("charge",C603)),"Fees","Other")))))))))))))))))))))))))</f>
        <v>Merchant Payment</v>
      </c>
      <c r="R603" s="1" t="str">
        <f aca="false">TEXT(B603,"MMM YYYY")</f>
        <v>Mar 2026</v>
      </c>
    </row>
    <row r="604" customFormat="false" ht="13.8" hidden="false" customHeight="false" outlineLevel="0" collapsed="false">
      <c r="A604" s="4" t="s">
        <v>1282</v>
      </c>
      <c r="B604" s="4" t="s">
        <v>1283</v>
      </c>
      <c r="C604" s="4" t="s">
        <v>666</v>
      </c>
      <c r="D604" s="4" t="s">
        <v>18</v>
      </c>
      <c r="E604" s="4"/>
      <c r="F604" s="4" t="n">
        <v>2</v>
      </c>
      <c r="G604" s="4" t="n">
        <v>108.78</v>
      </c>
      <c r="L604" s="1" t="str">
        <f aca="false">IF(ISNUMBER(SEARCH("Bundle",C604)),"Bundles",IF(ISNUMBER(SEARCH("Airtime",C604)),"Bundles",IF(ISNUMBER(SEARCH("Merchant",C604)),"Merchant Payment",IF(ISNUMBER(SEARCH("Offnet C2B",C604)),"Merchant Payment",IF(ISNUMBER(SEARCH("Offnet B2C",C604)),"Merchant Payment",IF(ISNUMBER(SEARCH("Customer Payment to Small",C604)),"Merchant Payment",IF(ISNUMBER(SEARCH("Payment to Small Business",C604)),"Merchant Payment",IF(ISNUMBER(SEARCH("Sent to",C604)),"Sent to Person",IF(ISNUMBER(SEARCH("Customer Transfer to",C604)),"Sent to Person",IF(ISNUMBER(SEARCH("Business Payment",C604)),"Money In",IF(ISNUMBER(SEARCH("Funds Received",C604)),"Money In",IF(ISNUMBER(SEARCH("Receive International",C604)),"Money In",IF(ISNUMBER(SEARCH("Send Money Reversal",C604)),"Money In",IF(ISNUMBER(SEARCH("Pay Utility Reversal",C604)),"Money In",IF(ISNUMBER(SEARCH("Customer Transfer",C604)),"Money In",IF(ISNUMBER(SEARCH("Ziidi",C604)),"Investment",IF(ISNUMBER(SEARCH("Nabo",C604)),"Investment",IF(ISNUMBER(SEARCH("Paybill Online",C604)),"Pay Bill",IF(ISNUMBER(SEARCH("Pay Bill",C604)),"Pay Bill",IF(ISNUMBER(SEARCH("Spotify",C604)),"Pay Bill",IF(ISNUMBER(SEARCH("M-Shwari",C604)),"Mshwari",IF(ISNUMBER(SEARCH("Mshwari",C604)),"Mshwari",IF(ISNUMBER(SEARCH("Withdrawal charge",C604)),"Fees",IF(ISNUMBER(SEARCH("Customer Withdrawal",C604)),"Fees",IF(ISNUMBER(SEARCH("charge",C604)),"Fees","Other")))))))))))))))))))))))))</f>
        <v>Merchant Payment</v>
      </c>
      <c r="R604" s="1" t="str">
        <f aca="false">TEXT(B604,"MMM YYYY")</f>
        <v>Mar 2026</v>
      </c>
    </row>
    <row r="605" customFormat="false" ht="13.8" hidden="false" customHeight="false" outlineLevel="0" collapsed="false">
      <c r="A605" s="4" t="s">
        <v>1284</v>
      </c>
      <c r="B605" s="4" t="s">
        <v>1285</v>
      </c>
      <c r="C605" s="4" t="s">
        <v>1262</v>
      </c>
      <c r="D605" s="4" t="s">
        <v>18</v>
      </c>
      <c r="E605" s="4"/>
      <c r="F605" s="4" t="n">
        <v>30</v>
      </c>
      <c r="G605" s="4" t="n">
        <v>78.78</v>
      </c>
      <c r="L605" s="1" t="str">
        <f aca="false">IF(ISNUMBER(SEARCH("Bundle",C605)),"Bundles",IF(ISNUMBER(SEARCH("Airtime",C605)),"Bundles",IF(ISNUMBER(SEARCH("Merchant",C605)),"Merchant Payment",IF(ISNUMBER(SEARCH("Offnet C2B",C605)),"Merchant Payment",IF(ISNUMBER(SEARCH("Offnet B2C",C605)),"Merchant Payment",IF(ISNUMBER(SEARCH("Customer Payment to Small",C605)),"Merchant Payment",IF(ISNUMBER(SEARCH("Payment to Small Business",C605)),"Merchant Payment",IF(ISNUMBER(SEARCH("Sent to",C605)),"Sent to Person",IF(ISNUMBER(SEARCH("Customer Transfer to",C605)),"Sent to Person",IF(ISNUMBER(SEARCH("Business Payment",C605)),"Money In",IF(ISNUMBER(SEARCH("Funds Received",C605)),"Money In",IF(ISNUMBER(SEARCH("Receive International",C605)),"Money In",IF(ISNUMBER(SEARCH("Send Money Reversal",C605)),"Money In",IF(ISNUMBER(SEARCH("Pay Utility Reversal",C605)),"Money In",IF(ISNUMBER(SEARCH("Customer Transfer",C605)),"Money In",IF(ISNUMBER(SEARCH("Ziidi",C605)),"Investment",IF(ISNUMBER(SEARCH("Nabo",C605)),"Investment",IF(ISNUMBER(SEARCH("Paybill Online",C605)),"Pay Bill",IF(ISNUMBER(SEARCH("Pay Bill",C605)),"Pay Bill",IF(ISNUMBER(SEARCH("Spotify",C605)),"Pay Bill",IF(ISNUMBER(SEARCH("M-Shwari",C605)),"Mshwari",IF(ISNUMBER(SEARCH("Mshwari",C605)),"Mshwari",IF(ISNUMBER(SEARCH("Withdrawal charge",C605)),"Fees",IF(ISNUMBER(SEARCH("Customer Withdrawal",C605)),"Fees",IF(ISNUMBER(SEARCH("charge",C605)),"Fees","Other")))))))))))))))))))))))))</f>
        <v>Sent to Person</v>
      </c>
      <c r="R605" s="1" t="str">
        <f aca="false">TEXT(B605,"MMM YYYY")</f>
        <v>Mar 2026</v>
      </c>
    </row>
    <row r="606" customFormat="false" ht="13.8" hidden="false" customHeight="false" outlineLevel="0" collapsed="false">
      <c r="A606" s="4" t="s">
        <v>1286</v>
      </c>
      <c r="B606" s="4" t="s">
        <v>1287</v>
      </c>
      <c r="C606" s="4" t="s">
        <v>29</v>
      </c>
      <c r="D606" s="4" t="s">
        <v>18</v>
      </c>
      <c r="E606" s="4"/>
      <c r="F606" s="4" t="n">
        <v>20</v>
      </c>
      <c r="G606" s="4" t="n">
        <v>58.78</v>
      </c>
      <c r="L606" s="1" t="str">
        <f aca="false">IF(ISNUMBER(SEARCH("Bundle",C606)),"Bundles",IF(ISNUMBER(SEARCH("Airtime",C606)),"Bundles",IF(ISNUMBER(SEARCH("Merchant",C606)),"Merchant Payment",IF(ISNUMBER(SEARCH("Offnet C2B",C606)),"Merchant Payment",IF(ISNUMBER(SEARCH("Offnet B2C",C606)),"Merchant Payment",IF(ISNUMBER(SEARCH("Customer Payment to Small",C606)),"Merchant Payment",IF(ISNUMBER(SEARCH("Payment to Small Business",C606)),"Merchant Payment",IF(ISNUMBER(SEARCH("Sent to",C606)),"Sent to Person",IF(ISNUMBER(SEARCH("Customer Transfer to",C606)),"Sent to Person",IF(ISNUMBER(SEARCH("Business Payment",C606)),"Money In",IF(ISNUMBER(SEARCH("Funds Received",C606)),"Money In",IF(ISNUMBER(SEARCH("Receive International",C606)),"Money In",IF(ISNUMBER(SEARCH("Send Money Reversal",C606)),"Money In",IF(ISNUMBER(SEARCH("Pay Utility Reversal",C606)),"Money In",IF(ISNUMBER(SEARCH("Customer Transfer",C606)),"Money In",IF(ISNUMBER(SEARCH("Ziidi",C606)),"Investment",IF(ISNUMBER(SEARCH("Nabo",C606)),"Investment",IF(ISNUMBER(SEARCH("Paybill Online",C606)),"Pay Bill",IF(ISNUMBER(SEARCH("Pay Bill",C606)),"Pay Bill",IF(ISNUMBER(SEARCH("Spotify",C606)),"Pay Bill",IF(ISNUMBER(SEARCH("M-Shwari",C606)),"Mshwari",IF(ISNUMBER(SEARCH("Mshwari",C606)),"Mshwari",IF(ISNUMBER(SEARCH("Withdrawal charge",C606)),"Fees",IF(ISNUMBER(SEARCH("Customer Withdrawal",C606)),"Fees",IF(ISNUMBER(SEARCH("charge",C606)),"Fees","Other")))))))))))))))))))))))))</f>
        <v>Bundles</v>
      </c>
      <c r="R606" s="1" t="str">
        <f aca="false">TEXT(B606,"MMM YYYY")</f>
        <v>Mar 2026</v>
      </c>
    </row>
    <row r="607" customFormat="false" ht="13.8" hidden="false" customHeight="false" outlineLevel="0" collapsed="false">
      <c r="A607" s="4" t="s">
        <v>1288</v>
      </c>
      <c r="B607" s="4" t="s">
        <v>1289</v>
      </c>
      <c r="C607" s="4" t="s">
        <v>192</v>
      </c>
      <c r="D607" s="4" t="s">
        <v>18</v>
      </c>
      <c r="E607" s="4" t="n">
        <v>3000</v>
      </c>
      <c r="F607" s="4"/>
      <c r="G607" s="4" t="n">
        <v>3058.78</v>
      </c>
      <c r="L607" s="1" t="str">
        <f aca="false">IF(ISNUMBER(SEARCH("Bundle",C607)),"Bundles",IF(ISNUMBER(SEARCH("Airtime",C607)),"Bundles",IF(ISNUMBER(SEARCH("Merchant",C607)),"Merchant Payment",IF(ISNUMBER(SEARCH("Offnet C2B",C607)),"Merchant Payment",IF(ISNUMBER(SEARCH("Offnet B2C",C607)),"Merchant Payment",IF(ISNUMBER(SEARCH("Customer Payment to Small",C607)),"Merchant Payment",IF(ISNUMBER(SEARCH("Payment to Small Business",C607)),"Merchant Payment",IF(ISNUMBER(SEARCH("Sent to",C607)),"Sent to Person",IF(ISNUMBER(SEARCH("Customer Transfer to",C607)),"Sent to Person",IF(ISNUMBER(SEARCH("Business Payment",C607)),"Money In",IF(ISNUMBER(SEARCH("Funds Received",C607)),"Money In",IF(ISNUMBER(SEARCH("Receive International",C607)),"Money In",IF(ISNUMBER(SEARCH("Send Money Reversal",C607)),"Money In",IF(ISNUMBER(SEARCH("Pay Utility Reversal",C607)),"Money In",IF(ISNUMBER(SEARCH("Customer Transfer",C607)),"Money In",IF(ISNUMBER(SEARCH("Ziidi",C607)),"Investment",IF(ISNUMBER(SEARCH("Nabo",C607)),"Investment",IF(ISNUMBER(SEARCH("Paybill Online",C607)),"Pay Bill",IF(ISNUMBER(SEARCH("Pay Bill",C607)),"Pay Bill",IF(ISNUMBER(SEARCH("Spotify",C607)),"Pay Bill",IF(ISNUMBER(SEARCH("M-Shwari",C607)),"Mshwari",IF(ISNUMBER(SEARCH("Mshwari",C607)),"Mshwari",IF(ISNUMBER(SEARCH("Withdrawal charge",C607)),"Fees",IF(ISNUMBER(SEARCH("Customer Withdrawal",C607)),"Fees",IF(ISNUMBER(SEARCH("charge",C607)),"Fees","Other")))))))))))))))))))))))))</f>
        <v>Mshwari</v>
      </c>
      <c r="R607" s="1" t="str">
        <f aca="false">TEXT(B607,"MMM YYYY")</f>
        <v>Mar 2026</v>
      </c>
    </row>
    <row r="608" customFormat="false" ht="13.8" hidden="false" customHeight="false" outlineLevel="0" collapsed="false">
      <c r="A608" s="4" t="s">
        <v>1290</v>
      </c>
      <c r="B608" s="4" t="s">
        <v>1291</v>
      </c>
      <c r="C608" s="4" t="s">
        <v>239</v>
      </c>
      <c r="D608" s="4" t="s">
        <v>18</v>
      </c>
      <c r="E608" s="4"/>
      <c r="F608" s="4" t="n">
        <v>53</v>
      </c>
      <c r="G608" s="4" t="n">
        <v>405.78</v>
      </c>
      <c r="L608" s="1" t="str">
        <f aca="false">IF(ISNUMBER(SEARCH("Bundle",C608)),"Bundles",IF(ISNUMBER(SEARCH("Airtime",C608)),"Bundles",IF(ISNUMBER(SEARCH("Merchant",C608)),"Merchant Payment",IF(ISNUMBER(SEARCH("Offnet C2B",C608)),"Merchant Payment",IF(ISNUMBER(SEARCH("Offnet B2C",C608)),"Merchant Payment",IF(ISNUMBER(SEARCH("Customer Payment to Small",C608)),"Merchant Payment",IF(ISNUMBER(SEARCH("Payment to Small Business",C608)),"Merchant Payment",IF(ISNUMBER(SEARCH("Sent to",C608)),"Sent to Person",IF(ISNUMBER(SEARCH("Customer Transfer to",C608)),"Sent to Person",IF(ISNUMBER(SEARCH("Business Payment",C608)),"Money In",IF(ISNUMBER(SEARCH("Funds Received",C608)),"Money In",IF(ISNUMBER(SEARCH("Receive International",C608)),"Money In",IF(ISNUMBER(SEARCH("Send Money Reversal",C608)),"Money In",IF(ISNUMBER(SEARCH("Pay Utility Reversal",C608)),"Money In",IF(ISNUMBER(SEARCH("Customer Transfer",C608)),"Money In",IF(ISNUMBER(SEARCH("Ziidi",C608)),"Investment",IF(ISNUMBER(SEARCH("Nabo",C608)),"Investment",IF(ISNUMBER(SEARCH("Paybill Online",C608)),"Pay Bill",IF(ISNUMBER(SEARCH("Pay Bill",C608)),"Pay Bill",IF(ISNUMBER(SEARCH("Spotify",C608)),"Pay Bill",IF(ISNUMBER(SEARCH("M-Shwari",C608)),"Mshwari",IF(ISNUMBER(SEARCH("Mshwari",C608)),"Mshwari",IF(ISNUMBER(SEARCH("Withdrawal charge",C608)),"Fees",IF(ISNUMBER(SEARCH("Customer Withdrawal",C608)),"Fees",IF(ISNUMBER(SEARCH("charge",C608)),"Fees","Other")))))))))))))))))))))))))</f>
        <v>Money In</v>
      </c>
      <c r="R608" s="1" t="str">
        <f aca="false">TEXT(B608,"MMM YYYY")</f>
        <v>Mar 2026</v>
      </c>
    </row>
    <row r="609" customFormat="false" ht="13.8" hidden="false" customHeight="false" outlineLevel="0" collapsed="false">
      <c r="A609" s="4" t="s">
        <v>1290</v>
      </c>
      <c r="B609" s="4" t="s">
        <v>1291</v>
      </c>
      <c r="C609" s="4" t="s">
        <v>323</v>
      </c>
      <c r="D609" s="4" t="s">
        <v>18</v>
      </c>
      <c r="E609" s="4"/>
      <c r="F609" s="4" t="n">
        <v>2600</v>
      </c>
      <c r="G609" s="4" t="n">
        <v>458.78</v>
      </c>
      <c r="L609" s="1" t="str">
        <f aca="false">IF(ISNUMBER(SEARCH("Bundle",C609)),"Bundles",IF(ISNUMBER(SEARCH("Airtime",C609)),"Bundles",IF(ISNUMBER(SEARCH("Merchant",C609)),"Merchant Payment",IF(ISNUMBER(SEARCH("Offnet C2B",C609)),"Merchant Payment",IF(ISNUMBER(SEARCH("Offnet B2C",C609)),"Merchant Payment",IF(ISNUMBER(SEARCH("Customer Payment to Small",C609)),"Merchant Payment",IF(ISNUMBER(SEARCH("Payment to Small Business",C609)),"Merchant Payment",IF(ISNUMBER(SEARCH("Sent to",C609)),"Sent to Person",IF(ISNUMBER(SEARCH("Customer Transfer to",C609)),"Sent to Person",IF(ISNUMBER(SEARCH("Business Payment",C609)),"Money In",IF(ISNUMBER(SEARCH("Funds Received",C609)),"Money In",IF(ISNUMBER(SEARCH("Receive International",C609)),"Money In",IF(ISNUMBER(SEARCH("Send Money Reversal",C609)),"Money In",IF(ISNUMBER(SEARCH("Pay Utility Reversal",C609)),"Money In",IF(ISNUMBER(SEARCH("Customer Transfer",C609)),"Money In",IF(ISNUMBER(SEARCH("Ziidi",C609)),"Investment",IF(ISNUMBER(SEARCH("Nabo",C609)),"Investment",IF(ISNUMBER(SEARCH("Paybill Online",C609)),"Pay Bill",IF(ISNUMBER(SEARCH("Pay Bill",C609)),"Pay Bill",IF(ISNUMBER(SEARCH("Spotify",C609)),"Pay Bill",IF(ISNUMBER(SEARCH("M-Shwari",C609)),"Mshwari",IF(ISNUMBER(SEARCH("Mshwari",C609)),"Mshwari",IF(ISNUMBER(SEARCH("Withdrawal charge",C609)),"Fees",IF(ISNUMBER(SEARCH("Customer Withdrawal",C609)),"Fees",IF(ISNUMBER(SEARCH("charge",C609)),"Fees","Other")))))))))))))))))))))))))</f>
        <v>Sent to Person</v>
      </c>
      <c r="R609" s="1" t="str">
        <f aca="false">TEXT(B609,"MMM YYYY")</f>
        <v>Mar 2026</v>
      </c>
    </row>
    <row r="610" customFormat="false" ht="13.8" hidden="false" customHeight="false" outlineLevel="0" collapsed="false">
      <c r="A610" s="4" t="s">
        <v>1292</v>
      </c>
      <c r="B610" s="4" t="s">
        <v>1293</v>
      </c>
      <c r="C610" s="4" t="s">
        <v>29</v>
      </c>
      <c r="D610" s="4" t="s">
        <v>18</v>
      </c>
      <c r="E610" s="4"/>
      <c r="F610" s="4" t="n">
        <v>10</v>
      </c>
      <c r="G610" s="4" t="n">
        <v>395.78</v>
      </c>
      <c r="L610" s="1" t="str">
        <f aca="false">IF(ISNUMBER(SEARCH("Bundle",C610)),"Bundles",IF(ISNUMBER(SEARCH("Airtime",C610)),"Bundles",IF(ISNUMBER(SEARCH("Merchant",C610)),"Merchant Payment",IF(ISNUMBER(SEARCH("Offnet C2B",C610)),"Merchant Payment",IF(ISNUMBER(SEARCH("Offnet B2C",C610)),"Merchant Payment",IF(ISNUMBER(SEARCH("Customer Payment to Small",C610)),"Merchant Payment",IF(ISNUMBER(SEARCH("Payment to Small Business",C610)),"Merchant Payment",IF(ISNUMBER(SEARCH("Sent to",C610)),"Sent to Person",IF(ISNUMBER(SEARCH("Customer Transfer to",C610)),"Sent to Person",IF(ISNUMBER(SEARCH("Business Payment",C610)),"Money In",IF(ISNUMBER(SEARCH("Funds Received",C610)),"Money In",IF(ISNUMBER(SEARCH("Receive International",C610)),"Money In",IF(ISNUMBER(SEARCH("Send Money Reversal",C610)),"Money In",IF(ISNUMBER(SEARCH("Pay Utility Reversal",C610)),"Money In",IF(ISNUMBER(SEARCH("Customer Transfer",C610)),"Money In",IF(ISNUMBER(SEARCH("Ziidi",C610)),"Investment",IF(ISNUMBER(SEARCH("Nabo",C610)),"Investment",IF(ISNUMBER(SEARCH("Paybill Online",C610)),"Pay Bill",IF(ISNUMBER(SEARCH("Pay Bill",C610)),"Pay Bill",IF(ISNUMBER(SEARCH("Spotify",C610)),"Pay Bill",IF(ISNUMBER(SEARCH("M-Shwari",C610)),"Mshwari",IF(ISNUMBER(SEARCH("Mshwari",C610)),"Mshwari",IF(ISNUMBER(SEARCH("Withdrawal charge",C610)),"Fees",IF(ISNUMBER(SEARCH("Customer Withdrawal",C610)),"Fees",IF(ISNUMBER(SEARCH("charge",C610)),"Fees","Other")))))))))))))))))))))))))</f>
        <v>Bundles</v>
      </c>
      <c r="R610" s="1" t="str">
        <f aca="false">TEXT(B610,"MMM YYYY")</f>
        <v>Mar 2026</v>
      </c>
    </row>
    <row r="611" customFormat="false" ht="13.8" hidden="false" customHeight="false" outlineLevel="0" collapsed="false">
      <c r="A611" s="4" t="s">
        <v>1294</v>
      </c>
      <c r="B611" s="4" t="s">
        <v>1295</v>
      </c>
      <c r="C611" s="4" t="s">
        <v>459</v>
      </c>
      <c r="D611" s="4" t="s">
        <v>18</v>
      </c>
      <c r="E611" s="4"/>
      <c r="F611" s="4" t="n">
        <v>10</v>
      </c>
      <c r="G611" s="4" t="n">
        <v>385.78</v>
      </c>
      <c r="L611" s="1" t="str">
        <f aca="false">IF(ISNUMBER(SEARCH("Bundle",C611)),"Bundles",IF(ISNUMBER(SEARCH("Airtime",C611)),"Bundles",IF(ISNUMBER(SEARCH("Merchant",C611)),"Merchant Payment",IF(ISNUMBER(SEARCH("Offnet C2B",C611)),"Merchant Payment",IF(ISNUMBER(SEARCH("Offnet B2C",C611)),"Merchant Payment",IF(ISNUMBER(SEARCH("Customer Payment to Small",C611)),"Merchant Payment",IF(ISNUMBER(SEARCH("Payment to Small Business",C611)),"Merchant Payment",IF(ISNUMBER(SEARCH("Sent to",C611)),"Sent to Person",IF(ISNUMBER(SEARCH("Customer Transfer to",C611)),"Sent to Person",IF(ISNUMBER(SEARCH("Business Payment",C611)),"Money In",IF(ISNUMBER(SEARCH("Funds Received",C611)),"Money In",IF(ISNUMBER(SEARCH("Receive International",C611)),"Money In",IF(ISNUMBER(SEARCH("Send Money Reversal",C611)),"Money In",IF(ISNUMBER(SEARCH("Pay Utility Reversal",C611)),"Money In",IF(ISNUMBER(SEARCH("Customer Transfer",C611)),"Money In",IF(ISNUMBER(SEARCH("Ziidi",C611)),"Investment",IF(ISNUMBER(SEARCH("Nabo",C611)),"Investment",IF(ISNUMBER(SEARCH("Paybill Online",C611)),"Pay Bill",IF(ISNUMBER(SEARCH("Pay Bill",C611)),"Pay Bill",IF(ISNUMBER(SEARCH("Spotify",C611)),"Pay Bill",IF(ISNUMBER(SEARCH("M-Shwari",C611)),"Mshwari",IF(ISNUMBER(SEARCH("Mshwari",C611)),"Mshwari",IF(ISNUMBER(SEARCH("Withdrawal charge",C611)),"Fees",IF(ISNUMBER(SEARCH("Customer Withdrawal",C611)),"Fees",IF(ISNUMBER(SEARCH("charge",C611)),"Fees","Other")))))))))))))))))))))))))</f>
        <v>Merchant Payment</v>
      </c>
      <c r="R611" s="1" t="str">
        <f aca="false">TEXT(B611,"MMM YYYY")</f>
        <v>Mar 2026</v>
      </c>
    </row>
    <row r="612" customFormat="false" ht="13.8" hidden="false" customHeight="false" outlineLevel="0" collapsed="false">
      <c r="A612" s="4" t="s">
        <v>1296</v>
      </c>
      <c r="B612" s="4" t="s">
        <v>1297</v>
      </c>
      <c r="C612" s="4" t="s">
        <v>1073</v>
      </c>
      <c r="D612" s="4" t="s">
        <v>18</v>
      </c>
      <c r="E612" s="4"/>
      <c r="F612" s="4" t="n">
        <v>30</v>
      </c>
      <c r="G612" s="4" t="n">
        <v>355.78</v>
      </c>
      <c r="L612" s="1" t="str">
        <f aca="false">IF(ISNUMBER(SEARCH("Bundle",C612)),"Bundles",IF(ISNUMBER(SEARCH("Airtime",C612)),"Bundles",IF(ISNUMBER(SEARCH("Merchant",C612)),"Merchant Payment",IF(ISNUMBER(SEARCH("Offnet C2B",C612)),"Merchant Payment",IF(ISNUMBER(SEARCH("Offnet B2C",C612)),"Merchant Payment",IF(ISNUMBER(SEARCH("Customer Payment to Small",C612)),"Merchant Payment",IF(ISNUMBER(SEARCH("Payment to Small Business",C612)),"Merchant Payment",IF(ISNUMBER(SEARCH("Sent to",C612)),"Sent to Person",IF(ISNUMBER(SEARCH("Customer Transfer to",C612)),"Sent to Person",IF(ISNUMBER(SEARCH("Business Payment",C612)),"Money In",IF(ISNUMBER(SEARCH("Funds Received",C612)),"Money In",IF(ISNUMBER(SEARCH("Receive International",C612)),"Money In",IF(ISNUMBER(SEARCH("Send Money Reversal",C612)),"Money In",IF(ISNUMBER(SEARCH("Pay Utility Reversal",C612)),"Money In",IF(ISNUMBER(SEARCH("Customer Transfer",C612)),"Money In",IF(ISNUMBER(SEARCH("Ziidi",C612)),"Investment",IF(ISNUMBER(SEARCH("Nabo",C612)),"Investment",IF(ISNUMBER(SEARCH("Paybill Online",C612)),"Pay Bill",IF(ISNUMBER(SEARCH("Pay Bill",C612)),"Pay Bill",IF(ISNUMBER(SEARCH("Spotify",C612)),"Pay Bill",IF(ISNUMBER(SEARCH("M-Shwari",C612)),"Mshwari",IF(ISNUMBER(SEARCH("Mshwari",C612)),"Mshwari",IF(ISNUMBER(SEARCH("Withdrawal charge",C612)),"Fees",IF(ISNUMBER(SEARCH("Customer Withdrawal",C612)),"Fees",IF(ISNUMBER(SEARCH("charge",C612)),"Fees","Other")))))))))))))))))))))))))</f>
        <v>Merchant Payment</v>
      </c>
      <c r="R612" s="1" t="str">
        <f aca="false">TEXT(B612,"MMM YYYY")</f>
        <v>Mar 2026</v>
      </c>
    </row>
    <row r="613" customFormat="false" ht="13.8" hidden="false" customHeight="false" outlineLevel="0" collapsed="false">
      <c r="A613" s="4" t="s">
        <v>1298</v>
      </c>
      <c r="B613" s="4" t="s">
        <v>1299</v>
      </c>
      <c r="C613" s="4" t="s">
        <v>29</v>
      </c>
      <c r="D613" s="4" t="s">
        <v>18</v>
      </c>
      <c r="E613" s="4"/>
      <c r="F613" s="4" t="n">
        <v>5</v>
      </c>
      <c r="G613" s="4" t="n">
        <v>350.78</v>
      </c>
      <c r="L613" s="1" t="str">
        <f aca="false">IF(ISNUMBER(SEARCH("Bundle",C613)),"Bundles",IF(ISNUMBER(SEARCH("Airtime",C613)),"Bundles",IF(ISNUMBER(SEARCH("Merchant",C613)),"Merchant Payment",IF(ISNUMBER(SEARCH("Offnet C2B",C613)),"Merchant Payment",IF(ISNUMBER(SEARCH("Offnet B2C",C613)),"Merchant Payment",IF(ISNUMBER(SEARCH("Customer Payment to Small",C613)),"Merchant Payment",IF(ISNUMBER(SEARCH("Payment to Small Business",C613)),"Merchant Payment",IF(ISNUMBER(SEARCH("Sent to",C613)),"Sent to Person",IF(ISNUMBER(SEARCH("Customer Transfer to",C613)),"Sent to Person",IF(ISNUMBER(SEARCH("Business Payment",C613)),"Money In",IF(ISNUMBER(SEARCH("Funds Received",C613)),"Money In",IF(ISNUMBER(SEARCH("Receive International",C613)),"Money In",IF(ISNUMBER(SEARCH("Send Money Reversal",C613)),"Money In",IF(ISNUMBER(SEARCH("Pay Utility Reversal",C613)),"Money In",IF(ISNUMBER(SEARCH("Customer Transfer",C613)),"Money In",IF(ISNUMBER(SEARCH("Ziidi",C613)),"Investment",IF(ISNUMBER(SEARCH("Nabo",C613)),"Investment",IF(ISNUMBER(SEARCH("Paybill Online",C613)),"Pay Bill",IF(ISNUMBER(SEARCH("Pay Bill",C613)),"Pay Bill",IF(ISNUMBER(SEARCH("Spotify",C613)),"Pay Bill",IF(ISNUMBER(SEARCH("M-Shwari",C613)),"Mshwari",IF(ISNUMBER(SEARCH("Mshwari",C613)),"Mshwari",IF(ISNUMBER(SEARCH("Withdrawal charge",C613)),"Fees",IF(ISNUMBER(SEARCH("Customer Withdrawal",C613)),"Fees",IF(ISNUMBER(SEARCH("charge",C613)),"Fees","Other")))))))))))))))))))))))))</f>
        <v>Bundles</v>
      </c>
      <c r="R613" s="1" t="str">
        <f aca="false">TEXT(B613,"MMM YYYY")</f>
        <v>Mar 2026</v>
      </c>
    </row>
    <row r="614" customFormat="false" ht="13.8" hidden="false" customHeight="false" outlineLevel="0" collapsed="false">
      <c r="A614" s="4" t="s">
        <v>1300</v>
      </c>
      <c r="B614" s="4" t="s">
        <v>1301</v>
      </c>
      <c r="C614" s="4" t="s">
        <v>29</v>
      </c>
      <c r="D614" s="4" t="s">
        <v>18</v>
      </c>
      <c r="E614" s="4"/>
      <c r="F614" s="4" t="n">
        <v>20</v>
      </c>
      <c r="G614" s="4" t="n">
        <v>330.78</v>
      </c>
      <c r="L614" s="1" t="str">
        <f aca="false">IF(ISNUMBER(SEARCH("Bundle",C614)),"Bundles",IF(ISNUMBER(SEARCH("Airtime",C614)),"Bundles",IF(ISNUMBER(SEARCH("Merchant",C614)),"Merchant Payment",IF(ISNUMBER(SEARCH("Offnet C2B",C614)),"Merchant Payment",IF(ISNUMBER(SEARCH("Offnet B2C",C614)),"Merchant Payment",IF(ISNUMBER(SEARCH("Customer Payment to Small",C614)),"Merchant Payment",IF(ISNUMBER(SEARCH("Payment to Small Business",C614)),"Merchant Payment",IF(ISNUMBER(SEARCH("Sent to",C614)),"Sent to Person",IF(ISNUMBER(SEARCH("Customer Transfer to",C614)),"Sent to Person",IF(ISNUMBER(SEARCH("Business Payment",C614)),"Money In",IF(ISNUMBER(SEARCH("Funds Received",C614)),"Money In",IF(ISNUMBER(SEARCH("Receive International",C614)),"Money In",IF(ISNUMBER(SEARCH("Send Money Reversal",C614)),"Money In",IF(ISNUMBER(SEARCH("Pay Utility Reversal",C614)),"Money In",IF(ISNUMBER(SEARCH("Customer Transfer",C614)),"Money In",IF(ISNUMBER(SEARCH("Ziidi",C614)),"Investment",IF(ISNUMBER(SEARCH("Nabo",C614)),"Investment",IF(ISNUMBER(SEARCH("Paybill Online",C614)),"Pay Bill",IF(ISNUMBER(SEARCH("Pay Bill",C614)),"Pay Bill",IF(ISNUMBER(SEARCH("Spotify",C614)),"Pay Bill",IF(ISNUMBER(SEARCH("M-Shwari",C614)),"Mshwari",IF(ISNUMBER(SEARCH("Mshwari",C614)),"Mshwari",IF(ISNUMBER(SEARCH("Withdrawal charge",C614)),"Fees",IF(ISNUMBER(SEARCH("Customer Withdrawal",C614)),"Fees",IF(ISNUMBER(SEARCH("charge",C614)),"Fees","Other")))))))))))))))))))))))))</f>
        <v>Bundles</v>
      </c>
      <c r="R614" s="1" t="str">
        <f aca="false">TEXT(B614,"MMM YYYY")</f>
        <v>Mar 2026</v>
      </c>
    </row>
    <row r="615" customFormat="false" ht="13.8" hidden="false" customHeight="false" outlineLevel="0" collapsed="false">
      <c r="A615" s="4" t="s">
        <v>1302</v>
      </c>
      <c r="B615" s="4" t="s">
        <v>1303</v>
      </c>
      <c r="C615" s="4" t="s">
        <v>29</v>
      </c>
      <c r="D615" s="4" t="s">
        <v>18</v>
      </c>
      <c r="E615" s="4"/>
      <c r="F615" s="4" t="n">
        <v>10</v>
      </c>
      <c r="G615" s="4" t="n">
        <v>320.78</v>
      </c>
      <c r="L615" s="1" t="str">
        <f aca="false">IF(ISNUMBER(SEARCH("Bundle",C615)),"Bundles",IF(ISNUMBER(SEARCH("Airtime",C615)),"Bundles",IF(ISNUMBER(SEARCH("Merchant",C615)),"Merchant Payment",IF(ISNUMBER(SEARCH("Offnet C2B",C615)),"Merchant Payment",IF(ISNUMBER(SEARCH("Offnet B2C",C615)),"Merchant Payment",IF(ISNUMBER(SEARCH("Customer Payment to Small",C615)),"Merchant Payment",IF(ISNUMBER(SEARCH("Payment to Small Business",C615)),"Merchant Payment",IF(ISNUMBER(SEARCH("Sent to",C615)),"Sent to Person",IF(ISNUMBER(SEARCH("Customer Transfer to",C615)),"Sent to Person",IF(ISNUMBER(SEARCH("Business Payment",C615)),"Money In",IF(ISNUMBER(SEARCH("Funds Received",C615)),"Money In",IF(ISNUMBER(SEARCH("Receive International",C615)),"Money In",IF(ISNUMBER(SEARCH("Send Money Reversal",C615)),"Money In",IF(ISNUMBER(SEARCH("Pay Utility Reversal",C615)),"Money In",IF(ISNUMBER(SEARCH("Customer Transfer",C615)),"Money In",IF(ISNUMBER(SEARCH("Ziidi",C615)),"Investment",IF(ISNUMBER(SEARCH("Nabo",C615)),"Investment",IF(ISNUMBER(SEARCH("Paybill Online",C615)),"Pay Bill",IF(ISNUMBER(SEARCH("Pay Bill",C615)),"Pay Bill",IF(ISNUMBER(SEARCH("Spotify",C615)),"Pay Bill",IF(ISNUMBER(SEARCH("M-Shwari",C615)),"Mshwari",IF(ISNUMBER(SEARCH("Mshwari",C615)),"Mshwari",IF(ISNUMBER(SEARCH("Withdrawal charge",C615)),"Fees",IF(ISNUMBER(SEARCH("Customer Withdrawal",C615)),"Fees",IF(ISNUMBER(SEARCH("charge",C615)),"Fees","Other")))))))))))))))))))))))))</f>
        <v>Bundles</v>
      </c>
      <c r="R615" s="1" t="str">
        <f aca="false">TEXT(B615,"MMM YYYY")</f>
        <v>Mar 2026</v>
      </c>
    </row>
    <row r="616" customFormat="false" ht="13.8" hidden="false" customHeight="false" outlineLevel="0" collapsed="false">
      <c r="A616" s="4" t="s">
        <v>1304</v>
      </c>
      <c r="B616" s="4" t="s">
        <v>1305</v>
      </c>
      <c r="C616" s="4" t="s">
        <v>239</v>
      </c>
      <c r="D616" s="4" t="s">
        <v>18</v>
      </c>
      <c r="E616" s="4"/>
      <c r="F616" s="4" t="n">
        <v>7</v>
      </c>
      <c r="G616" s="4" t="n">
        <v>13.78</v>
      </c>
      <c r="L616" s="1" t="str">
        <f aca="false">IF(ISNUMBER(SEARCH("Bundle",C616)),"Bundles",IF(ISNUMBER(SEARCH("Airtime",C616)),"Bundles",IF(ISNUMBER(SEARCH("Merchant",C616)),"Merchant Payment",IF(ISNUMBER(SEARCH("Offnet C2B",C616)),"Merchant Payment",IF(ISNUMBER(SEARCH("Offnet B2C",C616)),"Merchant Payment",IF(ISNUMBER(SEARCH("Customer Payment to Small",C616)),"Merchant Payment",IF(ISNUMBER(SEARCH("Payment to Small Business",C616)),"Merchant Payment",IF(ISNUMBER(SEARCH("Sent to",C616)),"Sent to Person",IF(ISNUMBER(SEARCH("Customer Transfer to",C616)),"Sent to Person",IF(ISNUMBER(SEARCH("Business Payment",C616)),"Money In",IF(ISNUMBER(SEARCH("Funds Received",C616)),"Money In",IF(ISNUMBER(SEARCH("Receive International",C616)),"Money In",IF(ISNUMBER(SEARCH("Send Money Reversal",C616)),"Money In",IF(ISNUMBER(SEARCH("Pay Utility Reversal",C616)),"Money In",IF(ISNUMBER(SEARCH("Customer Transfer",C616)),"Money In",IF(ISNUMBER(SEARCH("Ziidi",C616)),"Investment",IF(ISNUMBER(SEARCH("Nabo",C616)),"Investment",IF(ISNUMBER(SEARCH("Paybill Online",C616)),"Pay Bill",IF(ISNUMBER(SEARCH("Pay Bill",C616)),"Pay Bill",IF(ISNUMBER(SEARCH("Spotify",C616)),"Pay Bill",IF(ISNUMBER(SEARCH("M-Shwari",C616)),"Mshwari",IF(ISNUMBER(SEARCH("Mshwari",C616)),"Mshwari",IF(ISNUMBER(SEARCH("Withdrawal charge",C616)),"Fees",IF(ISNUMBER(SEARCH("Customer Withdrawal",C616)),"Fees",IF(ISNUMBER(SEARCH("charge",C616)),"Fees","Other")))))))))))))))))))))))))</f>
        <v>Money In</v>
      </c>
      <c r="R616" s="1" t="str">
        <f aca="false">TEXT(B616,"MMM YYYY")</f>
        <v>Mar 2026</v>
      </c>
    </row>
    <row r="617" customFormat="false" ht="13.8" hidden="false" customHeight="false" outlineLevel="0" collapsed="false">
      <c r="A617" s="4" t="s">
        <v>1304</v>
      </c>
      <c r="B617" s="4" t="s">
        <v>1305</v>
      </c>
      <c r="C617" s="4" t="s">
        <v>541</v>
      </c>
      <c r="D617" s="4" t="s">
        <v>18</v>
      </c>
      <c r="E617" s="4"/>
      <c r="F617" s="4" t="n">
        <v>300</v>
      </c>
      <c r="G617" s="4" t="n">
        <v>20.78</v>
      </c>
      <c r="L617" s="1" t="str">
        <f aca="false">IF(ISNUMBER(SEARCH("Bundle",C617)),"Bundles",IF(ISNUMBER(SEARCH("Airtime",C617)),"Bundles",IF(ISNUMBER(SEARCH("Merchant",C617)),"Merchant Payment",IF(ISNUMBER(SEARCH("Offnet C2B",C617)),"Merchant Payment",IF(ISNUMBER(SEARCH("Offnet B2C",C617)),"Merchant Payment",IF(ISNUMBER(SEARCH("Customer Payment to Small",C617)),"Merchant Payment",IF(ISNUMBER(SEARCH("Payment to Small Business",C617)),"Merchant Payment",IF(ISNUMBER(SEARCH("Sent to",C617)),"Sent to Person",IF(ISNUMBER(SEARCH("Customer Transfer to",C617)),"Sent to Person",IF(ISNUMBER(SEARCH("Business Payment",C617)),"Money In",IF(ISNUMBER(SEARCH("Funds Received",C617)),"Money In",IF(ISNUMBER(SEARCH("Receive International",C617)),"Money In",IF(ISNUMBER(SEARCH("Send Money Reversal",C617)),"Money In",IF(ISNUMBER(SEARCH("Pay Utility Reversal",C617)),"Money In",IF(ISNUMBER(SEARCH("Customer Transfer",C617)),"Money In",IF(ISNUMBER(SEARCH("Ziidi",C617)),"Investment",IF(ISNUMBER(SEARCH("Nabo",C617)),"Investment",IF(ISNUMBER(SEARCH("Paybill Online",C617)),"Pay Bill",IF(ISNUMBER(SEARCH("Pay Bill",C617)),"Pay Bill",IF(ISNUMBER(SEARCH("Spotify",C617)),"Pay Bill",IF(ISNUMBER(SEARCH("M-Shwari",C617)),"Mshwari",IF(ISNUMBER(SEARCH("Mshwari",C617)),"Mshwari",IF(ISNUMBER(SEARCH("Withdrawal charge",C617)),"Fees",IF(ISNUMBER(SEARCH("Customer Withdrawal",C617)),"Fees",IF(ISNUMBER(SEARCH("charge",C617)),"Fees","Other")))))))))))))))))))))))))</f>
        <v>Sent to Person</v>
      </c>
      <c r="R617" s="1" t="str">
        <f aca="false">TEXT(B617,"MMM YYYY")</f>
        <v>Mar 2026</v>
      </c>
    </row>
    <row r="618" customFormat="false" ht="13.8" hidden="false" customHeight="false" outlineLevel="0" collapsed="false">
      <c r="A618" s="4" t="s">
        <v>1306</v>
      </c>
      <c r="B618" s="4" t="s">
        <v>1307</v>
      </c>
      <c r="C618" s="4" t="s">
        <v>192</v>
      </c>
      <c r="D618" s="4" t="s">
        <v>18</v>
      </c>
      <c r="E618" s="4" t="n">
        <v>40</v>
      </c>
      <c r="F618" s="4"/>
      <c r="G618" s="4" t="n">
        <v>53.78</v>
      </c>
      <c r="L618" s="1" t="str">
        <f aca="false">IF(ISNUMBER(SEARCH("Bundle",C618)),"Bundles",IF(ISNUMBER(SEARCH("Airtime",C618)),"Bundles",IF(ISNUMBER(SEARCH("Merchant",C618)),"Merchant Payment",IF(ISNUMBER(SEARCH("Offnet C2B",C618)),"Merchant Payment",IF(ISNUMBER(SEARCH("Offnet B2C",C618)),"Merchant Payment",IF(ISNUMBER(SEARCH("Customer Payment to Small",C618)),"Merchant Payment",IF(ISNUMBER(SEARCH("Payment to Small Business",C618)),"Merchant Payment",IF(ISNUMBER(SEARCH("Sent to",C618)),"Sent to Person",IF(ISNUMBER(SEARCH("Customer Transfer to",C618)),"Sent to Person",IF(ISNUMBER(SEARCH("Business Payment",C618)),"Money In",IF(ISNUMBER(SEARCH("Funds Received",C618)),"Money In",IF(ISNUMBER(SEARCH("Receive International",C618)),"Money In",IF(ISNUMBER(SEARCH("Send Money Reversal",C618)),"Money In",IF(ISNUMBER(SEARCH("Pay Utility Reversal",C618)),"Money In",IF(ISNUMBER(SEARCH("Customer Transfer",C618)),"Money In",IF(ISNUMBER(SEARCH("Ziidi",C618)),"Investment",IF(ISNUMBER(SEARCH("Nabo",C618)),"Investment",IF(ISNUMBER(SEARCH("Paybill Online",C618)),"Pay Bill",IF(ISNUMBER(SEARCH("Pay Bill",C618)),"Pay Bill",IF(ISNUMBER(SEARCH("Spotify",C618)),"Pay Bill",IF(ISNUMBER(SEARCH("M-Shwari",C618)),"Mshwari",IF(ISNUMBER(SEARCH("Mshwari",C618)),"Mshwari",IF(ISNUMBER(SEARCH("Withdrawal charge",C618)),"Fees",IF(ISNUMBER(SEARCH("Customer Withdrawal",C618)),"Fees",IF(ISNUMBER(SEARCH("charge",C618)),"Fees","Other")))))))))))))))))))))))))</f>
        <v>Mshwari</v>
      </c>
      <c r="R618" s="1" t="str">
        <f aca="false">TEXT(B618,"MMM YYYY")</f>
        <v>Mar 2026</v>
      </c>
    </row>
    <row r="619" customFormat="false" ht="13.8" hidden="false" customHeight="false" outlineLevel="0" collapsed="false">
      <c r="A619" s="4" t="s">
        <v>1308</v>
      </c>
      <c r="B619" s="4" t="s">
        <v>1309</v>
      </c>
      <c r="C619" s="4" t="s">
        <v>29</v>
      </c>
      <c r="D619" s="4" t="s">
        <v>18</v>
      </c>
      <c r="E619" s="4"/>
      <c r="F619" s="4" t="n">
        <v>20</v>
      </c>
      <c r="G619" s="4" t="n">
        <v>33.78</v>
      </c>
      <c r="L619" s="1" t="str">
        <f aca="false">IF(ISNUMBER(SEARCH("Bundle",C619)),"Bundles",IF(ISNUMBER(SEARCH("Airtime",C619)),"Bundles",IF(ISNUMBER(SEARCH("Merchant",C619)),"Merchant Payment",IF(ISNUMBER(SEARCH("Offnet C2B",C619)),"Merchant Payment",IF(ISNUMBER(SEARCH("Offnet B2C",C619)),"Merchant Payment",IF(ISNUMBER(SEARCH("Customer Payment to Small",C619)),"Merchant Payment",IF(ISNUMBER(SEARCH("Payment to Small Business",C619)),"Merchant Payment",IF(ISNUMBER(SEARCH("Sent to",C619)),"Sent to Person",IF(ISNUMBER(SEARCH("Customer Transfer to",C619)),"Sent to Person",IF(ISNUMBER(SEARCH("Business Payment",C619)),"Money In",IF(ISNUMBER(SEARCH("Funds Received",C619)),"Money In",IF(ISNUMBER(SEARCH("Receive International",C619)),"Money In",IF(ISNUMBER(SEARCH("Send Money Reversal",C619)),"Money In",IF(ISNUMBER(SEARCH("Pay Utility Reversal",C619)),"Money In",IF(ISNUMBER(SEARCH("Customer Transfer",C619)),"Money In",IF(ISNUMBER(SEARCH("Ziidi",C619)),"Investment",IF(ISNUMBER(SEARCH("Nabo",C619)),"Investment",IF(ISNUMBER(SEARCH("Paybill Online",C619)),"Pay Bill",IF(ISNUMBER(SEARCH("Pay Bill",C619)),"Pay Bill",IF(ISNUMBER(SEARCH("Spotify",C619)),"Pay Bill",IF(ISNUMBER(SEARCH("M-Shwari",C619)),"Mshwari",IF(ISNUMBER(SEARCH("Mshwari",C619)),"Mshwari",IF(ISNUMBER(SEARCH("Withdrawal charge",C619)),"Fees",IF(ISNUMBER(SEARCH("Customer Withdrawal",C619)),"Fees",IF(ISNUMBER(SEARCH("charge",C619)),"Fees","Other")))))))))))))))))))))))))</f>
        <v>Bundles</v>
      </c>
      <c r="R619" s="1" t="str">
        <f aca="false">TEXT(B619,"MMM YYYY")</f>
        <v>Mar 2026</v>
      </c>
    </row>
    <row r="620" customFormat="false" ht="13.8" hidden="false" customHeight="false" outlineLevel="0" collapsed="false">
      <c r="A620" s="4" t="s">
        <v>1310</v>
      </c>
      <c r="B620" s="4" t="s">
        <v>1311</v>
      </c>
      <c r="C620" s="4" t="s">
        <v>192</v>
      </c>
      <c r="D620" s="4" t="s">
        <v>18</v>
      </c>
      <c r="E620" s="4" t="n">
        <v>5</v>
      </c>
      <c r="F620" s="4"/>
      <c r="G620" s="4" t="n">
        <v>38.78</v>
      </c>
      <c r="L620" s="1" t="str">
        <f aca="false">IF(ISNUMBER(SEARCH("Bundle",C620)),"Bundles",IF(ISNUMBER(SEARCH("Airtime",C620)),"Bundles",IF(ISNUMBER(SEARCH("Merchant",C620)),"Merchant Payment",IF(ISNUMBER(SEARCH("Offnet C2B",C620)),"Merchant Payment",IF(ISNUMBER(SEARCH("Offnet B2C",C620)),"Merchant Payment",IF(ISNUMBER(SEARCH("Customer Payment to Small",C620)),"Merchant Payment",IF(ISNUMBER(SEARCH("Payment to Small Business",C620)),"Merchant Payment",IF(ISNUMBER(SEARCH("Sent to",C620)),"Sent to Person",IF(ISNUMBER(SEARCH("Customer Transfer to",C620)),"Sent to Person",IF(ISNUMBER(SEARCH("Business Payment",C620)),"Money In",IF(ISNUMBER(SEARCH("Funds Received",C620)),"Money In",IF(ISNUMBER(SEARCH("Receive International",C620)),"Money In",IF(ISNUMBER(SEARCH("Send Money Reversal",C620)),"Money In",IF(ISNUMBER(SEARCH("Pay Utility Reversal",C620)),"Money In",IF(ISNUMBER(SEARCH("Customer Transfer",C620)),"Money In",IF(ISNUMBER(SEARCH("Ziidi",C620)),"Investment",IF(ISNUMBER(SEARCH("Nabo",C620)),"Investment",IF(ISNUMBER(SEARCH("Paybill Online",C620)),"Pay Bill",IF(ISNUMBER(SEARCH("Pay Bill",C620)),"Pay Bill",IF(ISNUMBER(SEARCH("Spotify",C620)),"Pay Bill",IF(ISNUMBER(SEARCH("M-Shwari",C620)),"Mshwari",IF(ISNUMBER(SEARCH("Mshwari",C620)),"Mshwari",IF(ISNUMBER(SEARCH("Withdrawal charge",C620)),"Fees",IF(ISNUMBER(SEARCH("Customer Withdrawal",C620)),"Fees",IF(ISNUMBER(SEARCH("charge",C620)),"Fees","Other")))))))))))))))))))))))))</f>
        <v>Mshwari</v>
      </c>
      <c r="R620" s="1" t="str">
        <f aca="false">TEXT(B620,"MMM YYYY")</f>
        <v>Mar 2026</v>
      </c>
    </row>
    <row r="621" customFormat="false" ht="13.8" hidden="false" customHeight="false" outlineLevel="0" collapsed="false">
      <c r="A621" s="4" t="s">
        <v>1312</v>
      </c>
      <c r="B621" s="4" t="s">
        <v>1313</v>
      </c>
      <c r="C621" s="4" t="s">
        <v>29</v>
      </c>
      <c r="D621" s="4" t="s">
        <v>18</v>
      </c>
      <c r="E621" s="4"/>
      <c r="F621" s="4" t="n">
        <v>10</v>
      </c>
      <c r="G621" s="4" t="n">
        <v>28.78</v>
      </c>
      <c r="L621" s="1" t="str">
        <f aca="false">IF(ISNUMBER(SEARCH("Bundle",C621)),"Bundles",IF(ISNUMBER(SEARCH("Airtime",C621)),"Bundles",IF(ISNUMBER(SEARCH("Merchant",C621)),"Merchant Payment",IF(ISNUMBER(SEARCH("Offnet C2B",C621)),"Merchant Payment",IF(ISNUMBER(SEARCH("Offnet B2C",C621)),"Merchant Payment",IF(ISNUMBER(SEARCH("Customer Payment to Small",C621)),"Merchant Payment",IF(ISNUMBER(SEARCH("Payment to Small Business",C621)),"Merchant Payment",IF(ISNUMBER(SEARCH("Sent to",C621)),"Sent to Person",IF(ISNUMBER(SEARCH("Customer Transfer to",C621)),"Sent to Person",IF(ISNUMBER(SEARCH("Business Payment",C621)),"Money In",IF(ISNUMBER(SEARCH("Funds Received",C621)),"Money In",IF(ISNUMBER(SEARCH("Receive International",C621)),"Money In",IF(ISNUMBER(SEARCH("Send Money Reversal",C621)),"Money In",IF(ISNUMBER(SEARCH("Pay Utility Reversal",C621)),"Money In",IF(ISNUMBER(SEARCH("Customer Transfer",C621)),"Money In",IF(ISNUMBER(SEARCH("Ziidi",C621)),"Investment",IF(ISNUMBER(SEARCH("Nabo",C621)),"Investment",IF(ISNUMBER(SEARCH("Paybill Online",C621)),"Pay Bill",IF(ISNUMBER(SEARCH("Pay Bill",C621)),"Pay Bill",IF(ISNUMBER(SEARCH("Spotify",C621)),"Pay Bill",IF(ISNUMBER(SEARCH("M-Shwari",C621)),"Mshwari",IF(ISNUMBER(SEARCH("Mshwari",C621)),"Mshwari",IF(ISNUMBER(SEARCH("Withdrawal charge",C621)),"Fees",IF(ISNUMBER(SEARCH("Customer Withdrawal",C621)),"Fees",IF(ISNUMBER(SEARCH("charge",C621)),"Fees","Other")))))))))))))))))))))))))</f>
        <v>Bundles</v>
      </c>
      <c r="R621" s="1" t="str">
        <f aca="false">TEXT(B621,"MMM YYYY")</f>
        <v>Mar 2026</v>
      </c>
    </row>
    <row r="622" customFormat="false" ht="13.8" hidden="false" customHeight="false" outlineLevel="0" collapsed="false">
      <c r="A622" s="4" t="s">
        <v>1314</v>
      </c>
      <c r="B622" s="4" t="s">
        <v>1315</v>
      </c>
      <c r="C622" s="4" t="s">
        <v>430</v>
      </c>
      <c r="D622" s="4" t="s">
        <v>18</v>
      </c>
      <c r="E622" s="4" t="n">
        <v>2000</v>
      </c>
      <c r="F622" s="4"/>
      <c r="G622" s="4" t="n">
        <v>2028.78</v>
      </c>
      <c r="L622" s="1" t="str">
        <f aca="false">IF(ISNUMBER(SEARCH("Bundle",C622)),"Bundles",IF(ISNUMBER(SEARCH("Airtime",C622)),"Bundles",IF(ISNUMBER(SEARCH("Merchant",C622)),"Merchant Payment",IF(ISNUMBER(SEARCH("Offnet C2B",C622)),"Merchant Payment",IF(ISNUMBER(SEARCH("Offnet B2C",C622)),"Merchant Payment",IF(ISNUMBER(SEARCH("Customer Payment to Small",C622)),"Merchant Payment",IF(ISNUMBER(SEARCH("Payment to Small Business",C622)),"Merchant Payment",IF(ISNUMBER(SEARCH("Sent to",C622)),"Sent to Person",IF(ISNUMBER(SEARCH("Customer Transfer to",C622)),"Sent to Person",IF(ISNUMBER(SEARCH("Business Payment",C622)),"Money In",IF(ISNUMBER(SEARCH("Funds Received",C622)),"Money In",IF(ISNUMBER(SEARCH("Receive International",C622)),"Money In",IF(ISNUMBER(SEARCH("Send Money Reversal",C622)),"Money In",IF(ISNUMBER(SEARCH("Pay Utility Reversal",C622)),"Money In",IF(ISNUMBER(SEARCH("Customer Transfer",C622)),"Money In",IF(ISNUMBER(SEARCH("Ziidi",C622)),"Investment",IF(ISNUMBER(SEARCH("Nabo",C622)),"Investment",IF(ISNUMBER(SEARCH("Paybill Online",C622)),"Pay Bill",IF(ISNUMBER(SEARCH("Pay Bill",C622)),"Pay Bill",IF(ISNUMBER(SEARCH("Spotify",C622)),"Pay Bill",IF(ISNUMBER(SEARCH("M-Shwari",C622)),"Mshwari",IF(ISNUMBER(SEARCH("Mshwari",C622)),"Mshwari",IF(ISNUMBER(SEARCH("Withdrawal charge",C622)),"Fees",IF(ISNUMBER(SEARCH("Customer Withdrawal",C622)),"Fees",IF(ISNUMBER(SEARCH("charge",C622)),"Fees","Other")))))))))))))))))))))))))</f>
        <v>Money In</v>
      </c>
      <c r="R622" s="1" t="str">
        <f aca="false">TEXT(B622,"MMM YYYY")</f>
        <v>Mar 2026</v>
      </c>
    </row>
    <row r="623" customFormat="false" ht="13.8" hidden="false" customHeight="false" outlineLevel="0" collapsed="false">
      <c r="A623" s="4" t="s">
        <v>1316</v>
      </c>
      <c r="B623" s="4" t="s">
        <v>1317</v>
      </c>
      <c r="C623" s="4" t="s">
        <v>29</v>
      </c>
      <c r="D623" s="4" t="s">
        <v>18</v>
      </c>
      <c r="E623" s="4"/>
      <c r="F623" s="4" t="n">
        <v>20</v>
      </c>
      <c r="G623" s="4" t="n">
        <v>2008.78</v>
      </c>
      <c r="L623" s="1" t="str">
        <f aca="false">IF(ISNUMBER(SEARCH("Bundle",C623)),"Bundles",IF(ISNUMBER(SEARCH("Airtime",C623)),"Bundles",IF(ISNUMBER(SEARCH("Merchant",C623)),"Merchant Payment",IF(ISNUMBER(SEARCH("Offnet C2B",C623)),"Merchant Payment",IF(ISNUMBER(SEARCH("Offnet B2C",C623)),"Merchant Payment",IF(ISNUMBER(SEARCH("Customer Payment to Small",C623)),"Merchant Payment",IF(ISNUMBER(SEARCH("Payment to Small Business",C623)),"Merchant Payment",IF(ISNUMBER(SEARCH("Sent to",C623)),"Sent to Person",IF(ISNUMBER(SEARCH("Customer Transfer to",C623)),"Sent to Person",IF(ISNUMBER(SEARCH("Business Payment",C623)),"Money In",IF(ISNUMBER(SEARCH("Funds Received",C623)),"Money In",IF(ISNUMBER(SEARCH("Receive International",C623)),"Money In",IF(ISNUMBER(SEARCH("Send Money Reversal",C623)),"Money In",IF(ISNUMBER(SEARCH("Pay Utility Reversal",C623)),"Money In",IF(ISNUMBER(SEARCH("Customer Transfer",C623)),"Money In",IF(ISNUMBER(SEARCH("Ziidi",C623)),"Investment",IF(ISNUMBER(SEARCH("Nabo",C623)),"Investment",IF(ISNUMBER(SEARCH("Paybill Online",C623)),"Pay Bill",IF(ISNUMBER(SEARCH("Pay Bill",C623)),"Pay Bill",IF(ISNUMBER(SEARCH("Spotify",C623)),"Pay Bill",IF(ISNUMBER(SEARCH("M-Shwari",C623)),"Mshwari",IF(ISNUMBER(SEARCH("Mshwari",C623)),"Mshwari",IF(ISNUMBER(SEARCH("Withdrawal charge",C623)),"Fees",IF(ISNUMBER(SEARCH("Customer Withdrawal",C623)),"Fees",IF(ISNUMBER(SEARCH("charge",C623)),"Fees","Other")))))))))))))))))))))))))</f>
        <v>Bundles</v>
      </c>
      <c r="R623" s="1" t="str">
        <f aca="false">TEXT(B623,"MMM YYYY")</f>
        <v>Mar 2026</v>
      </c>
    </row>
    <row r="624" customFormat="false" ht="13.8" hidden="false" customHeight="false" outlineLevel="0" collapsed="false">
      <c r="A624" s="4" t="s">
        <v>1318</v>
      </c>
      <c r="B624" s="4" t="s">
        <v>1319</v>
      </c>
      <c r="C624" s="4" t="s">
        <v>29</v>
      </c>
      <c r="D624" s="4" t="s">
        <v>18</v>
      </c>
      <c r="E624" s="4"/>
      <c r="F624" s="4" t="n">
        <v>20</v>
      </c>
      <c r="G624" s="4" t="n">
        <v>1988.78</v>
      </c>
      <c r="L624" s="1" t="str">
        <f aca="false">IF(ISNUMBER(SEARCH("Bundle",C624)),"Bundles",IF(ISNUMBER(SEARCH("Airtime",C624)),"Bundles",IF(ISNUMBER(SEARCH("Merchant",C624)),"Merchant Payment",IF(ISNUMBER(SEARCH("Offnet C2B",C624)),"Merchant Payment",IF(ISNUMBER(SEARCH("Offnet B2C",C624)),"Merchant Payment",IF(ISNUMBER(SEARCH("Customer Payment to Small",C624)),"Merchant Payment",IF(ISNUMBER(SEARCH("Payment to Small Business",C624)),"Merchant Payment",IF(ISNUMBER(SEARCH("Sent to",C624)),"Sent to Person",IF(ISNUMBER(SEARCH("Customer Transfer to",C624)),"Sent to Person",IF(ISNUMBER(SEARCH("Business Payment",C624)),"Money In",IF(ISNUMBER(SEARCH("Funds Received",C624)),"Money In",IF(ISNUMBER(SEARCH("Receive International",C624)),"Money In",IF(ISNUMBER(SEARCH("Send Money Reversal",C624)),"Money In",IF(ISNUMBER(SEARCH("Pay Utility Reversal",C624)),"Money In",IF(ISNUMBER(SEARCH("Customer Transfer",C624)),"Money In",IF(ISNUMBER(SEARCH("Ziidi",C624)),"Investment",IF(ISNUMBER(SEARCH("Nabo",C624)),"Investment",IF(ISNUMBER(SEARCH("Paybill Online",C624)),"Pay Bill",IF(ISNUMBER(SEARCH("Pay Bill",C624)),"Pay Bill",IF(ISNUMBER(SEARCH("Spotify",C624)),"Pay Bill",IF(ISNUMBER(SEARCH("M-Shwari",C624)),"Mshwari",IF(ISNUMBER(SEARCH("Mshwari",C624)),"Mshwari",IF(ISNUMBER(SEARCH("Withdrawal charge",C624)),"Fees",IF(ISNUMBER(SEARCH("Customer Withdrawal",C624)),"Fees",IF(ISNUMBER(SEARCH("charge",C624)),"Fees","Other")))))))))))))))))))))))))</f>
        <v>Bundles</v>
      </c>
      <c r="R624" s="1" t="str">
        <f aca="false">TEXT(B624,"MMM YYYY")</f>
        <v>Mar 2026</v>
      </c>
    </row>
    <row r="625" customFormat="false" ht="13.8" hidden="false" customHeight="false" outlineLevel="0" collapsed="false">
      <c r="A625" s="4" t="s">
        <v>1320</v>
      </c>
      <c r="B625" s="4" t="s">
        <v>1321</v>
      </c>
      <c r="C625" s="4" t="s">
        <v>635</v>
      </c>
      <c r="D625" s="4" t="s">
        <v>18</v>
      </c>
      <c r="E625" s="4"/>
      <c r="F625" s="4" t="n">
        <v>40</v>
      </c>
      <c r="G625" s="4" t="n">
        <v>1948.78</v>
      </c>
      <c r="L625" s="1" t="str">
        <f aca="false">IF(ISNUMBER(SEARCH("Bundle",C625)),"Bundles",IF(ISNUMBER(SEARCH("Airtime",C625)),"Bundles",IF(ISNUMBER(SEARCH("Merchant",C625)),"Merchant Payment",IF(ISNUMBER(SEARCH("Offnet C2B",C625)),"Merchant Payment",IF(ISNUMBER(SEARCH("Offnet B2C",C625)),"Merchant Payment",IF(ISNUMBER(SEARCH("Customer Payment to Small",C625)),"Merchant Payment",IF(ISNUMBER(SEARCH("Payment to Small Business",C625)),"Merchant Payment",IF(ISNUMBER(SEARCH("Sent to",C625)),"Sent to Person",IF(ISNUMBER(SEARCH("Customer Transfer to",C625)),"Sent to Person",IF(ISNUMBER(SEARCH("Business Payment",C625)),"Money In",IF(ISNUMBER(SEARCH("Funds Received",C625)),"Money In",IF(ISNUMBER(SEARCH("Receive International",C625)),"Money In",IF(ISNUMBER(SEARCH("Send Money Reversal",C625)),"Money In",IF(ISNUMBER(SEARCH("Pay Utility Reversal",C625)),"Money In",IF(ISNUMBER(SEARCH("Customer Transfer",C625)),"Money In",IF(ISNUMBER(SEARCH("Ziidi",C625)),"Investment",IF(ISNUMBER(SEARCH("Nabo",C625)),"Investment",IF(ISNUMBER(SEARCH("Paybill Online",C625)),"Pay Bill",IF(ISNUMBER(SEARCH("Pay Bill",C625)),"Pay Bill",IF(ISNUMBER(SEARCH("Spotify",C625)),"Pay Bill",IF(ISNUMBER(SEARCH("M-Shwari",C625)),"Mshwari",IF(ISNUMBER(SEARCH("Mshwari",C625)),"Mshwari",IF(ISNUMBER(SEARCH("Withdrawal charge",C625)),"Fees",IF(ISNUMBER(SEARCH("Customer Withdrawal",C625)),"Fees",IF(ISNUMBER(SEARCH("charge",C625)),"Fees","Other")))))))))))))))))))))))))</f>
        <v>Merchant Payment</v>
      </c>
      <c r="R625" s="1" t="str">
        <f aca="false">TEXT(B625,"MMM YYYY")</f>
        <v>Mar 2026</v>
      </c>
    </row>
    <row r="626" customFormat="false" ht="13.8" hidden="false" customHeight="false" outlineLevel="0" collapsed="false">
      <c r="A626" s="4" t="s">
        <v>1322</v>
      </c>
      <c r="B626" s="4" t="s">
        <v>1323</v>
      </c>
      <c r="C626" s="4" t="s">
        <v>1324</v>
      </c>
      <c r="D626" s="4" t="s">
        <v>18</v>
      </c>
      <c r="E626" s="4" t="n">
        <v>4990</v>
      </c>
      <c r="F626" s="4"/>
      <c r="G626" s="4" t="n">
        <v>6938.78</v>
      </c>
      <c r="L626" s="1" t="str">
        <f aca="false">IF(ISNUMBER(SEARCH("Bundle",C626)),"Bundles",IF(ISNUMBER(SEARCH("Airtime",C626)),"Bundles",IF(ISNUMBER(SEARCH("Merchant",C626)),"Merchant Payment",IF(ISNUMBER(SEARCH("Offnet C2B",C626)),"Merchant Payment",IF(ISNUMBER(SEARCH("Offnet B2C",C626)),"Merchant Payment",IF(ISNUMBER(SEARCH("Customer Payment to Small",C626)),"Merchant Payment",IF(ISNUMBER(SEARCH("Payment to Small Business",C626)),"Merchant Payment",IF(ISNUMBER(SEARCH("Sent to",C626)),"Sent to Person",IF(ISNUMBER(SEARCH("Customer Transfer to",C626)),"Sent to Person",IF(ISNUMBER(SEARCH("Business Payment",C626)),"Money In",IF(ISNUMBER(SEARCH("Funds Received",C626)),"Money In",IF(ISNUMBER(SEARCH("Receive International",C626)),"Money In",IF(ISNUMBER(SEARCH("Send Money Reversal",C626)),"Money In",IF(ISNUMBER(SEARCH("Pay Utility Reversal",C626)),"Money In",IF(ISNUMBER(SEARCH("Customer Transfer",C626)),"Money In",IF(ISNUMBER(SEARCH("Ziidi",C626)),"Investment",IF(ISNUMBER(SEARCH("Nabo",C626)),"Investment",IF(ISNUMBER(SEARCH("Paybill Online",C626)),"Pay Bill",IF(ISNUMBER(SEARCH("Pay Bill",C626)),"Pay Bill",IF(ISNUMBER(SEARCH("Spotify",C626)),"Pay Bill",IF(ISNUMBER(SEARCH("M-Shwari",C626)),"Mshwari",IF(ISNUMBER(SEARCH("Mshwari",C626)),"Mshwari",IF(ISNUMBER(SEARCH("Withdrawal charge",C626)),"Fees",IF(ISNUMBER(SEARCH("Customer Withdrawal",C626)),"Fees",IF(ISNUMBER(SEARCH("charge",C626)),"Fees","Other")))))))))))))))))))))))))</f>
        <v>Money In</v>
      </c>
      <c r="R626" s="1" t="str">
        <f aca="false">TEXT(B626,"MMM YYYY")</f>
        <v>Mar 2026</v>
      </c>
    </row>
    <row r="627" customFormat="false" ht="13.8" hidden="false" customHeight="false" outlineLevel="0" collapsed="false">
      <c r="A627" s="4" t="s">
        <v>1325</v>
      </c>
      <c r="B627" s="4" t="s">
        <v>1326</v>
      </c>
      <c r="C627" s="4" t="s">
        <v>29</v>
      </c>
      <c r="D627" s="4" t="s">
        <v>18</v>
      </c>
      <c r="E627" s="4"/>
      <c r="F627" s="4" t="n">
        <v>20</v>
      </c>
      <c r="G627" s="4" t="n">
        <v>6918.78</v>
      </c>
      <c r="L627" s="1" t="str">
        <f aca="false">IF(ISNUMBER(SEARCH("Bundle",C627)),"Bundles",IF(ISNUMBER(SEARCH("Airtime",C627)),"Bundles",IF(ISNUMBER(SEARCH("Merchant",C627)),"Merchant Payment",IF(ISNUMBER(SEARCH("Offnet C2B",C627)),"Merchant Payment",IF(ISNUMBER(SEARCH("Offnet B2C",C627)),"Merchant Payment",IF(ISNUMBER(SEARCH("Customer Payment to Small",C627)),"Merchant Payment",IF(ISNUMBER(SEARCH("Payment to Small Business",C627)),"Merchant Payment",IF(ISNUMBER(SEARCH("Sent to",C627)),"Sent to Person",IF(ISNUMBER(SEARCH("Customer Transfer to",C627)),"Sent to Person",IF(ISNUMBER(SEARCH("Business Payment",C627)),"Money In",IF(ISNUMBER(SEARCH("Funds Received",C627)),"Money In",IF(ISNUMBER(SEARCH("Receive International",C627)),"Money In",IF(ISNUMBER(SEARCH("Send Money Reversal",C627)),"Money In",IF(ISNUMBER(SEARCH("Pay Utility Reversal",C627)),"Money In",IF(ISNUMBER(SEARCH("Customer Transfer",C627)),"Money In",IF(ISNUMBER(SEARCH("Ziidi",C627)),"Investment",IF(ISNUMBER(SEARCH("Nabo",C627)),"Investment",IF(ISNUMBER(SEARCH("Paybill Online",C627)),"Pay Bill",IF(ISNUMBER(SEARCH("Pay Bill",C627)),"Pay Bill",IF(ISNUMBER(SEARCH("Spotify",C627)),"Pay Bill",IF(ISNUMBER(SEARCH("M-Shwari",C627)),"Mshwari",IF(ISNUMBER(SEARCH("Mshwari",C627)),"Mshwari",IF(ISNUMBER(SEARCH("Withdrawal charge",C627)),"Fees",IF(ISNUMBER(SEARCH("Customer Withdrawal",C627)),"Fees",IF(ISNUMBER(SEARCH("charge",C627)),"Fees","Other")))))))))))))))))))))))))</f>
        <v>Bundles</v>
      </c>
      <c r="R627" s="1" t="str">
        <f aca="false">TEXT(B627,"MMM YYYY")</f>
        <v>Mar 2026</v>
      </c>
    </row>
    <row r="628" customFormat="false" ht="13.8" hidden="false" customHeight="false" outlineLevel="0" collapsed="false">
      <c r="A628" s="4" t="s">
        <v>1327</v>
      </c>
      <c r="B628" s="4" t="s">
        <v>1328</v>
      </c>
      <c r="C628" s="4" t="s">
        <v>621</v>
      </c>
      <c r="D628" s="4" t="s">
        <v>18</v>
      </c>
      <c r="E628" s="4"/>
      <c r="F628" s="4" t="n">
        <v>5000</v>
      </c>
      <c r="G628" s="4" t="n">
        <v>1918.78</v>
      </c>
      <c r="L628" s="1" t="str">
        <f aca="false">IF(ISNUMBER(SEARCH("Bundle",C628)),"Bundles",IF(ISNUMBER(SEARCH("Airtime",C628)),"Bundles",IF(ISNUMBER(SEARCH("Merchant",C628)),"Merchant Payment",IF(ISNUMBER(SEARCH("Offnet C2B",C628)),"Merchant Payment",IF(ISNUMBER(SEARCH("Offnet B2C",C628)),"Merchant Payment",IF(ISNUMBER(SEARCH("Customer Payment to Small",C628)),"Merchant Payment",IF(ISNUMBER(SEARCH("Payment to Small Business",C628)),"Merchant Payment",IF(ISNUMBER(SEARCH("Sent to",C628)),"Sent to Person",IF(ISNUMBER(SEARCH("Customer Transfer to",C628)),"Sent to Person",IF(ISNUMBER(SEARCH("Business Payment",C628)),"Money In",IF(ISNUMBER(SEARCH("Funds Received",C628)),"Money In",IF(ISNUMBER(SEARCH("Receive International",C628)),"Money In",IF(ISNUMBER(SEARCH("Send Money Reversal",C628)),"Money In",IF(ISNUMBER(SEARCH("Pay Utility Reversal",C628)),"Money In",IF(ISNUMBER(SEARCH("Customer Transfer",C628)),"Money In",IF(ISNUMBER(SEARCH("Ziidi",C628)),"Investment",IF(ISNUMBER(SEARCH("Nabo",C628)),"Investment",IF(ISNUMBER(SEARCH("Paybill Online",C628)),"Pay Bill",IF(ISNUMBER(SEARCH("Pay Bill",C628)),"Pay Bill",IF(ISNUMBER(SEARCH("Spotify",C628)),"Pay Bill",IF(ISNUMBER(SEARCH("M-Shwari",C628)),"Mshwari",IF(ISNUMBER(SEARCH("Mshwari",C628)),"Mshwari",IF(ISNUMBER(SEARCH("Withdrawal charge",C628)),"Fees",IF(ISNUMBER(SEARCH("Customer Withdrawal",C628)),"Fees",IF(ISNUMBER(SEARCH("charge",C628)),"Fees","Other")))))))))))))))))))))))))</f>
        <v>Mshwari</v>
      </c>
      <c r="R628" s="1" t="str">
        <f aca="false">TEXT(B628,"MMM YYYY")</f>
        <v>Mar 2026</v>
      </c>
    </row>
    <row r="629" customFormat="false" ht="13.8" hidden="false" customHeight="false" outlineLevel="0" collapsed="false">
      <c r="A629" s="4" t="s">
        <v>1329</v>
      </c>
      <c r="B629" s="4" t="s">
        <v>1330</v>
      </c>
      <c r="C629" s="4" t="s">
        <v>239</v>
      </c>
      <c r="D629" s="4" t="s">
        <v>18</v>
      </c>
      <c r="E629" s="4"/>
      <c r="F629" s="4" t="n">
        <v>7</v>
      </c>
      <c r="G629" s="4" t="n">
        <v>1606.78</v>
      </c>
      <c r="L629" s="1" t="str">
        <f aca="false">IF(ISNUMBER(SEARCH("Bundle",C629)),"Bundles",IF(ISNUMBER(SEARCH("Airtime",C629)),"Bundles",IF(ISNUMBER(SEARCH("Merchant",C629)),"Merchant Payment",IF(ISNUMBER(SEARCH("Offnet C2B",C629)),"Merchant Payment",IF(ISNUMBER(SEARCH("Offnet B2C",C629)),"Merchant Payment",IF(ISNUMBER(SEARCH("Customer Payment to Small",C629)),"Merchant Payment",IF(ISNUMBER(SEARCH("Payment to Small Business",C629)),"Merchant Payment",IF(ISNUMBER(SEARCH("Sent to",C629)),"Sent to Person",IF(ISNUMBER(SEARCH("Customer Transfer to",C629)),"Sent to Person",IF(ISNUMBER(SEARCH("Business Payment",C629)),"Money In",IF(ISNUMBER(SEARCH("Funds Received",C629)),"Money In",IF(ISNUMBER(SEARCH("Receive International",C629)),"Money In",IF(ISNUMBER(SEARCH("Send Money Reversal",C629)),"Money In",IF(ISNUMBER(SEARCH("Pay Utility Reversal",C629)),"Money In",IF(ISNUMBER(SEARCH("Customer Transfer",C629)),"Money In",IF(ISNUMBER(SEARCH("Ziidi",C629)),"Investment",IF(ISNUMBER(SEARCH("Nabo",C629)),"Investment",IF(ISNUMBER(SEARCH("Paybill Online",C629)),"Pay Bill",IF(ISNUMBER(SEARCH("Pay Bill",C629)),"Pay Bill",IF(ISNUMBER(SEARCH("Spotify",C629)),"Pay Bill",IF(ISNUMBER(SEARCH("M-Shwari",C629)),"Mshwari",IF(ISNUMBER(SEARCH("Mshwari",C629)),"Mshwari",IF(ISNUMBER(SEARCH("Withdrawal charge",C629)),"Fees",IF(ISNUMBER(SEARCH("Customer Withdrawal",C629)),"Fees",IF(ISNUMBER(SEARCH("charge",C629)),"Fees","Other")))))))))))))))))))))))))</f>
        <v>Money In</v>
      </c>
      <c r="R629" s="1" t="str">
        <f aca="false">TEXT(B629,"MMM YYYY")</f>
        <v>Mar 2026</v>
      </c>
    </row>
    <row r="630" customFormat="false" ht="13.8" hidden="false" customHeight="false" outlineLevel="0" collapsed="false">
      <c r="A630" s="4" t="s">
        <v>1329</v>
      </c>
      <c r="B630" s="4" t="s">
        <v>1330</v>
      </c>
      <c r="C630" s="4" t="s">
        <v>787</v>
      </c>
      <c r="D630" s="4" t="s">
        <v>18</v>
      </c>
      <c r="E630" s="4"/>
      <c r="F630" s="4" t="n">
        <v>305</v>
      </c>
      <c r="G630" s="4" t="n">
        <v>1613.78</v>
      </c>
      <c r="L630" s="1" t="str">
        <f aca="false">IF(ISNUMBER(SEARCH("Bundle",C630)),"Bundles",IF(ISNUMBER(SEARCH("Airtime",C630)),"Bundles",IF(ISNUMBER(SEARCH("Merchant",C630)),"Merchant Payment",IF(ISNUMBER(SEARCH("Offnet C2B",C630)),"Merchant Payment",IF(ISNUMBER(SEARCH("Offnet B2C",C630)),"Merchant Payment",IF(ISNUMBER(SEARCH("Customer Payment to Small",C630)),"Merchant Payment",IF(ISNUMBER(SEARCH("Payment to Small Business",C630)),"Merchant Payment",IF(ISNUMBER(SEARCH("Sent to",C630)),"Sent to Person",IF(ISNUMBER(SEARCH("Customer Transfer to",C630)),"Sent to Person",IF(ISNUMBER(SEARCH("Business Payment",C630)),"Money In",IF(ISNUMBER(SEARCH("Funds Received",C630)),"Money In",IF(ISNUMBER(SEARCH("Receive International",C630)),"Money In",IF(ISNUMBER(SEARCH("Send Money Reversal",C630)),"Money In",IF(ISNUMBER(SEARCH("Pay Utility Reversal",C630)),"Money In",IF(ISNUMBER(SEARCH("Customer Transfer",C630)),"Money In",IF(ISNUMBER(SEARCH("Ziidi",C630)),"Investment",IF(ISNUMBER(SEARCH("Nabo",C630)),"Investment",IF(ISNUMBER(SEARCH("Paybill Online",C630)),"Pay Bill",IF(ISNUMBER(SEARCH("Pay Bill",C630)),"Pay Bill",IF(ISNUMBER(SEARCH("Spotify",C630)),"Pay Bill",IF(ISNUMBER(SEARCH("M-Shwari",C630)),"Mshwari",IF(ISNUMBER(SEARCH("Mshwari",C630)),"Mshwari",IF(ISNUMBER(SEARCH("Withdrawal charge",C630)),"Fees",IF(ISNUMBER(SEARCH("Customer Withdrawal",C630)),"Fees",IF(ISNUMBER(SEARCH("charge",C630)),"Fees","Other")))))))))))))))))))))))))</f>
        <v>Merchant Payment</v>
      </c>
      <c r="R630" s="1" t="str">
        <f aca="false">TEXT(B630,"MMM YYYY")</f>
        <v>Mar 2026</v>
      </c>
    </row>
    <row r="631" customFormat="false" ht="13.8" hidden="false" customHeight="false" outlineLevel="0" collapsed="false">
      <c r="A631" s="4" t="s">
        <v>1331</v>
      </c>
      <c r="B631" s="4" t="s">
        <v>1332</v>
      </c>
      <c r="C631" s="4" t="s">
        <v>1010</v>
      </c>
      <c r="D631" s="4" t="s">
        <v>18</v>
      </c>
      <c r="E631" s="4"/>
      <c r="F631" s="4" t="n">
        <v>50</v>
      </c>
      <c r="G631" s="4" t="n">
        <v>1556.78</v>
      </c>
      <c r="L631" s="1" t="str">
        <f aca="false">IF(ISNUMBER(SEARCH("Bundle",C631)),"Bundles",IF(ISNUMBER(SEARCH("Airtime",C631)),"Bundles",IF(ISNUMBER(SEARCH("Merchant",C631)),"Merchant Payment",IF(ISNUMBER(SEARCH("Offnet C2B",C631)),"Merchant Payment",IF(ISNUMBER(SEARCH("Offnet B2C",C631)),"Merchant Payment",IF(ISNUMBER(SEARCH("Customer Payment to Small",C631)),"Merchant Payment",IF(ISNUMBER(SEARCH("Payment to Small Business",C631)),"Merchant Payment",IF(ISNUMBER(SEARCH("Sent to",C631)),"Sent to Person",IF(ISNUMBER(SEARCH("Customer Transfer to",C631)),"Sent to Person",IF(ISNUMBER(SEARCH("Business Payment",C631)),"Money In",IF(ISNUMBER(SEARCH("Funds Received",C631)),"Money In",IF(ISNUMBER(SEARCH("Receive International",C631)),"Money In",IF(ISNUMBER(SEARCH("Send Money Reversal",C631)),"Money In",IF(ISNUMBER(SEARCH("Pay Utility Reversal",C631)),"Money In",IF(ISNUMBER(SEARCH("Customer Transfer",C631)),"Money In",IF(ISNUMBER(SEARCH("Ziidi",C631)),"Investment",IF(ISNUMBER(SEARCH("Nabo",C631)),"Investment",IF(ISNUMBER(SEARCH("Paybill Online",C631)),"Pay Bill",IF(ISNUMBER(SEARCH("Pay Bill",C631)),"Pay Bill",IF(ISNUMBER(SEARCH("Spotify",C631)),"Pay Bill",IF(ISNUMBER(SEARCH("M-Shwari",C631)),"Mshwari",IF(ISNUMBER(SEARCH("Mshwari",C631)),"Mshwari",IF(ISNUMBER(SEARCH("Withdrawal charge",C631)),"Fees",IF(ISNUMBER(SEARCH("Customer Withdrawal",C631)),"Fees",IF(ISNUMBER(SEARCH("charge",C631)),"Fees","Other")))))))))))))))))))))))))</f>
        <v>Merchant Payment</v>
      </c>
      <c r="R631" s="1" t="str">
        <f aca="false">TEXT(B631,"MMM YYYY")</f>
        <v>Mar 2026</v>
      </c>
    </row>
    <row r="632" customFormat="false" ht="13.8" hidden="false" customHeight="false" outlineLevel="0" collapsed="false">
      <c r="A632" s="4" t="s">
        <v>1333</v>
      </c>
      <c r="B632" s="4" t="s">
        <v>1334</v>
      </c>
      <c r="C632" s="4" t="s">
        <v>1086</v>
      </c>
      <c r="D632" s="4" t="s">
        <v>18</v>
      </c>
      <c r="E632" s="4"/>
      <c r="F632" s="4" t="n">
        <v>100</v>
      </c>
      <c r="G632" s="4" t="n">
        <v>1456.78</v>
      </c>
      <c r="L632" s="1" t="str">
        <f aca="false">IF(ISNUMBER(SEARCH("Bundle",C632)),"Bundles",IF(ISNUMBER(SEARCH("Airtime",C632)),"Bundles",IF(ISNUMBER(SEARCH("Merchant",C632)),"Merchant Payment",IF(ISNUMBER(SEARCH("Offnet C2B",C632)),"Merchant Payment",IF(ISNUMBER(SEARCH("Offnet B2C",C632)),"Merchant Payment",IF(ISNUMBER(SEARCH("Customer Payment to Small",C632)),"Merchant Payment",IF(ISNUMBER(SEARCH("Payment to Small Business",C632)),"Merchant Payment",IF(ISNUMBER(SEARCH("Sent to",C632)),"Sent to Person",IF(ISNUMBER(SEARCH("Customer Transfer to",C632)),"Sent to Person",IF(ISNUMBER(SEARCH("Business Payment",C632)),"Money In",IF(ISNUMBER(SEARCH("Funds Received",C632)),"Money In",IF(ISNUMBER(SEARCH("Receive International",C632)),"Money In",IF(ISNUMBER(SEARCH("Send Money Reversal",C632)),"Money In",IF(ISNUMBER(SEARCH("Pay Utility Reversal",C632)),"Money In",IF(ISNUMBER(SEARCH("Customer Transfer",C632)),"Money In",IF(ISNUMBER(SEARCH("Ziidi",C632)),"Investment",IF(ISNUMBER(SEARCH("Nabo",C632)),"Investment",IF(ISNUMBER(SEARCH("Paybill Online",C632)),"Pay Bill",IF(ISNUMBER(SEARCH("Pay Bill",C632)),"Pay Bill",IF(ISNUMBER(SEARCH("Spotify",C632)),"Pay Bill",IF(ISNUMBER(SEARCH("M-Shwari",C632)),"Mshwari",IF(ISNUMBER(SEARCH("Mshwari",C632)),"Mshwari",IF(ISNUMBER(SEARCH("Withdrawal charge",C632)),"Fees",IF(ISNUMBER(SEARCH("Customer Withdrawal",C632)),"Fees",IF(ISNUMBER(SEARCH("charge",C632)),"Fees","Other")))))))))))))))))))))))))</f>
        <v>Sent to Person</v>
      </c>
      <c r="R632" s="1" t="str">
        <f aca="false">TEXT(B632,"MMM YYYY")</f>
        <v>Mar 2026</v>
      </c>
    </row>
    <row r="633" customFormat="false" ht="13.8" hidden="false" customHeight="false" outlineLevel="0" collapsed="false">
      <c r="A633" s="4" t="s">
        <v>1335</v>
      </c>
      <c r="B633" s="4" t="s">
        <v>1336</v>
      </c>
      <c r="C633" s="4" t="s">
        <v>435</v>
      </c>
      <c r="D633" s="4" t="s">
        <v>18</v>
      </c>
      <c r="E633" s="4"/>
      <c r="F633" s="4" t="n">
        <v>80</v>
      </c>
      <c r="G633" s="4" t="n">
        <v>1376.78</v>
      </c>
      <c r="L633" s="1" t="str">
        <f aca="false">IF(ISNUMBER(SEARCH("Bundle",C633)),"Bundles",IF(ISNUMBER(SEARCH("Airtime",C633)),"Bundles",IF(ISNUMBER(SEARCH("Merchant",C633)),"Merchant Payment",IF(ISNUMBER(SEARCH("Offnet C2B",C633)),"Merchant Payment",IF(ISNUMBER(SEARCH("Offnet B2C",C633)),"Merchant Payment",IF(ISNUMBER(SEARCH("Customer Payment to Small",C633)),"Merchant Payment",IF(ISNUMBER(SEARCH("Payment to Small Business",C633)),"Merchant Payment",IF(ISNUMBER(SEARCH("Sent to",C633)),"Sent to Person",IF(ISNUMBER(SEARCH("Customer Transfer to",C633)),"Sent to Person",IF(ISNUMBER(SEARCH("Business Payment",C633)),"Money In",IF(ISNUMBER(SEARCH("Funds Received",C633)),"Money In",IF(ISNUMBER(SEARCH("Receive International",C633)),"Money In",IF(ISNUMBER(SEARCH("Send Money Reversal",C633)),"Money In",IF(ISNUMBER(SEARCH("Pay Utility Reversal",C633)),"Money In",IF(ISNUMBER(SEARCH("Customer Transfer",C633)),"Money In",IF(ISNUMBER(SEARCH("Ziidi",C633)),"Investment",IF(ISNUMBER(SEARCH("Nabo",C633)),"Investment",IF(ISNUMBER(SEARCH("Paybill Online",C633)),"Pay Bill",IF(ISNUMBER(SEARCH("Pay Bill",C633)),"Pay Bill",IF(ISNUMBER(SEARCH("Spotify",C633)),"Pay Bill",IF(ISNUMBER(SEARCH("M-Shwari",C633)),"Mshwari",IF(ISNUMBER(SEARCH("Mshwari",C633)),"Mshwari",IF(ISNUMBER(SEARCH("Withdrawal charge",C633)),"Fees",IF(ISNUMBER(SEARCH("Customer Withdrawal",C633)),"Fees",IF(ISNUMBER(SEARCH("charge",C633)),"Fees","Other")))))))))))))))))))))))))</f>
        <v>Merchant Payment</v>
      </c>
      <c r="R633" s="1" t="str">
        <f aca="false">TEXT(B633,"MMM YYYY")</f>
        <v>Mar 2026</v>
      </c>
    </row>
    <row r="634" customFormat="false" ht="13.8" hidden="false" customHeight="false" outlineLevel="0" collapsed="false">
      <c r="A634" s="4" t="s">
        <v>1337</v>
      </c>
      <c r="B634" s="4" t="s">
        <v>1338</v>
      </c>
      <c r="C634" s="4" t="s">
        <v>1073</v>
      </c>
      <c r="D634" s="4" t="s">
        <v>18</v>
      </c>
      <c r="E634" s="4"/>
      <c r="F634" s="4" t="n">
        <v>30</v>
      </c>
      <c r="G634" s="4" t="n">
        <v>1346.78</v>
      </c>
      <c r="L634" s="1" t="str">
        <f aca="false">IF(ISNUMBER(SEARCH("Bundle",C634)),"Bundles",IF(ISNUMBER(SEARCH("Airtime",C634)),"Bundles",IF(ISNUMBER(SEARCH("Merchant",C634)),"Merchant Payment",IF(ISNUMBER(SEARCH("Offnet C2B",C634)),"Merchant Payment",IF(ISNUMBER(SEARCH("Offnet B2C",C634)),"Merchant Payment",IF(ISNUMBER(SEARCH("Customer Payment to Small",C634)),"Merchant Payment",IF(ISNUMBER(SEARCH("Payment to Small Business",C634)),"Merchant Payment",IF(ISNUMBER(SEARCH("Sent to",C634)),"Sent to Person",IF(ISNUMBER(SEARCH("Customer Transfer to",C634)),"Sent to Person",IF(ISNUMBER(SEARCH("Business Payment",C634)),"Money In",IF(ISNUMBER(SEARCH("Funds Received",C634)),"Money In",IF(ISNUMBER(SEARCH("Receive International",C634)),"Money In",IF(ISNUMBER(SEARCH("Send Money Reversal",C634)),"Money In",IF(ISNUMBER(SEARCH("Pay Utility Reversal",C634)),"Money In",IF(ISNUMBER(SEARCH("Customer Transfer",C634)),"Money In",IF(ISNUMBER(SEARCH("Ziidi",C634)),"Investment",IF(ISNUMBER(SEARCH("Nabo",C634)),"Investment",IF(ISNUMBER(SEARCH("Paybill Online",C634)),"Pay Bill",IF(ISNUMBER(SEARCH("Pay Bill",C634)),"Pay Bill",IF(ISNUMBER(SEARCH("Spotify",C634)),"Pay Bill",IF(ISNUMBER(SEARCH("M-Shwari",C634)),"Mshwari",IF(ISNUMBER(SEARCH("Mshwari",C634)),"Mshwari",IF(ISNUMBER(SEARCH("Withdrawal charge",C634)),"Fees",IF(ISNUMBER(SEARCH("Customer Withdrawal",C634)),"Fees",IF(ISNUMBER(SEARCH("charge",C634)),"Fees","Other")))))))))))))))))))))))))</f>
        <v>Merchant Payment</v>
      </c>
      <c r="R634" s="1" t="str">
        <f aca="false">TEXT(B634,"MMM YYYY")</f>
        <v>Mar 2026</v>
      </c>
    </row>
    <row r="635" customFormat="false" ht="13.8" hidden="false" customHeight="false" outlineLevel="0" collapsed="false">
      <c r="A635" s="4" t="s">
        <v>1339</v>
      </c>
      <c r="B635" s="4" t="s">
        <v>1340</v>
      </c>
      <c r="C635" s="4" t="s">
        <v>1341</v>
      </c>
      <c r="D635" s="4" t="s">
        <v>18</v>
      </c>
      <c r="E635" s="4"/>
      <c r="F635" s="4" t="n">
        <v>50</v>
      </c>
      <c r="G635" s="4" t="n">
        <v>1296.78</v>
      </c>
      <c r="L635" s="1" t="str">
        <f aca="false">IF(ISNUMBER(SEARCH("Bundle",C635)),"Bundles",IF(ISNUMBER(SEARCH("Airtime",C635)),"Bundles",IF(ISNUMBER(SEARCH("Merchant",C635)),"Merchant Payment",IF(ISNUMBER(SEARCH("Offnet C2B",C635)),"Merchant Payment",IF(ISNUMBER(SEARCH("Offnet B2C",C635)),"Merchant Payment",IF(ISNUMBER(SEARCH("Customer Payment to Small",C635)),"Merchant Payment",IF(ISNUMBER(SEARCH("Payment to Small Business",C635)),"Merchant Payment",IF(ISNUMBER(SEARCH("Sent to",C635)),"Sent to Person",IF(ISNUMBER(SEARCH("Customer Transfer to",C635)),"Sent to Person",IF(ISNUMBER(SEARCH("Business Payment",C635)),"Money In",IF(ISNUMBER(SEARCH("Funds Received",C635)),"Money In",IF(ISNUMBER(SEARCH("Receive International",C635)),"Money In",IF(ISNUMBER(SEARCH("Send Money Reversal",C635)),"Money In",IF(ISNUMBER(SEARCH("Pay Utility Reversal",C635)),"Money In",IF(ISNUMBER(SEARCH("Customer Transfer",C635)),"Money In",IF(ISNUMBER(SEARCH("Ziidi",C635)),"Investment",IF(ISNUMBER(SEARCH("Nabo",C635)),"Investment",IF(ISNUMBER(SEARCH("Paybill Online",C635)),"Pay Bill",IF(ISNUMBER(SEARCH("Pay Bill",C635)),"Pay Bill",IF(ISNUMBER(SEARCH("Spotify",C635)),"Pay Bill",IF(ISNUMBER(SEARCH("M-Shwari",C635)),"Mshwari",IF(ISNUMBER(SEARCH("Mshwari",C635)),"Mshwari",IF(ISNUMBER(SEARCH("Withdrawal charge",C635)),"Fees",IF(ISNUMBER(SEARCH("Customer Withdrawal",C635)),"Fees",IF(ISNUMBER(SEARCH("charge",C635)),"Fees","Other")))))))))))))))))))))))))</f>
        <v>Merchant Payment</v>
      </c>
      <c r="R635" s="1" t="str">
        <f aca="false">TEXT(B635,"MMM YYYY")</f>
        <v>Mar 2026</v>
      </c>
    </row>
    <row r="636" customFormat="false" ht="13.8" hidden="false" customHeight="false" outlineLevel="0" collapsed="false">
      <c r="A636" s="4" t="s">
        <v>1342</v>
      </c>
      <c r="B636" s="4" t="s">
        <v>1343</v>
      </c>
      <c r="C636" s="4" t="s">
        <v>29</v>
      </c>
      <c r="D636" s="4" t="s">
        <v>18</v>
      </c>
      <c r="E636" s="4"/>
      <c r="F636" s="4" t="n">
        <v>20</v>
      </c>
      <c r="G636" s="4" t="n">
        <v>1276.78</v>
      </c>
      <c r="L636" s="1" t="str">
        <f aca="false">IF(ISNUMBER(SEARCH("Bundle",C636)),"Bundles",IF(ISNUMBER(SEARCH("Airtime",C636)),"Bundles",IF(ISNUMBER(SEARCH("Merchant",C636)),"Merchant Payment",IF(ISNUMBER(SEARCH("Offnet C2B",C636)),"Merchant Payment",IF(ISNUMBER(SEARCH("Offnet B2C",C636)),"Merchant Payment",IF(ISNUMBER(SEARCH("Customer Payment to Small",C636)),"Merchant Payment",IF(ISNUMBER(SEARCH("Payment to Small Business",C636)),"Merchant Payment",IF(ISNUMBER(SEARCH("Sent to",C636)),"Sent to Person",IF(ISNUMBER(SEARCH("Customer Transfer to",C636)),"Sent to Person",IF(ISNUMBER(SEARCH("Business Payment",C636)),"Money In",IF(ISNUMBER(SEARCH("Funds Received",C636)),"Money In",IF(ISNUMBER(SEARCH("Receive International",C636)),"Money In",IF(ISNUMBER(SEARCH("Send Money Reversal",C636)),"Money In",IF(ISNUMBER(SEARCH("Pay Utility Reversal",C636)),"Money In",IF(ISNUMBER(SEARCH("Customer Transfer",C636)),"Money In",IF(ISNUMBER(SEARCH("Ziidi",C636)),"Investment",IF(ISNUMBER(SEARCH("Nabo",C636)),"Investment",IF(ISNUMBER(SEARCH("Paybill Online",C636)),"Pay Bill",IF(ISNUMBER(SEARCH("Pay Bill",C636)),"Pay Bill",IF(ISNUMBER(SEARCH("Spotify",C636)),"Pay Bill",IF(ISNUMBER(SEARCH("M-Shwari",C636)),"Mshwari",IF(ISNUMBER(SEARCH("Mshwari",C636)),"Mshwari",IF(ISNUMBER(SEARCH("Withdrawal charge",C636)),"Fees",IF(ISNUMBER(SEARCH("Customer Withdrawal",C636)),"Fees",IF(ISNUMBER(SEARCH("charge",C636)),"Fees","Other")))))))))))))))))))))))))</f>
        <v>Bundles</v>
      </c>
      <c r="R636" s="1" t="str">
        <f aca="false">TEXT(B636,"MMM YYYY")</f>
        <v>Mar 2026</v>
      </c>
    </row>
    <row r="637" customFormat="false" ht="13.8" hidden="false" customHeight="false" outlineLevel="0" collapsed="false">
      <c r="A637" s="4" t="s">
        <v>1344</v>
      </c>
      <c r="B637" s="4" t="s">
        <v>1345</v>
      </c>
      <c r="C637" s="4" t="s">
        <v>29</v>
      </c>
      <c r="D637" s="4" t="s">
        <v>18</v>
      </c>
      <c r="E637" s="4"/>
      <c r="F637" s="4" t="n">
        <v>30</v>
      </c>
      <c r="G637" s="4" t="n">
        <v>1246.78</v>
      </c>
      <c r="L637" s="1" t="str">
        <f aca="false">IF(ISNUMBER(SEARCH("Bundle",C637)),"Bundles",IF(ISNUMBER(SEARCH("Airtime",C637)),"Bundles",IF(ISNUMBER(SEARCH("Merchant",C637)),"Merchant Payment",IF(ISNUMBER(SEARCH("Offnet C2B",C637)),"Merchant Payment",IF(ISNUMBER(SEARCH("Offnet B2C",C637)),"Merchant Payment",IF(ISNUMBER(SEARCH("Customer Payment to Small",C637)),"Merchant Payment",IF(ISNUMBER(SEARCH("Payment to Small Business",C637)),"Merchant Payment",IF(ISNUMBER(SEARCH("Sent to",C637)),"Sent to Person",IF(ISNUMBER(SEARCH("Customer Transfer to",C637)),"Sent to Person",IF(ISNUMBER(SEARCH("Business Payment",C637)),"Money In",IF(ISNUMBER(SEARCH("Funds Received",C637)),"Money In",IF(ISNUMBER(SEARCH("Receive International",C637)),"Money In",IF(ISNUMBER(SEARCH("Send Money Reversal",C637)),"Money In",IF(ISNUMBER(SEARCH("Pay Utility Reversal",C637)),"Money In",IF(ISNUMBER(SEARCH("Customer Transfer",C637)),"Money In",IF(ISNUMBER(SEARCH("Ziidi",C637)),"Investment",IF(ISNUMBER(SEARCH("Nabo",C637)),"Investment",IF(ISNUMBER(SEARCH("Paybill Online",C637)),"Pay Bill",IF(ISNUMBER(SEARCH("Pay Bill",C637)),"Pay Bill",IF(ISNUMBER(SEARCH("Spotify",C637)),"Pay Bill",IF(ISNUMBER(SEARCH("M-Shwari",C637)),"Mshwari",IF(ISNUMBER(SEARCH("Mshwari",C637)),"Mshwari",IF(ISNUMBER(SEARCH("Withdrawal charge",C637)),"Fees",IF(ISNUMBER(SEARCH("Customer Withdrawal",C637)),"Fees",IF(ISNUMBER(SEARCH("charge",C637)),"Fees","Other")))))))))))))))))))))))))</f>
        <v>Bundles</v>
      </c>
      <c r="R637" s="1" t="str">
        <f aca="false">TEXT(B637,"MMM YYYY")</f>
        <v>Mar 2026</v>
      </c>
    </row>
    <row r="638" customFormat="false" ht="13.8" hidden="false" customHeight="false" outlineLevel="0" collapsed="false">
      <c r="A638" s="4" t="s">
        <v>1346</v>
      </c>
      <c r="B638" s="4" t="s">
        <v>1347</v>
      </c>
      <c r="C638" s="4" t="s">
        <v>29</v>
      </c>
      <c r="D638" s="4" t="s">
        <v>18</v>
      </c>
      <c r="E638" s="4"/>
      <c r="F638" s="4" t="n">
        <v>10</v>
      </c>
      <c r="G638" s="4" t="n">
        <v>1236.78</v>
      </c>
      <c r="L638" s="1" t="str">
        <f aca="false">IF(ISNUMBER(SEARCH("Bundle",C638)),"Bundles",IF(ISNUMBER(SEARCH("Airtime",C638)),"Bundles",IF(ISNUMBER(SEARCH("Merchant",C638)),"Merchant Payment",IF(ISNUMBER(SEARCH("Offnet C2B",C638)),"Merchant Payment",IF(ISNUMBER(SEARCH("Offnet B2C",C638)),"Merchant Payment",IF(ISNUMBER(SEARCH("Customer Payment to Small",C638)),"Merchant Payment",IF(ISNUMBER(SEARCH("Payment to Small Business",C638)),"Merchant Payment",IF(ISNUMBER(SEARCH("Sent to",C638)),"Sent to Person",IF(ISNUMBER(SEARCH("Customer Transfer to",C638)),"Sent to Person",IF(ISNUMBER(SEARCH("Business Payment",C638)),"Money In",IF(ISNUMBER(SEARCH("Funds Received",C638)),"Money In",IF(ISNUMBER(SEARCH("Receive International",C638)),"Money In",IF(ISNUMBER(SEARCH("Send Money Reversal",C638)),"Money In",IF(ISNUMBER(SEARCH("Pay Utility Reversal",C638)),"Money In",IF(ISNUMBER(SEARCH("Customer Transfer",C638)),"Money In",IF(ISNUMBER(SEARCH("Ziidi",C638)),"Investment",IF(ISNUMBER(SEARCH("Nabo",C638)),"Investment",IF(ISNUMBER(SEARCH("Paybill Online",C638)),"Pay Bill",IF(ISNUMBER(SEARCH("Pay Bill",C638)),"Pay Bill",IF(ISNUMBER(SEARCH("Spotify",C638)),"Pay Bill",IF(ISNUMBER(SEARCH("M-Shwari",C638)),"Mshwari",IF(ISNUMBER(SEARCH("Mshwari",C638)),"Mshwari",IF(ISNUMBER(SEARCH("Withdrawal charge",C638)),"Fees",IF(ISNUMBER(SEARCH("Customer Withdrawal",C638)),"Fees",IF(ISNUMBER(SEARCH("charge",C638)),"Fees","Other")))))))))))))))))))))))))</f>
        <v>Bundles</v>
      </c>
      <c r="R638" s="1" t="str">
        <f aca="false">TEXT(B638,"MMM YYYY")</f>
        <v>Mar 2026</v>
      </c>
    </row>
    <row r="639" customFormat="false" ht="13.8" hidden="false" customHeight="false" outlineLevel="0" collapsed="false">
      <c r="A639" s="4" t="s">
        <v>1348</v>
      </c>
      <c r="B639" s="4" t="s">
        <v>1349</v>
      </c>
      <c r="C639" s="4" t="s">
        <v>467</v>
      </c>
      <c r="D639" s="4" t="s">
        <v>18</v>
      </c>
      <c r="E639" s="4"/>
      <c r="F639" s="4" t="n">
        <v>60</v>
      </c>
      <c r="G639" s="4" t="n">
        <v>1176.78</v>
      </c>
      <c r="L639" s="1" t="str">
        <f aca="false">IF(ISNUMBER(SEARCH("Bundle",C639)),"Bundles",IF(ISNUMBER(SEARCH("Airtime",C639)),"Bundles",IF(ISNUMBER(SEARCH("Merchant",C639)),"Merchant Payment",IF(ISNUMBER(SEARCH("Offnet C2B",C639)),"Merchant Payment",IF(ISNUMBER(SEARCH("Offnet B2C",C639)),"Merchant Payment",IF(ISNUMBER(SEARCH("Customer Payment to Small",C639)),"Merchant Payment",IF(ISNUMBER(SEARCH("Payment to Small Business",C639)),"Merchant Payment",IF(ISNUMBER(SEARCH("Sent to",C639)),"Sent to Person",IF(ISNUMBER(SEARCH("Customer Transfer to",C639)),"Sent to Person",IF(ISNUMBER(SEARCH("Business Payment",C639)),"Money In",IF(ISNUMBER(SEARCH("Funds Received",C639)),"Money In",IF(ISNUMBER(SEARCH("Receive International",C639)),"Money In",IF(ISNUMBER(SEARCH("Send Money Reversal",C639)),"Money In",IF(ISNUMBER(SEARCH("Pay Utility Reversal",C639)),"Money In",IF(ISNUMBER(SEARCH("Customer Transfer",C639)),"Money In",IF(ISNUMBER(SEARCH("Ziidi",C639)),"Investment",IF(ISNUMBER(SEARCH("Nabo",C639)),"Investment",IF(ISNUMBER(SEARCH("Paybill Online",C639)),"Pay Bill",IF(ISNUMBER(SEARCH("Pay Bill",C639)),"Pay Bill",IF(ISNUMBER(SEARCH("Spotify",C639)),"Pay Bill",IF(ISNUMBER(SEARCH("M-Shwari",C639)),"Mshwari",IF(ISNUMBER(SEARCH("Mshwari",C639)),"Mshwari",IF(ISNUMBER(SEARCH("Withdrawal charge",C639)),"Fees",IF(ISNUMBER(SEARCH("Customer Withdrawal",C639)),"Fees",IF(ISNUMBER(SEARCH("charge",C639)),"Fees","Other")))))))))))))))))))))))))</f>
        <v>Merchant Payment</v>
      </c>
      <c r="R639" s="1" t="str">
        <f aca="false">TEXT(B639,"MMM YYYY")</f>
        <v>Mar 2026</v>
      </c>
    </row>
    <row r="640" customFormat="false" ht="13.8" hidden="false" customHeight="false" outlineLevel="0" collapsed="false">
      <c r="A640" s="4" t="s">
        <v>1350</v>
      </c>
      <c r="B640" s="4" t="s">
        <v>1351</v>
      </c>
      <c r="C640" s="4" t="s">
        <v>470</v>
      </c>
      <c r="D640" s="4" t="s">
        <v>18</v>
      </c>
      <c r="E640" s="4"/>
      <c r="F640" s="4" t="n">
        <v>10</v>
      </c>
      <c r="G640" s="4" t="n">
        <v>1166.78</v>
      </c>
      <c r="L640" s="1" t="str">
        <f aca="false">IF(ISNUMBER(SEARCH("Bundle",C640)),"Bundles",IF(ISNUMBER(SEARCH("Airtime",C640)),"Bundles",IF(ISNUMBER(SEARCH("Merchant",C640)),"Merchant Payment",IF(ISNUMBER(SEARCH("Offnet C2B",C640)),"Merchant Payment",IF(ISNUMBER(SEARCH("Offnet B2C",C640)),"Merchant Payment",IF(ISNUMBER(SEARCH("Customer Payment to Small",C640)),"Merchant Payment",IF(ISNUMBER(SEARCH("Payment to Small Business",C640)),"Merchant Payment",IF(ISNUMBER(SEARCH("Sent to",C640)),"Sent to Person",IF(ISNUMBER(SEARCH("Customer Transfer to",C640)),"Sent to Person",IF(ISNUMBER(SEARCH("Business Payment",C640)),"Money In",IF(ISNUMBER(SEARCH("Funds Received",C640)),"Money In",IF(ISNUMBER(SEARCH("Receive International",C640)),"Money In",IF(ISNUMBER(SEARCH("Send Money Reversal",C640)),"Money In",IF(ISNUMBER(SEARCH("Pay Utility Reversal",C640)),"Money In",IF(ISNUMBER(SEARCH("Customer Transfer",C640)),"Money In",IF(ISNUMBER(SEARCH("Ziidi",C640)),"Investment",IF(ISNUMBER(SEARCH("Nabo",C640)),"Investment",IF(ISNUMBER(SEARCH("Paybill Online",C640)),"Pay Bill",IF(ISNUMBER(SEARCH("Pay Bill",C640)),"Pay Bill",IF(ISNUMBER(SEARCH("Spotify",C640)),"Pay Bill",IF(ISNUMBER(SEARCH("M-Shwari",C640)),"Mshwari",IF(ISNUMBER(SEARCH("Mshwari",C640)),"Mshwari",IF(ISNUMBER(SEARCH("Withdrawal charge",C640)),"Fees",IF(ISNUMBER(SEARCH("Customer Withdrawal",C640)),"Fees",IF(ISNUMBER(SEARCH("charge",C640)),"Fees","Other")))))))))))))))))))))))))</f>
        <v>Sent to Person</v>
      </c>
      <c r="R640" s="1" t="str">
        <f aca="false">TEXT(B640,"MMM YYYY")</f>
        <v>Mar 2026</v>
      </c>
    </row>
    <row r="641" customFormat="false" ht="13.8" hidden="false" customHeight="false" outlineLevel="0" collapsed="false">
      <c r="A641" s="4" t="s">
        <v>1352</v>
      </c>
      <c r="B641" s="4" t="s">
        <v>1353</v>
      </c>
      <c r="C641" s="4" t="s">
        <v>29</v>
      </c>
      <c r="D641" s="4" t="s">
        <v>18</v>
      </c>
      <c r="E641" s="4"/>
      <c r="F641" s="4" t="n">
        <v>20</v>
      </c>
      <c r="G641" s="4" t="n">
        <v>1146.78</v>
      </c>
      <c r="L641" s="1" t="str">
        <f aca="false">IF(ISNUMBER(SEARCH("Bundle",C641)),"Bundles",IF(ISNUMBER(SEARCH("Airtime",C641)),"Bundles",IF(ISNUMBER(SEARCH("Merchant",C641)),"Merchant Payment",IF(ISNUMBER(SEARCH("Offnet C2B",C641)),"Merchant Payment",IF(ISNUMBER(SEARCH("Offnet B2C",C641)),"Merchant Payment",IF(ISNUMBER(SEARCH("Customer Payment to Small",C641)),"Merchant Payment",IF(ISNUMBER(SEARCH("Payment to Small Business",C641)),"Merchant Payment",IF(ISNUMBER(SEARCH("Sent to",C641)),"Sent to Person",IF(ISNUMBER(SEARCH("Customer Transfer to",C641)),"Sent to Person",IF(ISNUMBER(SEARCH("Business Payment",C641)),"Money In",IF(ISNUMBER(SEARCH("Funds Received",C641)),"Money In",IF(ISNUMBER(SEARCH("Receive International",C641)),"Money In",IF(ISNUMBER(SEARCH("Send Money Reversal",C641)),"Money In",IF(ISNUMBER(SEARCH("Pay Utility Reversal",C641)),"Money In",IF(ISNUMBER(SEARCH("Customer Transfer",C641)),"Money In",IF(ISNUMBER(SEARCH("Ziidi",C641)),"Investment",IF(ISNUMBER(SEARCH("Nabo",C641)),"Investment",IF(ISNUMBER(SEARCH("Paybill Online",C641)),"Pay Bill",IF(ISNUMBER(SEARCH("Pay Bill",C641)),"Pay Bill",IF(ISNUMBER(SEARCH("Spotify",C641)),"Pay Bill",IF(ISNUMBER(SEARCH("M-Shwari",C641)),"Mshwari",IF(ISNUMBER(SEARCH("Mshwari",C641)),"Mshwari",IF(ISNUMBER(SEARCH("Withdrawal charge",C641)),"Fees",IF(ISNUMBER(SEARCH("Customer Withdrawal",C641)),"Fees",IF(ISNUMBER(SEARCH("charge",C641)),"Fees","Other")))))))))))))))))))))))))</f>
        <v>Bundles</v>
      </c>
      <c r="R641" s="1" t="str">
        <f aca="false">TEXT(B641,"MMM YYYY")</f>
        <v>Mar 2026</v>
      </c>
    </row>
    <row r="642" customFormat="false" ht="13.8" hidden="false" customHeight="false" outlineLevel="0" collapsed="false">
      <c r="A642" s="4" t="s">
        <v>1354</v>
      </c>
      <c r="B642" s="4" t="s">
        <v>1355</v>
      </c>
      <c r="C642" s="4" t="s">
        <v>29</v>
      </c>
      <c r="D642" s="4" t="s">
        <v>18</v>
      </c>
      <c r="E642" s="4"/>
      <c r="F642" s="4" t="n">
        <v>20</v>
      </c>
      <c r="G642" s="4" t="n">
        <v>1126.78</v>
      </c>
      <c r="L642" s="1" t="str">
        <f aca="false">IF(ISNUMBER(SEARCH("Bundle",C642)),"Bundles",IF(ISNUMBER(SEARCH("Airtime",C642)),"Bundles",IF(ISNUMBER(SEARCH("Merchant",C642)),"Merchant Payment",IF(ISNUMBER(SEARCH("Offnet C2B",C642)),"Merchant Payment",IF(ISNUMBER(SEARCH("Offnet B2C",C642)),"Merchant Payment",IF(ISNUMBER(SEARCH("Customer Payment to Small",C642)),"Merchant Payment",IF(ISNUMBER(SEARCH("Payment to Small Business",C642)),"Merchant Payment",IF(ISNUMBER(SEARCH("Sent to",C642)),"Sent to Person",IF(ISNUMBER(SEARCH("Customer Transfer to",C642)),"Sent to Person",IF(ISNUMBER(SEARCH("Business Payment",C642)),"Money In",IF(ISNUMBER(SEARCH("Funds Received",C642)),"Money In",IF(ISNUMBER(SEARCH("Receive International",C642)),"Money In",IF(ISNUMBER(SEARCH("Send Money Reversal",C642)),"Money In",IF(ISNUMBER(SEARCH("Pay Utility Reversal",C642)),"Money In",IF(ISNUMBER(SEARCH("Customer Transfer",C642)),"Money In",IF(ISNUMBER(SEARCH("Ziidi",C642)),"Investment",IF(ISNUMBER(SEARCH("Nabo",C642)),"Investment",IF(ISNUMBER(SEARCH("Paybill Online",C642)),"Pay Bill",IF(ISNUMBER(SEARCH("Pay Bill",C642)),"Pay Bill",IF(ISNUMBER(SEARCH("Spotify",C642)),"Pay Bill",IF(ISNUMBER(SEARCH("M-Shwari",C642)),"Mshwari",IF(ISNUMBER(SEARCH("Mshwari",C642)),"Mshwari",IF(ISNUMBER(SEARCH("Withdrawal charge",C642)),"Fees",IF(ISNUMBER(SEARCH("Customer Withdrawal",C642)),"Fees",IF(ISNUMBER(SEARCH("charge",C642)),"Fees","Other")))))))))))))))))))))))))</f>
        <v>Bundles</v>
      </c>
      <c r="R642" s="1" t="str">
        <f aca="false">TEXT(B642,"MMM YYYY")</f>
        <v>Mar 2026</v>
      </c>
    </row>
    <row r="643" customFormat="false" ht="13.8" hidden="false" customHeight="false" outlineLevel="0" collapsed="false">
      <c r="A643" s="4" t="s">
        <v>1356</v>
      </c>
      <c r="B643" s="4" t="s">
        <v>1357</v>
      </c>
      <c r="C643" s="4" t="s">
        <v>29</v>
      </c>
      <c r="D643" s="4" t="s">
        <v>18</v>
      </c>
      <c r="E643" s="4"/>
      <c r="F643" s="4" t="n">
        <v>10</v>
      </c>
      <c r="G643" s="4" t="n">
        <v>1116.78</v>
      </c>
      <c r="L643" s="1" t="str">
        <f aca="false">IF(ISNUMBER(SEARCH("Bundle",C643)),"Bundles",IF(ISNUMBER(SEARCH("Airtime",C643)),"Bundles",IF(ISNUMBER(SEARCH("Merchant",C643)),"Merchant Payment",IF(ISNUMBER(SEARCH("Offnet C2B",C643)),"Merchant Payment",IF(ISNUMBER(SEARCH("Offnet B2C",C643)),"Merchant Payment",IF(ISNUMBER(SEARCH("Customer Payment to Small",C643)),"Merchant Payment",IF(ISNUMBER(SEARCH("Payment to Small Business",C643)),"Merchant Payment",IF(ISNUMBER(SEARCH("Sent to",C643)),"Sent to Person",IF(ISNUMBER(SEARCH("Customer Transfer to",C643)),"Sent to Person",IF(ISNUMBER(SEARCH("Business Payment",C643)),"Money In",IF(ISNUMBER(SEARCH("Funds Received",C643)),"Money In",IF(ISNUMBER(SEARCH("Receive International",C643)),"Money In",IF(ISNUMBER(SEARCH("Send Money Reversal",C643)),"Money In",IF(ISNUMBER(SEARCH("Pay Utility Reversal",C643)),"Money In",IF(ISNUMBER(SEARCH("Customer Transfer",C643)),"Money In",IF(ISNUMBER(SEARCH("Ziidi",C643)),"Investment",IF(ISNUMBER(SEARCH("Nabo",C643)),"Investment",IF(ISNUMBER(SEARCH("Paybill Online",C643)),"Pay Bill",IF(ISNUMBER(SEARCH("Pay Bill",C643)),"Pay Bill",IF(ISNUMBER(SEARCH("Spotify",C643)),"Pay Bill",IF(ISNUMBER(SEARCH("M-Shwari",C643)),"Mshwari",IF(ISNUMBER(SEARCH("Mshwari",C643)),"Mshwari",IF(ISNUMBER(SEARCH("Withdrawal charge",C643)),"Fees",IF(ISNUMBER(SEARCH("Customer Withdrawal",C643)),"Fees",IF(ISNUMBER(SEARCH("charge",C643)),"Fees","Other")))))))))))))))))))))))))</f>
        <v>Bundles</v>
      </c>
      <c r="R643" s="1" t="str">
        <f aca="false">TEXT(B643,"MMM YYYY")</f>
        <v>Mar 2026</v>
      </c>
    </row>
    <row r="644" customFormat="false" ht="13.8" hidden="false" customHeight="false" outlineLevel="0" collapsed="false">
      <c r="A644" s="4" t="s">
        <v>1358</v>
      </c>
      <c r="B644" s="4" t="s">
        <v>1359</v>
      </c>
      <c r="C644" s="4" t="s">
        <v>29</v>
      </c>
      <c r="D644" s="4" t="s">
        <v>18</v>
      </c>
      <c r="E644" s="4"/>
      <c r="F644" s="4" t="n">
        <v>10</v>
      </c>
      <c r="G644" s="4" t="n">
        <v>1106.78</v>
      </c>
      <c r="L644" s="1" t="str">
        <f aca="false">IF(ISNUMBER(SEARCH("Bundle",C644)),"Bundles",IF(ISNUMBER(SEARCH("Airtime",C644)),"Bundles",IF(ISNUMBER(SEARCH("Merchant",C644)),"Merchant Payment",IF(ISNUMBER(SEARCH("Offnet C2B",C644)),"Merchant Payment",IF(ISNUMBER(SEARCH("Offnet B2C",C644)),"Merchant Payment",IF(ISNUMBER(SEARCH("Customer Payment to Small",C644)),"Merchant Payment",IF(ISNUMBER(SEARCH("Payment to Small Business",C644)),"Merchant Payment",IF(ISNUMBER(SEARCH("Sent to",C644)),"Sent to Person",IF(ISNUMBER(SEARCH("Customer Transfer to",C644)),"Sent to Person",IF(ISNUMBER(SEARCH("Business Payment",C644)),"Money In",IF(ISNUMBER(SEARCH("Funds Received",C644)),"Money In",IF(ISNUMBER(SEARCH("Receive International",C644)),"Money In",IF(ISNUMBER(SEARCH("Send Money Reversal",C644)),"Money In",IF(ISNUMBER(SEARCH("Pay Utility Reversal",C644)),"Money In",IF(ISNUMBER(SEARCH("Customer Transfer",C644)),"Money In",IF(ISNUMBER(SEARCH("Ziidi",C644)),"Investment",IF(ISNUMBER(SEARCH("Nabo",C644)),"Investment",IF(ISNUMBER(SEARCH("Paybill Online",C644)),"Pay Bill",IF(ISNUMBER(SEARCH("Pay Bill",C644)),"Pay Bill",IF(ISNUMBER(SEARCH("Spotify",C644)),"Pay Bill",IF(ISNUMBER(SEARCH("M-Shwari",C644)),"Mshwari",IF(ISNUMBER(SEARCH("Mshwari",C644)),"Mshwari",IF(ISNUMBER(SEARCH("Withdrawal charge",C644)),"Fees",IF(ISNUMBER(SEARCH("Customer Withdrawal",C644)),"Fees",IF(ISNUMBER(SEARCH("charge",C644)),"Fees","Other")))))))))))))))))))))))))</f>
        <v>Bundles</v>
      </c>
      <c r="R644" s="1" t="str">
        <f aca="false">TEXT(B644,"MMM YYYY")</f>
        <v>Mar 2026</v>
      </c>
    </row>
    <row r="645" customFormat="false" ht="13.8" hidden="false" customHeight="false" outlineLevel="0" collapsed="false">
      <c r="A645" s="4" t="s">
        <v>1360</v>
      </c>
      <c r="B645" s="4" t="s">
        <v>1361</v>
      </c>
      <c r="C645" s="4" t="s">
        <v>29</v>
      </c>
      <c r="D645" s="4" t="s">
        <v>18</v>
      </c>
      <c r="E645" s="4"/>
      <c r="F645" s="4" t="n">
        <v>10</v>
      </c>
      <c r="G645" s="4" t="n">
        <v>1096.78</v>
      </c>
      <c r="L645" s="1" t="str">
        <f aca="false">IF(ISNUMBER(SEARCH("Bundle",C645)),"Bundles",IF(ISNUMBER(SEARCH("Airtime",C645)),"Bundles",IF(ISNUMBER(SEARCH("Merchant",C645)),"Merchant Payment",IF(ISNUMBER(SEARCH("Offnet C2B",C645)),"Merchant Payment",IF(ISNUMBER(SEARCH("Offnet B2C",C645)),"Merchant Payment",IF(ISNUMBER(SEARCH("Customer Payment to Small",C645)),"Merchant Payment",IF(ISNUMBER(SEARCH("Payment to Small Business",C645)),"Merchant Payment",IF(ISNUMBER(SEARCH("Sent to",C645)),"Sent to Person",IF(ISNUMBER(SEARCH("Customer Transfer to",C645)),"Sent to Person",IF(ISNUMBER(SEARCH("Business Payment",C645)),"Money In",IF(ISNUMBER(SEARCH("Funds Received",C645)),"Money In",IF(ISNUMBER(SEARCH("Receive International",C645)),"Money In",IF(ISNUMBER(SEARCH("Send Money Reversal",C645)),"Money In",IF(ISNUMBER(SEARCH("Pay Utility Reversal",C645)),"Money In",IF(ISNUMBER(SEARCH("Customer Transfer",C645)),"Money In",IF(ISNUMBER(SEARCH("Ziidi",C645)),"Investment",IF(ISNUMBER(SEARCH("Nabo",C645)),"Investment",IF(ISNUMBER(SEARCH("Paybill Online",C645)),"Pay Bill",IF(ISNUMBER(SEARCH("Pay Bill",C645)),"Pay Bill",IF(ISNUMBER(SEARCH("Spotify",C645)),"Pay Bill",IF(ISNUMBER(SEARCH("M-Shwari",C645)),"Mshwari",IF(ISNUMBER(SEARCH("Mshwari",C645)),"Mshwari",IF(ISNUMBER(SEARCH("Withdrawal charge",C645)),"Fees",IF(ISNUMBER(SEARCH("Customer Withdrawal",C645)),"Fees",IF(ISNUMBER(SEARCH("charge",C645)),"Fees","Other")))))))))))))))))))))))))</f>
        <v>Bundles</v>
      </c>
      <c r="R645" s="1" t="str">
        <f aca="false">TEXT(B645,"MMM YYYY")</f>
        <v>Mar 2026</v>
      </c>
    </row>
    <row r="646" customFormat="false" ht="13.8" hidden="false" customHeight="false" outlineLevel="0" collapsed="false">
      <c r="A646" s="4" t="s">
        <v>1362</v>
      </c>
      <c r="B646" s="4" t="s">
        <v>1363</v>
      </c>
      <c r="C646" s="4" t="s">
        <v>316</v>
      </c>
      <c r="D646" s="4" t="s">
        <v>18</v>
      </c>
      <c r="E646" s="4"/>
      <c r="F646" s="4" t="n">
        <v>360</v>
      </c>
      <c r="G646" s="4" t="n">
        <v>736.78</v>
      </c>
      <c r="L646" s="1" t="str">
        <f aca="false">IF(ISNUMBER(SEARCH("Bundle",C646)),"Bundles",IF(ISNUMBER(SEARCH("Airtime",C646)),"Bundles",IF(ISNUMBER(SEARCH("Merchant",C646)),"Merchant Payment",IF(ISNUMBER(SEARCH("Offnet C2B",C646)),"Merchant Payment",IF(ISNUMBER(SEARCH("Offnet B2C",C646)),"Merchant Payment",IF(ISNUMBER(SEARCH("Customer Payment to Small",C646)),"Merchant Payment",IF(ISNUMBER(SEARCH("Payment to Small Business",C646)),"Merchant Payment",IF(ISNUMBER(SEARCH("Sent to",C646)),"Sent to Person",IF(ISNUMBER(SEARCH("Customer Transfer to",C646)),"Sent to Person",IF(ISNUMBER(SEARCH("Business Payment",C646)),"Money In",IF(ISNUMBER(SEARCH("Funds Received",C646)),"Money In",IF(ISNUMBER(SEARCH("Receive International",C646)),"Money In",IF(ISNUMBER(SEARCH("Send Money Reversal",C646)),"Money In",IF(ISNUMBER(SEARCH("Pay Utility Reversal",C646)),"Money In",IF(ISNUMBER(SEARCH("Customer Transfer",C646)),"Money In",IF(ISNUMBER(SEARCH("Ziidi",C646)),"Investment",IF(ISNUMBER(SEARCH("Nabo",C646)),"Investment",IF(ISNUMBER(SEARCH("Paybill Online",C646)),"Pay Bill",IF(ISNUMBER(SEARCH("Pay Bill",C646)),"Pay Bill",IF(ISNUMBER(SEARCH("Spotify",C646)),"Pay Bill",IF(ISNUMBER(SEARCH("M-Shwari",C646)),"Mshwari",IF(ISNUMBER(SEARCH("Mshwari",C646)),"Mshwari",IF(ISNUMBER(SEARCH("Withdrawal charge",C646)),"Fees",IF(ISNUMBER(SEARCH("Customer Withdrawal",C646)),"Fees",IF(ISNUMBER(SEARCH("charge",C646)),"Fees","Other")))))))))))))))))))))))))</f>
        <v>Merchant Payment</v>
      </c>
      <c r="R646" s="1" t="str">
        <f aca="false">TEXT(B646,"MMM YYYY")</f>
        <v>Mar 2026</v>
      </c>
    </row>
    <row r="647" customFormat="false" ht="13.8" hidden="false" customHeight="false" outlineLevel="0" collapsed="false">
      <c r="A647" s="4" t="s">
        <v>1364</v>
      </c>
      <c r="B647" s="4" t="s">
        <v>1365</v>
      </c>
      <c r="C647" s="4" t="s">
        <v>45</v>
      </c>
      <c r="D647" s="4" t="s">
        <v>18</v>
      </c>
      <c r="E647" s="4"/>
      <c r="F647" s="4" t="n">
        <v>90</v>
      </c>
      <c r="G647" s="4" t="n">
        <v>646.78</v>
      </c>
      <c r="L647" s="1" t="str">
        <f aca="false">IF(ISNUMBER(SEARCH("Bundle",C647)),"Bundles",IF(ISNUMBER(SEARCH("Airtime",C647)),"Bundles",IF(ISNUMBER(SEARCH("Merchant",C647)),"Merchant Payment",IF(ISNUMBER(SEARCH("Offnet C2B",C647)),"Merchant Payment",IF(ISNUMBER(SEARCH("Offnet B2C",C647)),"Merchant Payment",IF(ISNUMBER(SEARCH("Customer Payment to Small",C647)),"Merchant Payment",IF(ISNUMBER(SEARCH("Payment to Small Business",C647)),"Merchant Payment",IF(ISNUMBER(SEARCH("Sent to",C647)),"Sent to Person",IF(ISNUMBER(SEARCH("Customer Transfer to",C647)),"Sent to Person",IF(ISNUMBER(SEARCH("Business Payment",C647)),"Money In",IF(ISNUMBER(SEARCH("Funds Received",C647)),"Money In",IF(ISNUMBER(SEARCH("Receive International",C647)),"Money In",IF(ISNUMBER(SEARCH("Send Money Reversal",C647)),"Money In",IF(ISNUMBER(SEARCH("Pay Utility Reversal",C647)),"Money In",IF(ISNUMBER(SEARCH("Customer Transfer",C647)),"Money In",IF(ISNUMBER(SEARCH("Ziidi",C647)),"Investment",IF(ISNUMBER(SEARCH("Nabo",C647)),"Investment",IF(ISNUMBER(SEARCH("Paybill Online",C647)),"Pay Bill",IF(ISNUMBER(SEARCH("Pay Bill",C647)),"Pay Bill",IF(ISNUMBER(SEARCH("Spotify",C647)),"Pay Bill",IF(ISNUMBER(SEARCH("M-Shwari",C647)),"Mshwari",IF(ISNUMBER(SEARCH("Mshwari",C647)),"Mshwari",IF(ISNUMBER(SEARCH("Withdrawal charge",C647)),"Fees",IF(ISNUMBER(SEARCH("Customer Withdrawal",C647)),"Fees",IF(ISNUMBER(SEARCH("charge",C647)),"Fees","Other")))))))))))))))))))))))))</f>
        <v>Merchant Payment</v>
      </c>
      <c r="R647" s="1" t="str">
        <f aca="false">TEXT(B647,"MMM YYYY")</f>
        <v>Mar 2026</v>
      </c>
    </row>
    <row r="648" customFormat="false" ht="13.8" hidden="false" customHeight="false" outlineLevel="0" collapsed="false">
      <c r="A648" s="4" t="s">
        <v>1366</v>
      </c>
      <c r="B648" s="4" t="s">
        <v>1367</v>
      </c>
      <c r="C648" s="4" t="s">
        <v>1073</v>
      </c>
      <c r="D648" s="4" t="s">
        <v>18</v>
      </c>
      <c r="E648" s="4"/>
      <c r="F648" s="4" t="n">
        <v>30</v>
      </c>
      <c r="G648" s="4" t="n">
        <v>616.78</v>
      </c>
      <c r="L648" s="1" t="str">
        <f aca="false">IF(ISNUMBER(SEARCH("Bundle",C648)),"Bundles",IF(ISNUMBER(SEARCH("Airtime",C648)),"Bundles",IF(ISNUMBER(SEARCH("Merchant",C648)),"Merchant Payment",IF(ISNUMBER(SEARCH("Offnet C2B",C648)),"Merchant Payment",IF(ISNUMBER(SEARCH("Offnet B2C",C648)),"Merchant Payment",IF(ISNUMBER(SEARCH("Customer Payment to Small",C648)),"Merchant Payment",IF(ISNUMBER(SEARCH("Payment to Small Business",C648)),"Merchant Payment",IF(ISNUMBER(SEARCH("Sent to",C648)),"Sent to Person",IF(ISNUMBER(SEARCH("Customer Transfer to",C648)),"Sent to Person",IF(ISNUMBER(SEARCH("Business Payment",C648)),"Money In",IF(ISNUMBER(SEARCH("Funds Received",C648)),"Money In",IF(ISNUMBER(SEARCH("Receive International",C648)),"Money In",IF(ISNUMBER(SEARCH("Send Money Reversal",C648)),"Money In",IF(ISNUMBER(SEARCH("Pay Utility Reversal",C648)),"Money In",IF(ISNUMBER(SEARCH("Customer Transfer",C648)),"Money In",IF(ISNUMBER(SEARCH("Ziidi",C648)),"Investment",IF(ISNUMBER(SEARCH("Nabo",C648)),"Investment",IF(ISNUMBER(SEARCH("Paybill Online",C648)),"Pay Bill",IF(ISNUMBER(SEARCH("Pay Bill",C648)),"Pay Bill",IF(ISNUMBER(SEARCH("Spotify",C648)),"Pay Bill",IF(ISNUMBER(SEARCH("M-Shwari",C648)),"Mshwari",IF(ISNUMBER(SEARCH("Mshwari",C648)),"Mshwari",IF(ISNUMBER(SEARCH("Withdrawal charge",C648)),"Fees",IF(ISNUMBER(SEARCH("Customer Withdrawal",C648)),"Fees",IF(ISNUMBER(SEARCH("charge",C648)),"Fees","Other")))))))))))))))))))))))))</f>
        <v>Merchant Payment</v>
      </c>
      <c r="R648" s="1" t="str">
        <f aca="false">TEXT(B648,"MMM YYYY")</f>
        <v>Mar 2026</v>
      </c>
    </row>
    <row r="649" customFormat="false" ht="13.8" hidden="false" customHeight="false" outlineLevel="0" collapsed="false">
      <c r="A649" s="4" t="s">
        <v>1368</v>
      </c>
      <c r="B649" s="4" t="s">
        <v>1369</v>
      </c>
      <c r="C649" s="4" t="s">
        <v>29</v>
      </c>
      <c r="D649" s="4" t="s">
        <v>18</v>
      </c>
      <c r="E649" s="4"/>
      <c r="F649" s="4" t="n">
        <v>20</v>
      </c>
      <c r="G649" s="4" t="n">
        <v>596.78</v>
      </c>
      <c r="L649" s="1" t="str">
        <f aca="false">IF(ISNUMBER(SEARCH("Bundle",C649)),"Bundles",IF(ISNUMBER(SEARCH("Airtime",C649)),"Bundles",IF(ISNUMBER(SEARCH("Merchant",C649)),"Merchant Payment",IF(ISNUMBER(SEARCH("Offnet C2B",C649)),"Merchant Payment",IF(ISNUMBER(SEARCH("Offnet B2C",C649)),"Merchant Payment",IF(ISNUMBER(SEARCH("Customer Payment to Small",C649)),"Merchant Payment",IF(ISNUMBER(SEARCH("Payment to Small Business",C649)),"Merchant Payment",IF(ISNUMBER(SEARCH("Sent to",C649)),"Sent to Person",IF(ISNUMBER(SEARCH("Customer Transfer to",C649)),"Sent to Person",IF(ISNUMBER(SEARCH("Business Payment",C649)),"Money In",IF(ISNUMBER(SEARCH("Funds Received",C649)),"Money In",IF(ISNUMBER(SEARCH("Receive International",C649)),"Money In",IF(ISNUMBER(SEARCH("Send Money Reversal",C649)),"Money In",IF(ISNUMBER(SEARCH("Pay Utility Reversal",C649)),"Money In",IF(ISNUMBER(SEARCH("Customer Transfer",C649)),"Money In",IF(ISNUMBER(SEARCH("Ziidi",C649)),"Investment",IF(ISNUMBER(SEARCH("Nabo",C649)),"Investment",IF(ISNUMBER(SEARCH("Paybill Online",C649)),"Pay Bill",IF(ISNUMBER(SEARCH("Pay Bill",C649)),"Pay Bill",IF(ISNUMBER(SEARCH("Spotify",C649)),"Pay Bill",IF(ISNUMBER(SEARCH("M-Shwari",C649)),"Mshwari",IF(ISNUMBER(SEARCH("Mshwari",C649)),"Mshwari",IF(ISNUMBER(SEARCH("Withdrawal charge",C649)),"Fees",IF(ISNUMBER(SEARCH("Customer Withdrawal",C649)),"Fees",IF(ISNUMBER(SEARCH("charge",C649)),"Fees","Other")))))))))))))))))))))))))</f>
        <v>Bundles</v>
      </c>
      <c r="R649" s="1" t="str">
        <f aca="false">TEXT(B649,"MMM YYYY")</f>
        <v>Mar 2026</v>
      </c>
    </row>
    <row r="650" customFormat="false" ht="13.8" hidden="false" customHeight="false" outlineLevel="0" collapsed="false">
      <c r="A650" s="4" t="s">
        <v>1370</v>
      </c>
      <c r="B650" s="4" t="s">
        <v>1371</v>
      </c>
      <c r="C650" s="4" t="s">
        <v>29</v>
      </c>
      <c r="D650" s="4" t="s">
        <v>18</v>
      </c>
      <c r="E650" s="4"/>
      <c r="F650" s="4" t="n">
        <v>20</v>
      </c>
      <c r="G650" s="4" t="n">
        <v>576.78</v>
      </c>
      <c r="L650" s="1" t="str">
        <f aca="false">IF(ISNUMBER(SEARCH("Bundle",C650)),"Bundles",IF(ISNUMBER(SEARCH("Airtime",C650)),"Bundles",IF(ISNUMBER(SEARCH("Merchant",C650)),"Merchant Payment",IF(ISNUMBER(SEARCH("Offnet C2B",C650)),"Merchant Payment",IF(ISNUMBER(SEARCH("Offnet B2C",C650)),"Merchant Payment",IF(ISNUMBER(SEARCH("Customer Payment to Small",C650)),"Merchant Payment",IF(ISNUMBER(SEARCH("Payment to Small Business",C650)),"Merchant Payment",IF(ISNUMBER(SEARCH("Sent to",C650)),"Sent to Person",IF(ISNUMBER(SEARCH("Customer Transfer to",C650)),"Sent to Person",IF(ISNUMBER(SEARCH("Business Payment",C650)),"Money In",IF(ISNUMBER(SEARCH("Funds Received",C650)),"Money In",IF(ISNUMBER(SEARCH("Receive International",C650)),"Money In",IF(ISNUMBER(SEARCH("Send Money Reversal",C650)),"Money In",IF(ISNUMBER(SEARCH("Pay Utility Reversal",C650)),"Money In",IF(ISNUMBER(SEARCH("Customer Transfer",C650)),"Money In",IF(ISNUMBER(SEARCH("Ziidi",C650)),"Investment",IF(ISNUMBER(SEARCH("Nabo",C650)),"Investment",IF(ISNUMBER(SEARCH("Paybill Online",C650)),"Pay Bill",IF(ISNUMBER(SEARCH("Pay Bill",C650)),"Pay Bill",IF(ISNUMBER(SEARCH("Spotify",C650)),"Pay Bill",IF(ISNUMBER(SEARCH("M-Shwari",C650)),"Mshwari",IF(ISNUMBER(SEARCH("Mshwari",C650)),"Mshwari",IF(ISNUMBER(SEARCH("Withdrawal charge",C650)),"Fees",IF(ISNUMBER(SEARCH("Customer Withdrawal",C650)),"Fees",IF(ISNUMBER(SEARCH("charge",C650)),"Fees","Other")))))))))))))))))))))))))</f>
        <v>Bundles</v>
      </c>
      <c r="R650" s="1" t="str">
        <f aca="false">TEXT(B650,"MMM YYYY")</f>
        <v>Mar 2026</v>
      </c>
    </row>
    <row r="651" customFormat="false" ht="13.8" hidden="false" customHeight="false" outlineLevel="0" collapsed="false">
      <c r="A651" s="4" t="s">
        <v>1372</v>
      </c>
      <c r="B651" s="4" t="s">
        <v>1373</v>
      </c>
      <c r="C651" s="4" t="s">
        <v>459</v>
      </c>
      <c r="D651" s="4" t="s">
        <v>18</v>
      </c>
      <c r="E651" s="4"/>
      <c r="F651" s="4" t="n">
        <v>20</v>
      </c>
      <c r="G651" s="4" t="n">
        <v>556.78</v>
      </c>
      <c r="L651" s="1" t="str">
        <f aca="false">IF(ISNUMBER(SEARCH("Bundle",C651)),"Bundles",IF(ISNUMBER(SEARCH("Airtime",C651)),"Bundles",IF(ISNUMBER(SEARCH("Merchant",C651)),"Merchant Payment",IF(ISNUMBER(SEARCH("Offnet C2B",C651)),"Merchant Payment",IF(ISNUMBER(SEARCH("Offnet B2C",C651)),"Merchant Payment",IF(ISNUMBER(SEARCH("Customer Payment to Small",C651)),"Merchant Payment",IF(ISNUMBER(SEARCH("Payment to Small Business",C651)),"Merchant Payment",IF(ISNUMBER(SEARCH("Sent to",C651)),"Sent to Person",IF(ISNUMBER(SEARCH("Customer Transfer to",C651)),"Sent to Person",IF(ISNUMBER(SEARCH("Business Payment",C651)),"Money In",IF(ISNUMBER(SEARCH("Funds Received",C651)),"Money In",IF(ISNUMBER(SEARCH("Receive International",C651)),"Money In",IF(ISNUMBER(SEARCH("Send Money Reversal",C651)),"Money In",IF(ISNUMBER(SEARCH("Pay Utility Reversal",C651)),"Money In",IF(ISNUMBER(SEARCH("Customer Transfer",C651)),"Money In",IF(ISNUMBER(SEARCH("Ziidi",C651)),"Investment",IF(ISNUMBER(SEARCH("Nabo",C651)),"Investment",IF(ISNUMBER(SEARCH("Paybill Online",C651)),"Pay Bill",IF(ISNUMBER(SEARCH("Pay Bill",C651)),"Pay Bill",IF(ISNUMBER(SEARCH("Spotify",C651)),"Pay Bill",IF(ISNUMBER(SEARCH("M-Shwari",C651)),"Mshwari",IF(ISNUMBER(SEARCH("Mshwari",C651)),"Mshwari",IF(ISNUMBER(SEARCH("Withdrawal charge",C651)),"Fees",IF(ISNUMBER(SEARCH("Customer Withdrawal",C651)),"Fees",IF(ISNUMBER(SEARCH("charge",C651)),"Fees","Other")))))))))))))))))))))))))</f>
        <v>Merchant Payment</v>
      </c>
      <c r="R651" s="1" t="str">
        <f aca="false">TEXT(B651,"MMM YYYY")</f>
        <v>Apr 2026</v>
      </c>
    </row>
    <row r="652" customFormat="false" ht="13.8" hidden="false" customHeight="false" outlineLevel="0" collapsed="false">
      <c r="A652" s="4" t="s">
        <v>1374</v>
      </c>
      <c r="B652" s="4" t="s">
        <v>1375</v>
      </c>
      <c r="C652" s="4" t="s">
        <v>1376</v>
      </c>
      <c r="D652" s="4" t="s">
        <v>18</v>
      </c>
      <c r="E652" s="4"/>
      <c r="F652" s="4" t="n">
        <v>15</v>
      </c>
      <c r="G652" s="4" t="n">
        <v>541.78</v>
      </c>
      <c r="L652" s="1" t="str">
        <f aca="false">IF(ISNUMBER(SEARCH("Bundle",C652)),"Bundles",IF(ISNUMBER(SEARCH("Airtime",C652)),"Bundles",IF(ISNUMBER(SEARCH("Merchant",C652)),"Merchant Payment",IF(ISNUMBER(SEARCH("Offnet C2B",C652)),"Merchant Payment",IF(ISNUMBER(SEARCH("Offnet B2C",C652)),"Merchant Payment",IF(ISNUMBER(SEARCH("Customer Payment to Small",C652)),"Merchant Payment",IF(ISNUMBER(SEARCH("Payment to Small Business",C652)),"Merchant Payment",IF(ISNUMBER(SEARCH("Sent to",C652)),"Sent to Person",IF(ISNUMBER(SEARCH("Customer Transfer to",C652)),"Sent to Person",IF(ISNUMBER(SEARCH("Business Payment",C652)),"Money In",IF(ISNUMBER(SEARCH("Funds Received",C652)),"Money In",IF(ISNUMBER(SEARCH("Receive International",C652)),"Money In",IF(ISNUMBER(SEARCH("Send Money Reversal",C652)),"Money In",IF(ISNUMBER(SEARCH("Pay Utility Reversal",C652)),"Money In",IF(ISNUMBER(SEARCH("Customer Transfer",C652)),"Money In",IF(ISNUMBER(SEARCH("Ziidi",C652)),"Investment",IF(ISNUMBER(SEARCH("Nabo",C652)),"Investment",IF(ISNUMBER(SEARCH("Paybill Online",C652)),"Pay Bill",IF(ISNUMBER(SEARCH("Pay Bill",C652)),"Pay Bill",IF(ISNUMBER(SEARCH("Spotify",C652)),"Pay Bill",IF(ISNUMBER(SEARCH("M-Shwari",C652)),"Mshwari",IF(ISNUMBER(SEARCH("Mshwari",C652)),"Mshwari",IF(ISNUMBER(SEARCH("Withdrawal charge",C652)),"Fees",IF(ISNUMBER(SEARCH("Customer Withdrawal",C652)),"Fees",IF(ISNUMBER(SEARCH("charge",C652)),"Fees","Other")))))))))))))))))))))))))</f>
        <v>Merchant Payment</v>
      </c>
      <c r="R652" s="1" t="str">
        <f aca="false">TEXT(B652,"MMM YYYY")</f>
        <v>Apr 2026</v>
      </c>
    </row>
    <row r="653" customFormat="false" ht="13.8" hidden="false" customHeight="false" outlineLevel="0" collapsed="false">
      <c r="A653" s="4" t="s">
        <v>1377</v>
      </c>
      <c r="B653" s="4" t="s">
        <v>1378</v>
      </c>
      <c r="C653" s="4" t="s">
        <v>29</v>
      </c>
      <c r="D653" s="4" t="s">
        <v>18</v>
      </c>
      <c r="E653" s="4"/>
      <c r="F653" s="4" t="n">
        <v>10</v>
      </c>
      <c r="G653" s="4" t="n">
        <v>531.78</v>
      </c>
      <c r="L653" s="1" t="str">
        <f aca="false">IF(ISNUMBER(SEARCH("Bundle",C653)),"Bundles",IF(ISNUMBER(SEARCH("Airtime",C653)),"Bundles",IF(ISNUMBER(SEARCH("Merchant",C653)),"Merchant Payment",IF(ISNUMBER(SEARCH("Offnet C2B",C653)),"Merchant Payment",IF(ISNUMBER(SEARCH("Offnet B2C",C653)),"Merchant Payment",IF(ISNUMBER(SEARCH("Customer Payment to Small",C653)),"Merchant Payment",IF(ISNUMBER(SEARCH("Payment to Small Business",C653)),"Merchant Payment",IF(ISNUMBER(SEARCH("Sent to",C653)),"Sent to Person",IF(ISNUMBER(SEARCH("Customer Transfer to",C653)),"Sent to Person",IF(ISNUMBER(SEARCH("Business Payment",C653)),"Money In",IF(ISNUMBER(SEARCH("Funds Received",C653)),"Money In",IF(ISNUMBER(SEARCH("Receive International",C653)),"Money In",IF(ISNUMBER(SEARCH("Send Money Reversal",C653)),"Money In",IF(ISNUMBER(SEARCH("Pay Utility Reversal",C653)),"Money In",IF(ISNUMBER(SEARCH("Customer Transfer",C653)),"Money In",IF(ISNUMBER(SEARCH("Ziidi",C653)),"Investment",IF(ISNUMBER(SEARCH("Nabo",C653)),"Investment",IF(ISNUMBER(SEARCH("Paybill Online",C653)),"Pay Bill",IF(ISNUMBER(SEARCH("Pay Bill",C653)),"Pay Bill",IF(ISNUMBER(SEARCH("Spotify",C653)),"Pay Bill",IF(ISNUMBER(SEARCH("M-Shwari",C653)),"Mshwari",IF(ISNUMBER(SEARCH("Mshwari",C653)),"Mshwari",IF(ISNUMBER(SEARCH("Withdrawal charge",C653)),"Fees",IF(ISNUMBER(SEARCH("Customer Withdrawal",C653)),"Fees",IF(ISNUMBER(SEARCH("charge",C653)),"Fees","Other")))))))))))))))))))))))))</f>
        <v>Bundles</v>
      </c>
      <c r="R653" s="1" t="str">
        <f aca="false">TEXT(B653,"MMM YYYY")</f>
        <v>Apr 2026</v>
      </c>
    </row>
    <row r="654" customFormat="false" ht="13.8" hidden="false" customHeight="false" outlineLevel="0" collapsed="false">
      <c r="A654" s="4" t="s">
        <v>1379</v>
      </c>
      <c r="B654" s="4" t="s">
        <v>1380</v>
      </c>
      <c r="C654" s="4" t="s">
        <v>467</v>
      </c>
      <c r="D654" s="4" t="s">
        <v>18</v>
      </c>
      <c r="E654" s="4"/>
      <c r="F654" s="4" t="n">
        <v>60</v>
      </c>
      <c r="G654" s="4" t="n">
        <v>471.78</v>
      </c>
      <c r="L654" s="1" t="str">
        <f aca="false">IF(ISNUMBER(SEARCH("Bundle",C654)),"Bundles",IF(ISNUMBER(SEARCH("Airtime",C654)),"Bundles",IF(ISNUMBER(SEARCH("Merchant",C654)),"Merchant Payment",IF(ISNUMBER(SEARCH("Offnet C2B",C654)),"Merchant Payment",IF(ISNUMBER(SEARCH("Offnet B2C",C654)),"Merchant Payment",IF(ISNUMBER(SEARCH("Customer Payment to Small",C654)),"Merchant Payment",IF(ISNUMBER(SEARCH("Payment to Small Business",C654)),"Merchant Payment",IF(ISNUMBER(SEARCH("Sent to",C654)),"Sent to Person",IF(ISNUMBER(SEARCH("Customer Transfer to",C654)),"Sent to Person",IF(ISNUMBER(SEARCH("Business Payment",C654)),"Money In",IF(ISNUMBER(SEARCH("Funds Received",C654)),"Money In",IF(ISNUMBER(SEARCH("Receive International",C654)),"Money In",IF(ISNUMBER(SEARCH("Send Money Reversal",C654)),"Money In",IF(ISNUMBER(SEARCH("Pay Utility Reversal",C654)),"Money In",IF(ISNUMBER(SEARCH("Customer Transfer",C654)),"Money In",IF(ISNUMBER(SEARCH("Ziidi",C654)),"Investment",IF(ISNUMBER(SEARCH("Nabo",C654)),"Investment",IF(ISNUMBER(SEARCH("Paybill Online",C654)),"Pay Bill",IF(ISNUMBER(SEARCH("Pay Bill",C654)),"Pay Bill",IF(ISNUMBER(SEARCH("Spotify",C654)),"Pay Bill",IF(ISNUMBER(SEARCH("M-Shwari",C654)),"Mshwari",IF(ISNUMBER(SEARCH("Mshwari",C654)),"Mshwari",IF(ISNUMBER(SEARCH("Withdrawal charge",C654)),"Fees",IF(ISNUMBER(SEARCH("Customer Withdrawal",C654)),"Fees",IF(ISNUMBER(SEARCH("charge",C654)),"Fees","Other")))))))))))))))))))))))))</f>
        <v>Merchant Payment</v>
      </c>
      <c r="R654" s="1" t="str">
        <f aca="false">TEXT(B654,"MMM YYYY")</f>
        <v>Apr 2026</v>
      </c>
    </row>
    <row r="655" customFormat="false" ht="13.8" hidden="false" customHeight="false" outlineLevel="0" collapsed="false">
      <c r="A655" s="4" t="s">
        <v>1381</v>
      </c>
      <c r="B655" s="4" t="s">
        <v>1382</v>
      </c>
      <c r="C655" s="4" t="s">
        <v>29</v>
      </c>
      <c r="D655" s="4" t="s">
        <v>18</v>
      </c>
      <c r="E655" s="4"/>
      <c r="F655" s="4" t="n">
        <v>10</v>
      </c>
      <c r="G655" s="4" t="n">
        <v>461.78</v>
      </c>
      <c r="L655" s="1" t="str">
        <f aca="false">IF(ISNUMBER(SEARCH("Bundle",C655)),"Bundles",IF(ISNUMBER(SEARCH("Airtime",C655)),"Bundles",IF(ISNUMBER(SEARCH("Merchant",C655)),"Merchant Payment",IF(ISNUMBER(SEARCH("Offnet C2B",C655)),"Merchant Payment",IF(ISNUMBER(SEARCH("Offnet B2C",C655)),"Merchant Payment",IF(ISNUMBER(SEARCH("Customer Payment to Small",C655)),"Merchant Payment",IF(ISNUMBER(SEARCH("Payment to Small Business",C655)),"Merchant Payment",IF(ISNUMBER(SEARCH("Sent to",C655)),"Sent to Person",IF(ISNUMBER(SEARCH("Customer Transfer to",C655)),"Sent to Person",IF(ISNUMBER(SEARCH("Business Payment",C655)),"Money In",IF(ISNUMBER(SEARCH("Funds Received",C655)),"Money In",IF(ISNUMBER(SEARCH("Receive International",C655)),"Money In",IF(ISNUMBER(SEARCH("Send Money Reversal",C655)),"Money In",IF(ISNUMBER(SEARCH("Pay Utility Reversal",C655)),"Money In",IF(ISNUMBER(SEARCH("Customer Transfer",C655)),"Money In",IF(ISNUMBER(SEARCH("Ziidi",C655)),"Investment",IF(ISNUMBER(SEARCH("Nabo",C655)),"Investment",IF(ISNUMBER(SEARCH("Paybill Online",C655)),"Pay Bill",IF(ISNUMBER(SEARCH("Pay Bill",C655)),"Pay Bill",IF(ISNUMBER(SEARCH("Spotify",C655)),"Pay Bill",IF(ISNUMBER(SEARCH("M-Shwari",C655)),"Mshwari",IF(ISNUMBER(SEARCH("Mshwari",C655)),"Mshwari",IF(ISNUMBER(SEARCH("Withdrawal charge",C655)),"Fees",IF(ISNUMBER(SEARCH("Customer Withdrawal",C655)),"Fees",IF(ISNUMBER(SEARCH("charge",C655)),"Fees","Other")))))))))))))))))))))))))</f>
        <v>Bundles</v>
      </c>
      <c r="R655" s="1" t="str">
        <f aca="false">TEXT(B655,"MMM YYYY")</f>
        <v>Apr 2026</v>
      </c>
    </row>
    <row r="656" customFormat="false" ht="13.8" hidden="false" customHeight="false" outlineLevel="0" collapsed="false">
      <c r="A656" s="4" t="s">
        <v>1383</v>
      </c>
      <c r="B656" s="4" t="s">
        <v>1384</v>
      </c>
      <c r="C656" s="4" t="s">
        <v>29</v>
      </c>
      <c r="D656" s="4" t="s">
        <v>18</v>
      </c>
      <c r="E656" s="4"/>
      <c r="F656" s="4" t="n">
        <v>20</v>
      </c>
      <c r="G656" s="4" t="n">
        <v>441.78</v>
      </c>
      <c r="L656" s="1" t="str">
        <f aca="false">IF(ISNUMBER(SEARCH("Bundle",C656)),"Bundles",IF(ISNUMBER(SEARCH("Airtime",C656)),"Bundles",IF(ISNUMBER(SEARCH("Merchant",C656)),"Merchant Payment",IF(ISNUMBER(SEARCH("Offnet C2B",C656)),"Merchant Payment",IF(ISNUMBER(SEARCH("Offnet B2C",C656)),"Merchant Payment",IF(ISNUMBER(SEARCH("Customer Payment to Small",C656)),"Merchant Payment",IF(ISNUMBER(SEARCH("Payment to Small Business",C656)),"Merchant Payment",IF(ISNUMBER(SEARCH("Sent to",C656)),"Sent to Person",IF(ISNUMBER(SEARCH("Customer Transfer to",C656)),"Sent to Person",IF(ISNUMBER(SEARCH("Business Payment",C656)),"Money In",IF(ISNUMBER(SEARCH("Funds Received",C656)),"Money In",IF(ISNUMBER(SEARCH("Receive International",C656)),"Money In",IF(ISNUMBER(SEARCH("Send Money Reversal",C656)),"Money In",IF(ISNUMBER(SEARCH("Pay Utility Reversal",C656)),"Money In",IF(ISNUMBER(SEARCH("Customer Transfer",C656)),"Money In",IF(ISNUMBER(SEARCH("Ziidi",C656)),"Investment",IF(ISNUMBER(SEARCH("Nabo",C656)),"Investment",IF(ISNUMBER(SEARCH("Paybill Online",C656)),"Pay Bill",IF(ISNUMBER(SEARCH("Pay Bill",C656)),"Pay Bill",IF(ISNUMBER(SEARCH("Spotify",C656)),"Pay Bill",IF(ISNUMBER(SEARCH("M-Shwari",C656)),"Mshwari",IF(ISNUMBER(SEARCH("Mshwari",C656)),"Mshwari",IF(ISNUMBER(SEARCH("Withdrawal charge",C656)),"Fees",IF(ISNUMBER(SEARCH("Customer Withdrawal",C656)),"Fees",IF(ISNUMBER(SEARCH("charge",C656)),"Fees","Other")))))))))))))))))))))))))</f>
        <v>Bundles</v>
      </c>
      <c r="R656" s="1" t="str">
        <f aca="false">TEXT(B656,"MMM YYYY")</f>
        <v>Apr 2026</v>
      </c>
    </row>
    <row r="657" customFormat="false" ht="13.8" hidden="false" customHeight="false" outlineLevel="0" collapsed="false">
      <c r="A657" s="4" t="s">
        <v>1385</v>
      </c>
      <c r="B657" s="4" t="s">
        <v>1386</v>
      </c>
      <c r="C657" s="4" t="s">
        <v>1387</v>
      </c>
      <c r="D657" s="4" t="s">
        <v>18</v>
      </c>
      <c r="E657" s="4"/>
      <c r="F657" s="4" t="n">
        <v>5</v>
      </c>
      <c r="G657" s="4" t="n">
        <v>436.78</v>
      </c>
      <c r="L657" s="1" t="str">
        <f aca="false">IF(ISNUMBER(SEARCH("Bundle",C657)),"Bundles",IF(ISNUMBER(SEARCH("Airtime",C657)),"Bundles",IF(ISNUMBER(SEARCH("Merchant",C657)),"Merchant Payment",IF(ISNUMBER(SEARCH("Offnet C2B",C657)),"Merchant Payment",IF(ISNUMBER(SEARCH("Offnet B2C",C657)),"Merchant Payment",IF(ISNUMBER(SEARCH("Customer Payment to Small",C657)),"Merchant Payment",IF(ISNUMBER(SEARCH("Payment to Small Business",C657)),"Merchant Payment",IF(ISNUMBER(SEARCH("Sent to",C657)),"Sent to Person",IF(ISNUMBER(SEARCH("Customer Transfer to",C657)),"Sent to Person",IF(ISNUMBER(SEARCH("Business Payment",C657)),"Money In",IF(ISNUMBER(SEARCH("Funds Received",C657)),"Money In",IF(ISNUMBER(SEARCH("Receive International",C657)),"Money In",IF(ISNUMBER(SEARCH("Send Money Reversal",C657)),"Money In",IF(ISNUMBER(SEARCH("Pay Utility Reversal",C657)),"Money In",IF(ISNUMBER(SEARCH("Customer Transfer",C657)),"Money In",IF(ISNUMBER(SEARCH("Ziidi",C657)),"Investment",IF(ISNUMBER(SEARCH("Nabo",C657)),"Investment",IF(ISNUMBER(SEARCH("Paybill Online",C657)),"Pay Bill",IF(ISNUMBER(SEARCH("Pay Bill",C657)),"Pay Bill",IF(ISNUMBER(SEARCH("Spotify",C657)),"Pay Bill",IF(ISNUMBER(SEARCH("M-Shwari",C657)),"Mshwari",IF(ISNUMBER(SEARCH("Mshwari",C657)),"Mshwari",IF(ISNUMBER(SEARCH("Withdrawal charge",C657)),"Fees",IF(ISNUMBER(SEARCH("Customer Withdrawal",C657)),"Fees",IF(ISNUMBER(SEARCH("charge",C657)),"Fees","Other")))))))))))))))))))))))))</f>
        <v>Sent to Person</v>
      </c>
      <c r="R657" s="1" t="str">
        <f aca="false">TEXT(B657,"MMM YYYY")</f>
        <v>Apr 2026</v>
      </c>
    </row>
    <row r="658" customFormat="false" ht="13.8" hidden="false" customHeight="false" outlineLevel="0" collapsed="false">
      <c r="A658" s="4" t="s">
        <v>1388</v>
      </c>
      <c r="B658" s="4" t="s">
        <v>1389</v>
      </c>
      <c r="C658" s="4" t="s">
        <v>675</v>
      </c>
      <c r="D658" s="4" t="s">
        <v>18</v>
      </c>
      <c r="E658" s="4"/>
      <c r="F658" s="4" t="n">
        <v>40</v>
      </c>
      <c r="G658" s="4" t="n">
        <v>396.78</v>
      </c>
      <c r="L658" s="1" t="str">
        <f aca="false">IF(ISNUMBER(SEARCH("Bundle",C658)),"Bundles",IF(ISNUMBER(SEARCH("Airtime",C658)),"Bundles",IF(ISNUMBER(SEARCH("Merchant",C658)),"Merchant Payment",IF(ISNUMBER(SEARCH("Offnet C2B",C658)),"Merchant Payment",IF(ISNUMBER(SEARCH("Offnet B2C",C658)),"Merchant Payment",IF(ISNUMBER(SEARCH("Customer Payment to Small",C658)),"Merchant Payment",IF(ISNUMBER(SEARCH("Payment to Small Business",C658)),"Merchant Payment",IF(ISNUMBER(SEARCH("Sent to",C658)),"Sent to Person",IF(ISNUMBER(SEARCH("Customer Transfer to",C658)),"Sent to Person",IF(ISNUMBER(SEARCH("Business Payment",C658)),"Money In",IF(ISNUMBER(SEARCH("Funds Received",C658)),"Money In",IF(ISNUMBER(SEARCH("Receive International",C658)),"Money In",IF(ISNUMBER(SEARCH("Send Money Reversal",C658)),"Money In",IF(ISNUMBER(SEARCH("Pay Utility Reversal",C658)),"Money In",IF(ISNUMBER(SEARCH("Customer Transfer",C658)),"Money In",IF(ISNUMBER(SEARCH("Ziidi",C658)),"Investment",IF(ISNUMBER(SEARCH("Nabo",C658)),"Investment",IF(ISNUMBER(SEARCH("Paybill Online",C658)),"Pay Bill",IF(ISNUMBER(SEARCH("Pay Bill",C658)),"Pay Bill",IF(ISNUMBER(SEARCH("Spotify",C658)),"Pay Bill",IF(ISNUMBER(SEARCH("M-Shwari",C658)),"Mshwari",IF(ISNUMBER(SEARCH("Mshwari",C658)),"Mshwari",IF(ISNUMBER(SEARCH("Withdrawal charge",C658)),"Fees",IF(ISNUMBER(SEARCH("Customer Withdrawal",C658)),"Fees",IF(ISNUMBER(SEARCH("charge",C658)),"Fees","Other")))))))))))))))))))))))))</f>
        <v>Merchant Payment</v>
      </c>
      <c r="R658" s="1" t="str">
        <f aca="false">TEXT(B658,"MMM YYYY")</f>
        <v>Apr 2026</v>
      </c>
    </row>
    <row r="659" customFormat="false" ht="13.8" hidden="false" customHeight="false" outlineLevel="0" collapsed="false">
      <c r="A659" s="4" t="s">
        <v>1390</v>
      </c>
      <c r="B659" s="4" t="s">
        <v>1391</v>
      </c>
      <c r="C659" s="4" t="s">
        <v>29</v>
      </c>
      <c r="D659" s="4" t="s">
        <v>18</v>
      </c>
      <c r="E659" s="4"/>
      <c r="F659" s="4" t="n">
        <v>10</v>
      </c>
      <c r="G659" s="4" t="n">
        <v>386.78</v>
      </c>
      <c r="L659" s="1" t="str">
        <f aca="false">IF(ISNUMBER(SEARCH("Bundle",C659)),"Bundles",IF(ISNUMBER(SEARCH("Airtime",C659)),"Bundles",IF(ISNUMBER(SEARCH("Merchant",C659)),"Merchant Payment",IF(ISNUMBER(SEARCH("Offnet C2B",C659)),"Merchant Payment",IF(ISNUMBER(SEARCH("Offnet B2C",C659)),"Merchant Payment",IF(ISNUMBER(SEARCH("Customer Payment to Small",C659)),"Merchant Payment",IF(ISNUMBER(SEARCH("Payment to Small Business",C659)),"Merchant Payment",IF(ISNUMBER(SEARCH("Sent to",C659)),"Sent to Person",IF(ISNUMBER(SEARCH("Customer Transfer to",C659)),"Sent to Person",IF(ISNUMBER(SEARCH("Business Payment",C659)),"Money In",IF(ISNUMBER(SEARCH("Funds Received",C659)),"Money In",IF(ISNUMBER(SEARCH("Receive International",C659)),"Money In",IF(ISNUMBER(SEARCH("Send Money Reversal",C659)),"Money In",IF(ISNUMBER(SEARCH("Pay Utility Reversal",C659)),"Money In",IF(ISNUMBER(SEARCH("Customer Transfer",C659)),"Money In",IF(ISNUMBER(SEARCH("Ziidi",C659)),"Investment",IF(ISNUMBER(SEARCH("Nabo",C659)),"Investment",IF(ISNUMBER(SEARCH("Paybill Online",C659)),"Pay Bill",IF(ISNUMBER(SEARCH("Pay Bill",C659)),"Pay Bill",IF(ISNUMBER(SEARCH("Spotify",C659)),"Pay Bill",IF(ISNUMBER(SEARCH("M-Shwari",C659)),"Mshwari",IF(ISNUMBER(SEARCH("Mshwari",C659)),"Mshwari",IF(ISNUMBER(SEARCH("Withdrawal charge",C659)),"Fees",IF(ISNUMBER(SEARCH("Customer Withdrawal",C659)),"Fees",IF(ISNUMBER(SEARCH("charge",C659)),"Fees","Other")))))))))))))))))))))))))</f>
        <v>Bundles</v>
      </c>
      <c r="R659" s="1" t="str">
        <f aca="false">TEXT(B659,"MMM YYYY")</f>
        <v>Apr 2026</v>
      </c>
    </row>
    <row r="660" customFormat="false" ht="13.8" hidden="false" customHeight="false" outlineLevel="0" collapsed="false">
      <c r="A660" s="4" t="s">
        <v>1392</v>
      </c>
      <c r="B660" s="4" t="s">
        <v>1393</v>
      </c>
      <c r="C660" s="4" t="s">
        <v>182</v>
      </c>
      <c r="D660" s="4" t="s">
        <v>18</v>
      </c>
      <c r="E660" s="4"/>
      <c r="F660" s="4" t="n">
        <v>5</v>
      </c>
      <c r="G660" s="4" t="n">
        <v>152.78</v>
      </c>
      <c r="L660" s="1" t="str">
        <f aca="false">IF(ISNUMBER(SEARCH("Bundle",C660)),"Bundles",IF(ISNUMBER(SEARCH("Airtime",C660)),"Bundles",IF(ISNUMBER(SEARCH("Merchant",C660)),"Merchant Payment",IF(ISNUMBER(SEARCH("Offnet C2B",C660)),"Merchant Payment",IF(ISNUMBER(SEARCH("Offnet B2C",C660)),"Merchant Payment",IF(ISNUMBER(SEARCH("Customer Payment to Small",C660)),"Merchant Payment",IF(ISNUMBER(SEARCH("Payment to Small Business",C660)),"Merchant Payment",IF(ISNUMBER(SEARCH("Sent to",C660)),"Sent to Person",IF(ISNUMBER(SEARCH("Customer Transfer to",C660)),"Sent to Person",IF(ISNUMBER(SEARCH("Business Payment",C660)),"Money In",IF(ISNUMBER(SEARCH("Funds Received",C660)),"Money In",IF(ISNUMBER(SEARCH("Receive International",C660)),"Money In",IF(ISNUMBER(SEARCH("Send Money Reversal",C660)),"Money In",IF(ISNUMBER(SEARCH("Pay Utility Reversal",C660)),"Money In",IF(ISNUMBER(SEARCH("Customer Transfer",C660)),"Money In",IF(ISNUMBER(SEARCH("Ziidi",C660)),"Investment",IF(ISNUMBER(SEARCH("Nabo",C660)),"Investment",IF(ISNUMBER(SEARCH("Paybill Online",C660)),"Pay Bill",IF(ISNUMBER(SEARCH("Pay Bill",C660)),"Pay Bill",IF(ISNUMBER(SEARCH("Spotify",C660)),"Pay Bill",IF(ISNUMBER(SEARCH("M-Shwari",C660)),"Mshwari",IF(ISNUMBER(SEARCH("Mshwari",C660)),"Mshwari",IF(ISNUMBER(SEARCH("Withdrawal charge",C660)),"Fees",IF(ISNUMBER(SEARCH("Customer Withdrawal",C660)),"Fees",IF(ISNUMBER(SEARCH("charge",C660)),"Fees","Other")))))))))))))))))))))))))</f>
        <v>Pay Bill</v>
      </c>
      <c r="R660" s="1" t="str">
        <f aca="false">TEXT(B660,"MMM YYYY")</f>
        <v>Apr 2026</v>
      </c>
    </row>
    <row r="661" customFormat="false" ht="13.8" hidden="false" customHeight="false" outlineLevel="0" collapsed="false">
      <c r="A661" s="4" t="s">
        <v>1392</v>
      </c>
      <c r="B661" s="4" t="s">
        <v>1393</v>
      </c>
      <c r="C661" s="4" t="s">
        <v>813</v>
      </c>
      <c r="D661" s="4" t="s">
        <v>18</v>
      </c>
      <c r="E661" s="4"/>
      <c r="F661" s="4" t="n">
        <v>229</v>
      </c>
      <c r="G661" s="4" t="n">
        <v>157.78</v>
      </c>
      <c r="L661" s="1" t="str">
        <f aca="false">IF(ISNUMBER(SEARCH("Bundle",C661)),"Bundles",IF(ISNUMBER(SEARCH("Airtime",C661)),"Bundles",IF(ISNUMBER(SEARCH("Merchant",C661)),"Merchant Payment",IF(ISNUMBER(SEARCH("Offnet C2B",C661)),"Merchant Payment",IF(ISNUMBER(SEARCH("Offnet B2C",C661)),"Merchant Payment",IF(ISNUMBER(SEARCH("Customer Payment to Small",C661)),"Merchant Payment",IF(ISNUMBER(SEARCH("Payment to Small Business",C661)),"Merchant Payment",IF(ISNUMBER(SEARCH("Sent to",C661)),"Sent to Person",IF(ISNUMBER(SEARCH("Customer Transfer to",C661)),"Sent to Person",IF(ISNUMBER(SEARCH("Business Payment",C661)),"Money In",IF(ISNUMBER(SEARCH("Funds Received",C661)),"Money In",IF(ISNUMBER(SEARCH("Receive International",C661)),"Money In",IF(ISNUMBER(SEARCH("Send Money Reversal",C661)),"Money In",IF(ISNUMBER(SEARCH("Pay Utility Reversal",C661)),"Money In",IF(ISNUMBER(SEARCH("Customer Transfer",C661)),"Money In",IF(ISNUMBER(SEARCH("Ziidi",C661)),"Investment",IF(ISNUMBER(SEARCH("Nabo",C661)),"Investment",IF(ISNUMBER(SEARCH("Paybill Online",C661)),"Pay Bill",IF(ISNUMBER(SEARCH("Pay Bill",C661)),"Pay Bill",IF(ISNUMBER(SEARCH("Spotify",C661)),"Pay Bill",IF(ISNUMBER(SEARCH("M-Shwari",C661)),"Mshwari",IF(ISNUMBER(SEARCH("Mshwari",C661)),"Mshwari",IF(ISNUMBER(SEARCH("Withdrawal charge",C661)),"Fees",IF(ISNUMBER(SEARCH("Customer Withdrawal",C661)),"Fees",IF(ISNUMBER(SEARCH("charge",C661)),"Fees","Other")))))))))))))))))))))))))</f>
        <v>Pay Bill</v>
      </c>
      <c r="R661" s="1" t="str">
        <f aca="false">TEXT(B661,"MMM YYYY")</f>
        <v>Apr 2026</v>
      </c>
    </row>
    <row r="662" customFormat="false" ht="13.8" hidden="false" customHeight="false" outlineLevel="0" collapsed="false">
      <c r="A662" s="4" t="s">
        <v>1394</v>
      </c>
      <c r="B662" s="4" t="s">
        <v>1395</v>
      </c>
      <c r="C662" s="4" t="s">
        <v>29</v>
      </c>
      <c r="D662" s="4" t="s">
        <v>18</v>
      </c>
      <c r="E662" s="4"/>
      <c r="F662" s="4" t="n">
        <v>10</v>
      </c>
      <c r="G662" s="4" t="n">
        <v>142.78</v>
      </c>
      <c r="L662" s="1" t="str">
        <f aca="false">IF(ISNUMBER(SEARCH("Bundle",C662)),"Bundles",IF(ISNUMBER(SEARCH("Airtime",C662)),"Bundles",IF(ISNUMBER(SEARCH("Merchant",C662)),"Merchant Payment",IF(ISNUMBER(SEARCH("Offnet C2B",C662)),"Merchant Payment",IF(ISNUMBER(SEARCH("Offnet B2C",C662)),"Merchant Payment",IF(ISNUMBER(SEARCH("Customer Payment to Small",C662)),"Merchant Payment",IF(ISNUMBER(SEARCH("Payment to Small Business",C662)),"Merchant Payment",IF(ISNUMBER(SEARCH("Sent to",C662)),"Sent to Person",IF(ISNUMBER(SEARCH("Customer Transfer to",C662)),"Sent to Person",IF(ISNUMBER(SEARCH("Business Payment",C662)),"Money In",IF(ISNUMBER(SEARCH("Funds Received",C662)),"Money In",IF(ISNUMBER(SEARCH("Receive International",C662)),"Money In",IF(ISNUMBER(SEARCH("Send Money Reversal",C662)),"Money In",IF(ISNUMBER(SEARCH("Pay Utility Reversal",C662)),"Money In",IF(ISNUMBER(SEARCH("Customer Transfer",C662)),"Money In",IF(ISNUMBER(SEARCH("Ziidi",C662)),"Investment",IF(ISNUMBER(SEARCH("Nabo",C662)),"Investment",IF(ISNUMBER(SEARCH("Paybill Online",C662)),"Pay Bill",IF(ISNUMBER(SEARCH("Pay Bill",C662)),"Pay Bill",IF(ISNUMBER(SEARCH("Spotify",C662)),"Pay Bill",IF(ISNUMBER(SEARCH("M-Shwari",C662)),"Mshwari",IF(ISNUMBER(SEARCH("Mshwari",C662)),"Mshwari",IF(ISNUMBER(SEARCH("Withdrawal charge",C662)),"Fees",IF(ISNUMBER(SEARCH("Customer Withdrawal",C662)),"Fees",IF(ISNUMBER(SEARCH("charge",C662)),"Fees","Other")))))))))))))))))))))))))</f>
        <v>Bundles</v>
      </c>
      <c r="R662" s="1" t="str">
        <f aca="false">TEXT(B662,"MMM YYYY")</f>
        <v>Apr 2026</v>
      </c>
    </row>
    <row r="663" customFormat="false" ht="13.8" hidden="false" customHeight="false" outlineLevel="0" collapsed="false">
      <c r="A663" s="4" t="s">
        <v>1396</v>
      </c>
      <c r="B663" s="4" t="s">
        <v>1397</v>
      </c>
      <c r="C663" s="4" t="s">
        <v>29</v>
      </c>
      <c r="D663" s="4" t="s">
        <v>18</v>
      </c>
      <c r="E663" s="4"/>
      <c r="F663" s="4" t="n">
        <v>10</v>
      </c>
      <c r="G663" s="4" t="n">
        <v>132.78</v>
      </c>
      <c r="L663" s="1" t="str">
        <f aca="false">IF(ISNUMBER(SEARCH("Bundle",C663)),"Bundles",IF(ISNUMBER(SEARCH("Airtime",C663)),"Bundles",IF(ISNUMBER(SEARCH("Merchant",C663)),"Merchant Payment",IF(ISNUMBER(SEARCH("Offnet C2B",C663)),"Merchant Payment",IF(ISNUMBER(SEARCH("Offnet B2C",C663)),"Merchant Payment",IF(ISNUMBER(SEARCH("Customer Payment to Small",C663)),"Merchant Payment",IF(ISNUMBER(SEARCH("Payment to Small Business",C663)),"Merchant Payment",IF(ISNUMBER(SEARCH("Sent to",C663)),"Sent to Person",IF(ISNUMBER(SEARCH("Customer Transfer to",C663)),"Sent to Person",IF(ISNUMBER(SEARCH("Business Payment",C663)),"Money In",IF(ISNUMBER(SEARCH("Funds Received",C663)),"Money In",IF(ISNUMBER(SEARCH("Receive International",C663)),"Money In",IF(ISNUMBER(SEARCH("Send Money Reversal",C663)),"Money In",IF(ISNUMBER(SEARCH("Pay Utility Reversal",C663)),"Money In",IF(ISNUMBER(SEARCH("Customer Transfer",C663)),"Money In",IF(ISNUMBER(SEARCH("Ziidi",C663)),"Investment",IF(ISNUMBER(SEARCH("Nabo",C663)),"Investment",IF(ISNUMBER(SEARCH("Paybill Online",C663)),"Pay Bill",IF(ISNUMBER(SEARCH("Pay Bill",C663)),"Pay Bill",IF(ISNUMBER(SEARCH("Spotify",C663)),"Pay Bill",IF(ISNUMBER(SEARCH("M-Shwari",C663)),"Mshwari",IF(ISNUMBER(SEARCH("Mshwari",C663)),"Mshwari",IF(ISNUMBER(SEARCH("Withdrawal charge",C663)),"Fees",IF(ISNUMBER(SEARCH("Customer Withdrawal",C663)),"Fees",IF(ISNUMBER(SEARCH("charge",C663)),"Fees","Other")))))))))))))))))))))))))</f>
        <v>Bundles</v>
      </c>
      <c r="R663" s="1" t="str">
        <f aca="false">TEXT(B663,"MMM YYYY")</f>
        <v>Apr 2026</v>
      </c>
    </row>
    <row r="664" customFormat="false" ht="13.8" hidden="false" customHeight="false" outlineLevel="0" collapsed="false">
      <c r="A664" s="4" t="s">
        <v>1398</v>
      </c>
      <c r="B664" s="4" t="s">
        <v>1399</v>
      </c>
      <c r="C664" s="4" t="s">
        <v>1152</v>
      </c>
      <c r="D664" s="4" t="s">
        <v>18</v>
      </c>
      <c r="E664" s="4" t="n">
        <v>2000</v>
      </c>
      <c r="F664" s="4"/>
      <c r="G664" s="4" t="n">
        <v>2132.78</v>
      </c>
      <c r="L664" s="1" t="str">
        <f aca="false">IF(ISNUMBER(SEARCH("Bundle",C664)),"Bundles",IF(ISNUMBER(SEARCH("Airtime",C664)),"Bundles",IF(ISNUMBER(SEARCH("Merchant",C664)),"Merchant Payment",IF(ISNUMBER(SEARCH("Offnet C2B",C664)),"Merchant Payment",IF(ISNUMBER(SEARCH("Offnet B2C",C664)),"Merchant Payment",IF(ISNUMBER(SEARCH("Customer Payment to Small",C664)),"Merchant Payment",IF(ISNUMBER(SEARCH("Payment to Small Business",C664)),"Merchant Payment",IF(ISNUMBER(SEARCH("Sent to",C664)),"Sent to Person",IF(ISNUMBER(SEARCH("Customer Transfer to",C664)),"Sent to Person",IF(ISNUMBER(SEARCH("Business Payment",C664)),"Money In",IF(ISNUMBER(SEARCH("Funds Received",C664)),"Money In",IF(ISNUMBER(SEARCH("Receive International",C664)),"Money In",IF(ISNUMBER(SEARCH("Send Money Reversal",C664)),"Money In",IF(ISNUMBER(SEARCH("Pay Utility Reversal",C664)),"Money In",IF(ISNUMBER(SEARCH("Customer Transfer",C664)),"Money In",IF(ISNUMBER(SEARCH("Ziidi",C664)),"Investment",IF(ISNUMBER(SEARCH("Nabo",C664)),"Investment",IF(ISNUMBER(SEARCH("Paybill Online",C664)),"Pay Bill",IF(ISNUMBER(SEARCH("Pay Bill",C664)),"Pay Bill",IF(ISNUMBER(SEARCH("Spotify",C664)),"Pay Bill",IF(ISNUMBER(SEARCH("M-Shwari",C664)),"Mshwari",IF(ISNUMBER(SEARCH("Mshwari",C664)),"Mshwari",IF(ISNUMBER(SEARCH("Withdrawal charge",C664)),"Fees",IF(ISNUMBER(SEARCH("Customer Withdrawal",C664)),"Fees",IF(ISNUMBER(SEARCH("charge",C664)),"Fees","Other")))))))))))))))))))))))))</f>
        <v>Money In</v>
      </c>
      <c r="R664" s="1" t="str">
        <f aca="false">TEXT(B664,"MMM YYYY")</f>
        <v>Apr 2026</v>
      </c>
    </row>
    <row r="665" customFormat="false" ht="13.8" hidden="false" customHeight="false" outlineLevel="0" collapsed="false">
      <c r="A665" s="4" t="s">
        <v>1400</v>
      </c>
      <c r="B665" s="4" t="s">
        <v>1401</v>
      </c>
      <c r="C665" s="4" t="s">
        <v>243</v>
      </c>
      <c r="D665" s="4" t="s">
        <v>18</v>
      </c>
      <c r="E665" s="4"/>
      <c r="F665" s="4" t="n">
        <v>70</v>
      </c>
      <c r="G665" s="4" t="n">
        <v>2062.78</v>
      </c>
      <c r="L665" s="1" t="str">
        <f aca="false">IF(ISNUMBER(SEARCH("Bundle",C665)),"Bundles",IF(ISNUMBER(SEARCH("Airtime",C665)),"Bundles",IF(ISNUMBER(SEARCH("Merchant",C665)),"Merchant Payment",IF(ISNUMBER(SEARCH("Offnet C2B",C665)),"Merchant Payment",IF(ISNUMBER(SEARCH("Offnet B2C",C665)),"Merchant Payment",IF(ISNUMBER(SEARCH("Customer Payment to Small",C665)),"Merchant Payment",IF(ISNUMBER(SEARCH("Payment to Small Business",C665)),"Merchant Payment",IF(ISNUMBER(SEARCH("Sent to",C665)),"Sent to Person",IF(ISNUMBER(SEARCH("Customer Transfer to",C665)),"Sent to Person",IF(ISNUMBER(SEARCH("Business Payment",C665)),"Money In",IF(ISNUMBER(SEARCH("Funds Received",C665)),"Money In",IF(ISNUMBER(SEARCH("Receive International",C665)),"Money In",IF(ISNUMBER(SEARCH("Send Money Reversal",C665)),"Money In",IF(ISNUMBER(SEARCH("Pay Utility Reversal",C665)),"Money In",IF(ISNUMBER(SEARCH("Customer Transfer",C665)),"Money In",IF(ISNUMBER(SEARCH("Ziidi",C665)),"Investment",IF(ISNUMBER(SEARCH("Nabo",C665)),"Investment",IF(ISNUMBER(SEARCH("Paybill Online",C665)),"Pay Bill",IF(ISNUMBER(SEARCH("Pay Bill",C665)),"Pay Bill",IF(ISNUMBER(SEARCH("Spotify",C665)),"Pay Bill",IF(ISNUMBER(SEARCH("M-Shwari",C665)),"Mshwari",IF(ISNUMBER(SEARCH("Mshwari",C665)),"Mshwari",IF(ISNUMBER(SEARCH("Withdrawal charge",C665)),"Fees",IF(ISNUMBER(SEARCH("Customer Withdrawal",C665)),"Fees",IF(ISNUMBER(SEARCH("charge",C665)),"Fees","Other")))))))))))))))))))))))))</f>
        <v>Merchant Payment</v>
      </c>
      <c r="R665" s="1" t="str">
        <f aca="false">TEXT(B665,"MMM YYYY")</f>
        <v>Apr 2026</v>
      </c>
    </row>
    <row r="666" customFormat="false" ht="13.8" hidden="false" customHeight="false" outlineLevel="0" collapsed="false">
      <c r="A666" s="4" t="s">
        <v>1402</v>
      </c>
      <c r="B666" s="4" t="s">
        <v>1403</v>
      </c>
      <c r="C666" s="4" t="s">
        <v>29</v>
      </c>
      <c r="D666" s="4" t="s">
        <v>18</v>
      </c>
      <c r="E666" s="4"/>
      <c r="F666" s="4" t="n">
        <v>10</v>
      </c>
      <c r="G666" s="4" t="n">
        <v>2052.78</v>
      </c>
      <c r="L666" s="1" t="str">
        <f aca="false">IF(ISNUMBER(SEARCH("Bundle",C666)),"Bundles",IF(ISNUMBER(SEARCH("Airtime",C666)),"Bundles",IF(ISNUMBER(SEARCH("Merchant",C666)),"Merchant Payment",IF(ISNUMBER(SEARCH("Offnet C2B",C666)),"Merchant Payment",IF(ISNUMBER(SEARCH("Offnet B2C",C666)),"Merchant Payment",IF(ISNUMBER(SEARCH("Customer Payment to Small",C666)),"Merchant Payment",IF(ISNUMBER(SEARCH("Payment to Small Business",C666)),"Merchant Payment",IF(ISNUMBER(SEARCH("Sent to",C666)),"Sent to Person",IF(ISNUMBER(SEARCH("Customer Transfer to",C666)),"Sent to Person",IF(ISNUMBER(SEARCH("Business Payment",C666)),"Money In",IF(ISNUMBER(SEARCH("Funds Received",C666)),"Money In",IF(ISNUMBER(SEARCH("Receive International",C666)),"Money In",IF(ISNUMBER(SEARCH("Send Money Reversal",C666)),"Money In",IF(ISNUMBER(SEARCH("Pay Utility Reversal",C666)),"Money In",IF(ISNUMBER(SEARCH("Customer Transfer",C666)),"Money In",IF(ISNUMBER(SEARCH("Ziidi",C666)),"Investment",IF(ISNUMBER(SEARCH("Nabo",C666)),"Investment",IF(ISNUMBER(SEARCH("Paybill Online",C666)),"Pay Bill",IF(ISNUMBER(SEARCH("Pay Bill",C666)),"Pay Bill",IF(ISNUMBER(SEARCH("Spotify",C666)),"Pay Bill",IF(ISNUMBER(SEARCH("M-Shwari",C666)),"Mshwari",IF(ISNUMBER(SEARCH("Mshwari",C666)),"Mshwari",IF(ISNUMBER(SEARCH("Withdrawal charge",C666)),"Fees",IF(ISNUMBER(SEARCH("Customer Withdrawal",C666)),"Fees",IF(ISNUMBER(SEARCH("charge",C666)),"Fees","Other")))))))))))))))))))))))))</f>
        <v>Bundles</v>
      </c>
      <c r="R666" s="1" t="str">
        <f aca="false">TEXT(B666,"MMM YYYY")</f>
        <v>Apr 2026</v>
      </c>
    </row>
    <row r="667" customFormat="false" ht="13.8" hidden="false" customHeight="false" outlineLevel="0" collapsed="false">
      <c r="A667" s="4" t="s">
        <v>1404</v>
      </c>
      <c r="B667" s="4" t="s">
        <v>1405</v>
      </c>
      <c r="C667" s="4" t="s">
        <v>1406</v>
      </c>
      <c r="D667" s="4" t="s">
        <v>18</v>
      </c>
      <c r="E667" s="4"/>
      <c r="F667" s="4" t="n">
        <v>50</v>
      </c>
      <c r="G667" s="4" t="n">
        <v>2002.78</v>
      </c>
      <c r="L667" s="1" t="str">
        <f aca="false">IF(ISNUMBER(SEARCH("Bundle",C667)),"Bundles",IF(ISNUMBER(SEARCH("Airtime",C667)),"Bundles",IF(ISNUMBER(SEARCH("Merchant",C667)),"Merchant Payment",IF(ISNUMBER(SEARCH("Offnet C2B",C667)),"Merchant Payment",IF(ISNUMBER(SEARCH("Offnet B2C",C667)),"Merchant Payment",IF(ISNUMBER(SEARCH("Customer Payment to Small",C667)),"Merchant Payment",IF(ISNUMBER(SEARCH("Payment to Small Business",C667)),"Merchant Payment",IF(ISNUMBER(SEARCH("Sent to",C667)),"Sent to Person",IF(ISNUMBER(SEARCH("Customer Transfer to",C667)),"Sent to Person",IF(ISNUMBER(SEARCH("Business Payment",C667)),"Money In",IF(ISNUMBER(SEARCH("Funds Received",C667)),"Money In",IF(ISNUMBER(SEARCH("Receive International",C667)),"Money In",IF(ISNUMBER(SEARCH("Send Money Reversal",C667)),"Money In",IF(ISNUMBER(SEARCH("Pay Utility Reversal",C667)),"Money In",IF(ISNUMBER(SEARCH("Customer Transfer",C667)),"Money In",IF(ISNUMBER(SEARCH("Ziidi",C667)),"Investment",IF(ISNUMBER(SEARCH("Nabo",C667)),"Investment",IF(ISNUMBER(SEARCH("Paybill Online",C667)),"Pay Bill",IF(ISNUMBER(SEARCH("Pay Bill",C667)),"Pay Bill",IF(ISNUMBER(SEARCH("Spotify",C667)),"Pay Bill",IF(ISNUMBER(SEARCH("M-Shwari",C667)),"Mshwari",IF(ISNUMBER(SEARCH("Mshwari",C667)),"Mshwari",IF(ISNUMBER(SEARCH("Withdrawal charge",C667)),"Fees",IF(ISNUMBER(SEARCH("Customer Withdrawal",C667)),"Fees",IF(ISNUMBER(SEARCH("charge",C667)),"Fees","Other")))))))))))))))))))))))))</f>
        <v>Sent to Person</v>
      </c>
      <c r="R667" s="1" t="str">
        <f aca="false">TEXT(B667,"MMM YYYY")</f>
        <v>Apr 2026</v>
      </c>
    </row>
    <row r="668" customFormat="false" ht="13.8" hidden="false" customHeight="false" outlineLevel="0" collapsed="false">
      <c r="A668" s="4" t="s">
        <v>1407</v>
      </c>
      <c r="B668" s="4" t="s">
        <v>1408</v>
      </c>
      <c r="C668" s="4" t="s">
        <v>1273</v>
      </c>
      <c r="D668" s="4" t="s">
        <v>18</v>
      </c>
      <c r="E668" s="4"/>
      <c r="F668" s="4" t="n">
        <v>100</v>
      </c>
      <c r="G668" s="4" t="n">
        <v>1902.78</v>
      </c>
      <c r="L668" s="1" t="str">
        <f aca="false">IF(ISNUMBER(SEARCH("Bundle",C668)),"Bundles",IF(ISNUMBER(SEARCH("Airtime",C668)),"Bundles",IF(ISNUMBER(SEARCH("Merchant",C668)),"Merchant Payment",IF(ISNUMBER(SEARCH("Offnet C2B",C668)),"Merchant Payment",IF(ISNUMBER(SEARCH("Offnet B2C",C668)),"Merchant Payment",IF(ISNUMBER(SEARCH("Customer Payment to Small",C668)),"Merchant Payment",IF(ISNUMBER(SEARCH("Payment to Small Business",C668)),"Merchant Payment",IF(ISNUMBER(SEARCH("Sent to",C668)),"Sent to Person",IF(ISNUMBER(SEARCH("Customer Transfer to",C668)),"Sent to Person",IF(ISNUMBER(SEARCH("Business Payment",C668)),"Money In",IF(ISNUMBER(SEARCH("Funds Received",C668)),"Money In",IF(ISNUMBER(SEARCH("Receive International",C668)),"Money In",IF(ISNUMBER(SEARCH("Send Money Reversal",C668)),"Money In",IF(ISNUMBER(SEARCH("Pay Utility Reversal",C668)),"Money In",IF(ISNUMBER(SEARCH("Customer Transfer",C668)),"Money In",IF(ISNUMBER(SEARCH("Ziidi",C668)),"Investment",IF(ISNUMBER(SEARCH("Nabo",C668)),"Investment",IF(ISNUMBER(SEARCH("Paybill Online",C668)),"Pay Bill",IF(ISNUMBER(SEARCH("Pay Bill",C668)),"Pay Bill",IF(ISNUMBER(SEARCH("Spotify",C668)),"Pay Bill",IF(ISNUMBER(SEARCH("M-Shwari",C668)),"Mshwari",IF(ISNUMBER(SEARCH("Mshwari",C668)),"Mshwari",IF(ISNUMBER(SEARCH("Withdrawal charge",C668)),"Fees",IF(ISNUMBER(SEARCH("Customer Withdrawal",C668)),"Fees",IF(ISNUMBER(SEARCH("charge",C668)),"Fees","Other")))))))))))))))))))))))))</f>
        <v>Merchant Payment</v>
      </c>
      <c r="R668" s="1" t="str">
        <f aca="false">TEXT(B668,"MMM YYYY")</f>
        <v>Apr 2026</v>
      </c>
    </row>
    <row r="669" customFormat="false" ht="13.8" hidden="false" customHeight="false" outlineLevel="0" collapsed="false">
      <c r="A669" s="4" t="s">
        <v>1409</v>
      </c>
      <c r="B669" s="4" t="s">
        <v>1410</v>
      </c>
      <c r="C669" s="4" t="s">
        <v>818</v>
      </c>
      <c r="D669" s="4" t="s">
        <v>18</v>
      </c>
      <c r="E669" s="4"/>
      <c r="F669" s="4" t="n">
        <v>110</v>
      </c>
      <c r="G669" s="4" t="n">
        <v>1792.78</v>
      </c>
      <c r="L669" s="1" t="str">
        <f aca="false">IF(ISNUMBER(SEARCH("Bundle",C669)),"Bundles",IF(ISNUMBER(SEARCH("Airtime",C669)),"Bundles",IF(ISNUMBER(SEARCH("Merchant",C669)),"Merchant Payment",IF(ISNUMBER(SEARCH("Offnet C2B",C669)),"Merchant Payment",IF(ISNUMBER(SEARCH("Offnet B2C",C669)),"Merchant Payment",IF(ISNUMBER(SEARCH("Customer Payment to Small",C669)),"Merchant Payment",IF(ISNUMBER(SEARCH("Payment to Small Business",C669)),"Merchant Payment",IF(ISNUMBER(SEARCH("Sent to",C669)),"Sent to Person",IF(ISNUMBER(SEARCH("Customer Transfer to",C669)),"Sent to Person",IF(ISNUMBER(SEARCH("Business Payment",C669)),"Money In",IF(ISNUMBER(SEARCH("Funds Received",C669)),"Money In",IF(ISNUMBER(SEARCH("Receive International",C669)),"Money In",IF(ISNUMBER(SEARCH("Send Money Reversal",C669)),"Money In",IF(ISNUMBER(SEARCH("Pay Utility Reversal",C669)),"Money In",IF(ISNUMBER(SEARCH("Customer Transfer",C669)),"Money In",IF(ISNUMBER(SEARCH("Ziidi",C669)),"Investment",IF(ISNUMBER(SEARCH("Nabo",C669)),"Investment",IF(ISNUMBER(SEARCH("Paybill Online",C669)),"Pay Bill",IF(ISNUMBER(SEARCH("Pay Bill",C669)),"Pay Bill",IF(ISNUMBER(SEARCH("Spotify",C669)),"Pay Bill",IF(ISNUMBER(SEARCH("M-Shwari",C669)),"Mshwari",IF(ISNUMBER(SEARCH("Mshwari",C669)),"Mshwari",IF(ISNUMBER(SEARCH("Withdrawal charge",C669)),"Fees",IF(ISNUMBER(SEARCH("Customer Withdrawal",C669)),"Fees",IF(ISNUMBER(SEARCH("charge",C669)),"Fees","Other")))))))))))))))))))))))))</f>
        <v>Merchant Payment</v>
      </c>
      <c r="R669" s="1" t="str">
        <f aca="false">TEXT(B669,"MMM YYYY")</f>
        <v>Apr 2026</v>
      </c>
    </row>
    <row r="670" customFormat="false" ht="13.8" hidden="false" customHeight="false" outlineLevel="0" collapsed="false">
      <c r="A670" s="4" t="s">
        <v>1411</v>
      </c>
      <c r="B670" s="4" t="s">
        <v>1412</v>
      </c>
      <c r="C670" s="4" t="s">
        <v>29</v>
      </c>
      <c r="D670" s="4" t="s">
        <v>18</v>
      </c>
      <c r="E670" s="4"/>
      <c r="F670" s="4" t="n">
        <v>20</v>
      </c>
      <c r="G670" s="4" t="n">
        <v>1772.78</v>
      </c>
      <c r="L670" s="1" t="str">
        <f aca="false">IF(ISNUMBER(SEARCH("Bundle",C670)),"Bundles",IF(ISNUMBER(SEARCH("Airtime",C670)),"Bundles",IF(ISNUMBER(SEARCH("Merchant",C670)),"Merchant Payment",IF(ISNUMBER(SEARCH("Offnet C2B",C670)),"Merchant Payment",IF(ISNUMBER(SEARCH("Offnet B2C",C670)),"Merchant Payment",IF(ISNUMBER(SEARCH("Customer Payment to Small",C670)),"Merchant Payment",IF(ISNUMBER(SEARCH("Payment to Small Business",C670)),"Merchant Payment",IF(ISNUMBER(SEARCH("Sent to",C670)),"Sent to Person",IF(ISNUMBER(SEARCH("Customer Transfer to",C670)),"Sent to Person",IF(ISNUMBER(SEARCH("Business Payment",C670)),"Money In",IF(ISNUMBER(SEARCH("Funds Received",C670)),"Money In",IF(ISNUMBER(SEARCH("Receive International",C670)),"Money In",IF(ISNUMBER(SEARCH("Send Money Reversal",C670)),"Money In",IF(ISNUMBER(SEARCH("Pay Utility Reversal",C670)),"Money In",IF(ISNUMBER(SEARCH("Customer Transfer",C670)),"Money In",IF(ISNUMBER(SEARCH("Ziidi",C670)),"Investment",IF(ISNUMBER(SEARCH("Nabo",C670)),"Investment",IF(ISNUMBER(SEARCH("Paybill Online",C670)),"Pay Bill",IF(ISNUMBER(SEARCH("Pay Bill",C670)),"Pay Bill",IF(ISNUMBER(SEARCH("Spotify",C670)),"Pay Bill",IF(ISNUMBER(SEARCH("M-Shwari",C670)),"Mshwari",IF(ISNUMBER(SEARCH("Mshwari",C670)),"Mshwari",IF(ISNUMBER(SEARCH("Withdrawal charge",C670)),"Fees",IF(ISNUMBER(SEARCH("Customer Withdrawal",C670)),"Fees",IF(ISNUMBER(SEARCH("charge",C670)),"Fees","Other")))))))))))))))))))))))))</f>
        <v>Bundles</v>
      </c>
      <c r="R670" s="1" t="str">
        <f aca="false">TEXT(B670,"MMM YYYY")</f>
        <v>Apr 2026</v>
      </c>
    </row>
    <row r="671" customFormat="false" ht="13.8" hidden="false" customHeight="false" outlineLevel="0" collapsed="false">
      <c r="A671" s="4" t="s">
        <v>1413</v>
      </c>
      <c r="B671" s="4" t="s">
        <v>1414</v>
      </c>
      <c r="C671" s="4" t="s">
        <v>29</v>
      </c>
      <c r="D671" s="4" t="s">
        <v>18</v>
      </c>
      <c r="E671" s="4"/>
      <c r="F671" s="4" t="n">
        <v>20</v>
      </c>
      <c r="G671" s="4" t="n">
        <v>1752.78</v>
      </c>
      <c r="L671" s="1" t="str">
        <f aca="false">IF(ISNUMBER(SEARCH("Bundle",C671)),"Bundles",IF(ISNUMBER(SEARCH("Airtime",C671)),"Bundles",IF(ISNUMBER(SEARCH("Merchant",C671)),"Merchant Payment",IF(ISNUMBER(SEARCH("Offnet C2B",C671)),"Merchant Payment",IF(ISNUMBER(SEARCH("Offnet B2C",C671)),"Merchant Payment",IF(ISNUMBER(SEARCH("Customer Payment to Small",C671)),"Merchant Payment",IF(ISNUMBER(SEARCH("Payment to Small Business",C671)),"Merchant Payment",IF(ISNUMBER(SEARCH("Sent to",C671)),"Sent to Person",IF(ISNUMBER(SEARCH("Customer Transfer to",C671)),"Sent to Person",IF(ISNUMBER(SEARCH("Business Payment",C671)),"Money In",IF(ISNUMBER(SEARCH("Funds Received",C671)),"Money In",IF(ISNUMBER(SEARCH("Receive International",C671)),"Money In",IF(ISNUMBER(SEARCH("Send Money Reversal",C671)),"Money In",IF(ISNUMBER(SEARCH("Pay Utility Reversal",C671)),"Money In",IF(ISNUMBER(SEARCH("Customer Transfer",C671)),"Money In",IF(ISNUMBER(SEARCH("Ziidi",C671)),"Investment",IF(ISNUMBER(SEARCH("Nabo",C671)),"Investment",IF(ISNUMBER(SEARCH("Paybill Online",C671)),"Pay Bill",IF(ISNUMBER(SEARCH("Pay Bill",C671)),"Pay Bill",IF(ISNUMBER(SEARCH("Spotify",C671)),"Pay Bill",IF(ISNUMBER(SEARCH("M-Shwari",C671)),"Mshwari",IF(ISNUMBER(SEARCH("Mshwari",C671)),"Mshwari",IF(ISNUMBER(SEARCH("Withdrawal charge",C671)),"Fees",IF(ISNUMBER(SEARCH("Customer Withdrawal",C671)),"Fees",IF(ISNUMBER(SEARCH("charge",C671)),"Fees","Other")))))))))))))))))))))))))</f>
        <v>Bundles</v>
      </c>
      <c r="R671" s="1" t="str">
        <f aca="false">TEXT(B671,"MMM YYYY")</f>
        <v>Apr 2026</v>
      </c>
    </row>
    <row r="672" customFormat="false" ht="13.8" hidden="false" customHeight="false" outlineLevel="0" collapsed="false">
      <c r="A672" s="4" t="s">
        <v>1415</v>
      </c>
      <c r="B672" s="4" t="s">
        <v>1416</v>
      </c>
      <c r="C672" s="4" t="s">
        <v>243</v>
      </c>
      <c r="D672" s="4" t="s">
        <v>18</v>
      </c>
      <c r="E672" s="4"/>
      <c r="F672" s="4" t="n">
        <v>70</v>
      </c>
      <c r="G672" s="4" t="n">
        <v>1682.78</v>
      </c>
      <c r="L672" s="1" t="str">
        <f aca="false">IF(ISNUMBER(SEARCH("Bundle",C672)),"Bundles",IF(ISNUMBER(SEARCH("Airtime",C672)),"Bundles",IF(ISNUMBER(SEARCH("Merchant",C672)),"Merchant Payment",IF(ISNUMBER(SEARCH("Offnet C2B",C672)),"Merchant Payment",IF(ISNUMBER(SEARCH("Offnet B2C",C672)),"Merchant Payment",IF(ISNUMBER(SEARCH("Customer Payment to Small",C672)),"Merchant Payment",IF(ISNUMBER(SEARCH("Payment to Small Business",C672)),"Merchant Payment",IF(ISNUMBER(SEARCH("Sent to",C672)),"Sent to Person",IF(ISNUMBER(SEARCH("Customer Transfer to",C672)),"Sent to Person",IF(ISNUMBER(SEARCH("Business Payment",C672)),"Money In",IF(ISNUMBER(SEARCH("Funds Received",C672)),"Money In",IF(ISNUMBER(SEARCH("Receive International",C672)),"Money In",IF(ISNUMBER(SEARCH("Send Money Reversal",C672)),"Money In",IF(ISNUMBER(SEARCH("Pay Utility Reversal",C672)),"Money In",IF(ISNUMBER(SEARCH("Customer Transfer",C672)),"Money In",IF(ISNUMBER(SEARCH("Ziidi",C672)),"Investment",IF(ISNUMBER(SEARCH("Nabo",C672)),"Investment",IF(ISNUMBER(SEARCH("Paybill Online",C672)),"Pay Bill",IF(ISNUMBER(SEARCH("Pay Bill",C672)),"Pay Bill",IF(ISNUMBER(SEARCH("Spotify",C672)),"Pay Bill",IF(ISNUMBER(SEARCH("M-Shwari",C672)),"Mshwari",IF(ISNUMBER(SEARCH("Mshwari",C672)),"Mshwari",IF(ISNUMBER(SEARCH("Withdrawal charge",C672)),"Fees",IF(ISNUMBER(SEARCH("Customer Withdrawal",C672)),"Fees",IF(ISNUMBER(SEARCH("charge",C672)),"Fees","Other")))))))))))))))))))))))))</f>
        <v>Merchant Payment</v>
      </c>
      <c r="R672" s="1" t="str">
        <f aca="false">TEXT(B672,"MMM YYYY")</f>
        <v>Apr 2026</v>
      </c>
    </row>
    <row r="673" customFormat="false" ht="13.8" hidden="false" customHeight="false" outlineLevel="0" collapsed="false">
      <c r="A673" s="4" t="s">
        <v>1417</v>
      </c>
      <c r="B673" s="4" t="s">
        <v>1418</v>
      </c>
      <c r="C673" s="4" t="s">
        <v>243</v>
      </c>
      <c r="D673" s="4" t="s">
        <v>18</v>
      </c>
      <c r="E673" s="4"/>
      <c r="F673" s="4" t="n">
        <v>70</v>
      </c>
      <c r="G673" s="4" t="n">
        <v>1612.78</v>
      </c>
      <c r="L673" s="1" t="str">
        <f aca="false">IF(ISNUMBER(SEARCH("Bundle",C673)),"Bundles",IF(ISNUMBER(SEARCH("Airtime",C673)),"Bundles",IF(ISNUMBER(SEARCH("Merchant",C673)),"Merchant Payment",IF(ISNUMBER(SEARCH("Offnet C2B",C673)),"Merchant Payment",IF(ISNUMBER(SEARCH("Offnet B2C",C673)),"Merchant Payment",IF(ISNUMBER(SEARCH("Customer Payment to Small",C673)),"Merchant Payment",IF(ISNUMBER(SEARCH("Payment to Small Business",C673)),"Merchant Payment",IF(ISNUMBER(SEARCH("Sent to",C673)),"Sent to Person",IF(ISNUMBER(SEARCH("Customer Transfer to",C673)),"Sent to Person",IF(ISNUMBER(SEARCH("Business Payment",C673)),"Money In",IF(ISNUMBER(SEARCH("Funds Received",C673)),"Money In",IF(ISNUMBER(SEARCH("Receive International",C673)),"Money In",IF(ISNUMBER(SEARCH("Send Money Reversal",C673)),"Money In",IF(ISNUMBER(SEARCH("Pay Utility Reversal",C673)),"Money In",IF(ISNUMBER(SEARCH("Customer Transfer",C673)),"Money In",IF(ISNUMBER(SEARCH("Ziidi",C673)),"Investment",IF(ISNUMBER(SEARCH("Nabo",C673)),"Investment",IF(ISNUMBER(SEARCH("Paybill Online",C673)),"Pay Bill",IF(ISNUMBER(SEARCH("Pay Bill",C673)),"Pay Bill",IF(ISNUMBER(SEARCH("Spotify",C673)),"Pay Bill",IF(ISNUMBER(SEARCH("M-Shwari",C673)),"Mshwari",IF(ISNUMBER(SEARCH("Mshwari",C673)),"Mshwari",IF(ISNUMBER(SEARCH("Withdrawal charge",C673)),"Fees",IF(ISNUMBER(SEARCH("Customer Withdrawal",C673)),"Fees",IF(ISNUMBER(SEARCH("charge",C673)),"Fees","Other")))))))))))))))))))))))))</f>
        <v>Merchant Payment</v>
      </c>
      <c r="R673" s="1" t="str">
        <f aca="false">TEXT(B673,"MMM YYYY")</f>
        <v>Apr 2026</v>
      </c>
    </row>
    <row r="674" customFormat="false" ht="13.8" hidden="false" customHeight="false" outlineLevel="0" collapsed="false">
      <c r="A674" s="4" t="s">
        <v>1419</v>
      </c>
      <c r="B674" s="4" t="s">
        <v>1420</v>
      </c>
      <c r="C674" s="4" t="s">
        <v>618</v>
      </c>
      <c r="D674" s="4" t="s">
        <v>18</v>
      </c>
      <c r="E674" s="4" t="n">
        <v>3000</v>
      </c>
      <c r="F674" s="4"/>
      <c r="G674" s="4" t="n">
        <v>4612.78</v>
      </c>
      <c r="L674" s="1" t="str">
        <f aca="false">IF(ISNUMBER(SEARCH("Bundle",C674)),"Bundles",IF(ISNUMBER(SEARCH("Airtime",C674)),"Bundles",IF(ISNUMBER(SEARCH("Merchant",C674)),"Merchant Payment",IF(ISNUMBER(SEARCH("Offnet C2B",C674)),"Merchant Payment",IF(ISNUMBER(SEARCH("Offnet B2C",C674)),"Merchant Payment",IF(ISNUMBER(SEARCH("Customer Payment to Small",C674)),"Merchant Payment",IF(ISNUMBER(SEARCH("Payment to Small Business",C674)),"Merchant Payment",IF(ISNUMBER(SEARCH("Sent to",C674)),"Sent to Person",IF(ISNUMBER(SEARCH("Customer Transfer to",C674)),"Sent to Person",IF(ISNUMBER(SEARCH("Business Payment",C674)),"Money In",IF(ISNUMBER(SEARCH("Funds Received",C674)),"Money In",IF(ISNUMBER(SEARCH("Receive International",C674)),"Money In",IF(ISNUMBER(SEARCH("Send Money Reversal",C674)),"Money In",IF(ISNUMBER(SEARCH("Pay Utility Reversal",C674)),"Money In",IF(ISNUMBER(SEARCH("Customer Transfer",C674)),"Money In",IF(ISNUMBER(SEARCH("Ziidi",C674)),"Investment",IF(ISNUMBER(SEARCH("Nabo",C674)),"Investment",IF(ISNUMBER(SEARCH("Paybill Online",C674)),"Pay Bill",IF(ISNUMBER(SEARCH("Pay Bill",C674)),"Pay Bill",IF(ISNUMBER(SEARCH("Spotify",C674)),"Pay Bill",IF(ISNUMBER(SEARCH("M-Shwari",C674)),"Mshwari",IF(ISNUMBER(SEARCH("Mshwari",C674)),"Mshwari",IF(ISNUMBER(SEARCH("Withdrawal charge",C674)),"Fees",IF(ISNUMBER(SEARCH("Customer Withdrawal",C674)),"Fees",IF(ISNUMBER(SEARCH("charge",C674)),"Fees","Other")))))))))))))))))))))))))</f>
        <v>Money In</v>
      </c>
      <c r="R674" s="1" t="str">
        <f aca="false">TEXT(B674,"MMM YYYY")</f>
        <v>Apr 2026</v>
      </c>
    </row>
    <row r="675" customFormat="false" ht="13.8" hidden="false" customHeight="false" outlineLevel="0" collapsed="false">
      <c r="A675" s="4" t="s">
        <v>1421</v>
      </c>
      <c r="B675" s="4" t="s">
        <v>1422</v>
      </c>
      <c r="C675" s="4" t="s">
        <v>1010</v>
      </c>
      <c r="D675" s="4" t="s">
        <v>18</v>
      </c>
      <c r="E675" s="4"/>
      <c r="F675" s="4" t="n">
        <v>50</v>
      </c>
      <c r="G675" s="4" t="n">
        <v>4562.78</v>
      </c>
      <c r="L675" s="1" t="str">
        <f aca="false">IF(ISNUMBER(SEARCH("Bundle",C675)),"Bundles",IF(ISNUMBER(SEARCH("Airtime",C675)),"Bundles",IF(ISNUMBER(SEARCH("Merchant",C675)),"Merchant Payment",IF(ISNUMBER(SEARCH("Offnet C2B",C675)),"Merchant Payment",IF(ISNUMBER(SEARCH("Offnet B2C",C675)),"Merchant Payment",IF(ISNUMBER(SEARCH("Customer Payment to Small",C675)),"Merchant Payment",IF(ISNUMBER(SEARCH("Payment to Small Business",C675)),"Merchant Payment",IF(ISNUMBER(SEARCH("Sent to",C675)),"Sent to Person",IF(ISNUMBER(SEARCH("Customer Transfer to",C675)),"Sent to Person",IF(ISNUMBER(SEARCH("Business Payment",C675)),"Money In",IF(ISNUMBER(SEARCH("Funds Received",C675)),"Money In",IF(ISNUMBER(SEARCH("Receive International",C675)),"Money In",IF(ISNUMBER(SEARCH("Send Money Reversal",C675)),"Money In",IF(ISNUMBER(SEARCH("Pay Utility Reversal",C675)),"Money In",IF(ISNUMBER(SEARCH("Customer Transfer",C675)),"Money In",IF(ISNUMBER(SEARCH("Ziidi",C675)),"Investment",IF(ISNUMBER(SEARCH("Nabo",C675)),"Investment",IF(ISNUMBER(SEARCH("Paybill Online",C675)),"Pay Bill",IF(ISNUMBER(SEARCH("Pay Bill",C675)),"Pay Bill",IF(ISNUMBER(SEARCH("Spotify",C675)),"Pay Bill",IF(ISNUMBER(SEARCH("M-Shwari",C675)),"Mshwari",IF(ISNUMBER(SEARCH("Mshwari",C675)),"Mshwari",IF(ISNUMBER(SEARCH("Withdrawal charge",C675)),"Fees",IF(ISNUMBER(SEARCH("Customer Withdrawal",C675)),"Fees",IF(ISNUMBER(SEARCH("charge",C675)),"Fees","Other")))))))))))))))))))))))))</f>
        <v>Merchant Payment</v>
      </c>
      <c r="R675" s="1" t="str">
        <f aca="false">TEXT(B675,"MMM YYYY")</f>
        <v>Apr 2026</v>
      </c>
    </row>
    <row r="676" customFormat="false" ht="13.8" hidden="false" customHeight="false" outlineLevel="0" collapsed="false">
      <c r="A676" s="4" t="s">
        <v>1423</v>
      </c>
      <c r="B676" s="4" t="s">
        <v>1424</v>
      </c>
      <c r="C676" s="4" t="s">
        <v>239</v>
      </c>
      <c r="D676" s="4" t="s">
        <v>18</v>
      </c>
      <c r="E676" s="4"/>
      <c r="F676" s="4" t="n">
        <v>7</v>
      </c>
      <c r="G676" s="4" t="n">
        <v>4355.78</v>
      </c>
      <c r="L676" s="1" t="str">
        <f aca="false">IF(ISNUMBER(SEARCH("Bundle",C676)),"Bundles",IF(ISNUMBER(SEARCH("Airtime",C676)),"Bundles",IF(ISNUMBER(SEARCH("Merchant",C676)),"Merchant Payment",IF(ISNUMBER(SEARCH("Offnet C2B",C676)),"Merchant Payment",IF(ISNUMBER(SEARCH("Offnet B2C",C676)),"Merchant Payment",IF(ISNUMBER(SEARCH("Customer Payment to Small",C676)),"Merchant Payment",IF(ISNUMBER(SEARCH("Payment to Small Business",C676)),"Merchant Payment",IF(ISNUMBER(SEARCH("Sent to",C676)),"Sent to Person",IF(ISNUMBER(SEARCH("Customer Transfer to",C676)),"Sent to Person",IF(ISNUMBER(SEARCH("Business Payment",C676)),"Money In",IF(ISNUMBER(SEARCH("Funds Received",C676)),"Money In",IF(ISNUMBER(SEARCH("Receive International",C676)),"Money In",IF(ISNUMBER(SEARCH("Send Money Reversal",C676)),"Money In",IF(ISNUMBER(SEARCH("Pay Utility Reversal",C676)),"Money In",IF(ISNUMBER(SEARCH("Customer Transfer",C676)),"Money In",IF(ISNUMBER(SEARCH("Ziidi",C676)),"Investment",IF(ISNUMBER(SEARCH("Nabo",C676)),"Investment",IF(ISNUMBER(SEARCH("Paybill Online",C676)),"Pay Bill",IF(ISNUMBER(SEARCH("Pay Bill",C676)),"Pay Bill",IF(ISNUMBER(SEARCH("Spotify",C676)),"Pay Bill",IF(ISNUMBER(SEARCH("M-Shwari",C676)),"Mshwari",IF(ISNUMBER(SEARCH("Mshwari",C676)),"Mshwari",IF(ISNUMBER(SEARCH("Withdrawal charge",C676)),"Fees",IF(ISNUMBER(SEARCH("Customer Withdrawal",C676)),"Fees",IF(ISNUMBER(SEARCH("charge",C676)),"Fees","Other")))))))))))))))))))))))))</f>
        <v>Money In</v>
      </c>
      <c r="R676" s="1" t="str">
        <f aca="false">TEXT(B676,"MMM YYYY")</f>
        <v>Apr 2026</v>
      </c>
    </row>
    <row r="677" customFormat="false" ht="13.8" hidden="false" customHeight="false" outlineLevel="0" collapsed="false">
      <c r="A677" s="4" t="s">
        <v>1423</v>
      </c>
      <c r="B677" s="4" t="s">
        <v>1424</v>
      </c>
      <c r="C677" s="4" t="s">
        <v>1086</v>
      </c>
      <c r="D677" s="4" t="s">
        <v>18</v>
      </c>
      <c r="E677" s="4"/>
      <c r="F677" s="4" t="n">
        <v>200</v>
      </c>
      <c r="G677" s="4" t="n">
        <v>4362.78</v>
      </c>
      <c r="L677" s="1" t="str">
        <f aca="false">IF(ISNUMBER(SEARCH("Bundle",C677)),"Bundles",IF(ISNUMBER(SEARCH("Airtime",C677)),"Bundles",IF(ISNUMBER(SEARCH("Merchant",C677)),"Merchant Payment",IF(ISNUMBER(SEARCH("Offnet C2B",C677)),"Merchant Payment",IF(ISNUMBER(SEARCH("Offnet B2C",C677)),"Merchant Payment",IF(ISNUMBER(SEARCH("Customer Payment to Small",C677)),"Merchant Payment",IF(ISNUMBER(SEARCH("Payment to Small Business",C677)),"Merchant Payment",IF(ISNUMBER(SEARCH("Sent to",C677)),"Sent to Person",IF(ISNUMBER(SEARCH("Customer Transfer to",C677)),"Sent to Person",IF(ISNUMBER(SEARCH("Business Payment",C677)),"Money In",IF(ISNUMBER(SEARCH("Funds Received",C677)),"Money In",IF(ISNUMBER(SEARCH("Receive International",C677)),"Money In",IF(ISNUMBER(SEARCH("Send Money Reversal",C677)),"Money In",IF(ISNUMBER(SEARCH("Pay Utility Reversal",C677)),"Money In",IF(ISNUMBER(SEARCH("Customer Transfer",C677)),"Money In",IF(ISNUMBER(SEARCH("Ziidi",C677)),"Investment",IF(ISNUMBER(SEARCH("Nabo",C677)),"Investment",IF(ISNUMBER(SEARCH("Paybill Online",C677)),"Pay Bill",IF(ISNUMBER(SEARCH("Pay Bill",C677)),"Pay Bill",IF(ISNUMBER(SEARCH("Spotify",C677)),"Pay Bill",IF(ISNUMBER(SEARCH("M-Shwari",C677)),"Mshwari",IF(ISNUMBER(SEARCH("Mshwari",C677)),"Mshwari",IF(ISNUMBER(SEARCH("Withdrawal charge",C677)),"Fees",IF(ISNUMBER(SEARCH("Customer Withdrawal",C677)),"Fees",IF(ISNUMBER(SEARCH("charge",C677)),"Fees","Other")))))))))))))))))))))))))</f>
        <v>Sent to Person</v>
      </c>
      <c r="R677" s="1" t="str">
        <f aca="false">TEXT(B677,"MMM YYYY")</f>
        <v>Apr 2026</v>
      </c>
    </row>
    <row r="678" customFormat="false" ht="13.8" hidden="false" customHeight="false" outlineLevel="0" collapsed="false">
      <c r="A678" s="4" t="s">
        <v>1425</v>
      </c>
      <c r="B678" s="4" t="s">
        <v>1426</v>
      </c>
      <c r="C678" s="4" t="s">
        <v>1073</v>
      </c>
      <c r="D678" s="4" t="s">
        <v>18</v>
      </c>
      <c r="E678" s="4"/>
      <c r="F678" s="4" t="n">
        <v>40</v>
      </c>
      <c r="G678" s="4" t="n">
        <v>4315.78</v>
      </c>
      <c r="L678" s="1" t="str">
        <f aca="false">IF(ISNUMBER(SEARCH("Bundle",C678)),"Bundles",IF(ISNUMBER(SEARCH("Airtime",C678)),"Bundles",IF(ISNUMBER(SEARCH("Merchant",C678)),"Merchant Payment",IF(ISNUMBER(SEARCH("Offnet C2B",C678)),"Merchant Payment",IF(ISNUMBER(SEARCH("Offnet B2C",C678)),"Merchant Payment",IF(ISNUMBER(SEARCH("Customer Payment to Small",C678)),"Merchant Payment",IF(ISNUMBER(SEARCH("Payment to Small Business",C678)),"Merchant Payment",IF(ISNUMBER(SEARCH("Sent to",C678)),"Sent to Person",IF(ISNUMBER(SEARCH("Customer Transfer to",C678)),"Sent to Person",IF(ISNUMBER(SEARCH("Business Payment",C678)),"Money In",IF(ISNUMBER(SEARCH("Funds Received",C678)),"Money In",IF(ISNUMBER(SEARCH("Receive International",C678)),"Money In",IF(ISNUMBER(SEARCH("Send Money Reversal",C678)),"Money In",IF(ISNUMBER(SEARCH("Pay Utility Reversal",C678)),"Money In",IF(ISNUMBER(SEARCH("Customer Transfer",C678)),"Money In",IF(ISNUMBER(SEARCH("Ziidi",C678)),"Investment",IF(ISNUMBER(SEARCH("Nabo",C678)),"Investment",IF(ISNUMBER(SEARCH("Paybill Online",C678)),"Pay Bill",IF(ISNUMBER(SEARCH("Pay Bill",C678)),"Pay Bill",IF(ISNUMBER(SEARCH("Spotify",C678)),"Pay Bill",IF(ISNUMBER(SEARCH("M-Shwari",C678)),"Mshwari",IF(ISNUMBER(SEARCH("Mshwari",C678)),"Mshwari",IF(ISNUMBER(SEARCH("Withdrawal charge",C678)),"Fees",IF(ISNUMBER(SEARCH("Customer Withdrawal",C678)),"Fees",IF(ISNUMBER(SEARCH("charge",C678)),"Fees","Other")))))))))))))))))))))))))</f>
        <v>Merchant Payment</v>
      </c>
      <c r="R678" s="1" t="str">
        <f aca="false">TEXT(B678,"MMM YYYY")</f>
        <v>Apr 2026</v>
      </c>
    </row>
    <row r="679" customFormat="false" ht="13.8" hidden="false" customHeight="false" outlineLevel="0" collapsed="false">
      <c r="A679" s="4" t="s">
        <v>1427</v>
      </c>
      <c r="B679" s="4" t="s">
        <v>1428</v>
      </c>
      <c r="C679" s="4" t="s">
        <v>29</v>
      </c>
      <c r="D679" s="4" t="s">
        <v>18</v>
      </c>
      <c r="E679" s="4"/>
      <c r="F679" s="4" t="n">
        <v>20</v>
      </c>
      <c r="G679" s="4" t="n">
        <v>4295.78</v>
      </c>
      <c r="L679" s="1" t="str">
        <f aca="false">IF(ISNUMBER(SEARCH("Bundle",C679)),"Bundles",IF(ISNUMBER(SEARCH("Airtime",C679)),"Bundles",IF(ISNUMBER(SEARCH("Merchant",C679)),"Merchant Payment",IF(ISNUMBER(SEARCH("Offnet C2B",C679)),"Merchant Payment",IF(ISNUMBER(SEARCH("Offnet B2C",C679)),"Merchant Payment",IF(ISNUMBER(SEARCH("Customer Payment to Small",C679)),"Merchant Payment",IF(ISNUMBER(SEARCH("Payment to Small Business",C679)),"Merchant Payment",IF(ISNUMBER(SEARCH("Sent to",C679)),"Sent to Person",IF(ISNUMBER(SEARCH("Customer Transfer to",C679)),"Sent to Person",IF(ISNUMBER(SEARCH("Business Payment",C679)),"Money In",IF(ISNUMBER(SEARCH("Funds Received",C679)),"Money In",IF(ISNUMBER(SEARCH("Receive International",C679)),"Money In",IF(ISNUMBER(SEARCH("Send Money Reversal",C679)),"Money In",IF(ISNUMBER(SEARCH("Pay Utility Reversal",C679)),"Money In",IF(ISNUMBER(SEARCH("Customer Transfer",C679)),"Money In",IF(ISNUMBER(SEARCH("Ziidi",C679)),"Investment",IF(ISNUMBER(SEARCH("Nabo",C679)),"Investment",IF(ISNUMBER(SEARCH("Paybill Online",C679)),"Pay Bill",IF(ISNUMBER(SEARCH("Pay Bill",C679)),"Pay Bill",IF(ISNUMBER(SEARCH("Spotify",C679)),"Pay Bill",IF(ISNUMBER(SEARCH("M-Shwari",C679)),"Mshwari",IF(ISNUMBER(SEARCH("Mshwari",C679)),"Mshwari",IF(ISNUMBER(SEARCH("Withdrawal charge",C679)),"Fees",IF(ISNUMBER(SEARCH("Customer Withdrawal",C679)),"Fees",IF(ISNUMBER(SEARCH("charge",C679)),"Fees","Other")))))))))))))))))))))))))</f>
        <v>Bundles</v>
      </c>
      <c r="R679" s="1" t="str">
        <f aca="false">TEXT(B679,"MMM YYYY")</f>
        <v>Apr 2026</v>
      </c>
    </row>
    <row r="680" customFormat="false" ht="13.8" hidden="false" customHeight="false" outlineLevel="0" collapsed="false">
      <c r="A680" s="4" t="s">
        <v>1429</v>
      </c>
      <c r="B680" s="4" t="s">
        <v>1430</v>
      </c>
      <c r="C680" s="4" t="s">
        <v>29</v>
      </c>
      <c r="D680" s="4" t="s">
        <v>18</v>
      </c>
      <c r="E680" s="4"/>
      <c r="F680" s="4" t="n">
        <v>20</v>
      </c>
      <c r="G680" s="4" t="n">
        <v>4275.78</v>
      </c>
      <c r="L680" s="1" t="str">
        <f aca="false">IF(ISNUMBER(SEARCH("Bundle",C680)),"Bundles",IF(ISNUMBER(SEARCH("Airtime",C680)),"Bundles",IF(ISNUMBER(SEARCH("Merchant",C680)),"Merchant Payment",IF(ISNUMBER(SEARCH("Offnet C2B",C680)),"Merchant Payment",IF(ISNUMBER(SEARCH("Offnet B2C",C680)),"Merchant Payment",IF(ISNUMBER(SEARCH("Customer Payment to Small",C680)),"Merchant Payment",IF(ISNUMBER(SEARCH("Payment to Small Business",C680)),"Merchant Payment",IF(ISNUMBER(SEARCH("Sent to",C680)),"Sent to Person",IF(ISNUMBER(SEARCH("Customer Transfer to",C680)),"Sent to Person",IF(ISNUMBER(SEARCH("Business Payment",C680)),"Money In",IF(ISNUMBER(SEARCH("Funds Received",C680)),"Money In",IF(ISNUMBER(SEARCH("Receive International",C680)),"Money In",IF(ISNUMBER(SEARCH("Send Money Reversal",C680)),"Money In",IF(ISNUMBER(SEARCH("Pay Utility Reversal",C680)),"Money In",IF(ISNUMBER(SEARCH("Customer Transfer",C680)),"Money In",IF(ISNUMBER(SEARCH("Ziidi",C680)),"Investment",IF(ISNUMBER(SEARCH("Nabo",C680)),"Investment",IF(ISNUMBER(SEARCH("Paybill Online",C680)),"Pay Bill",IF(ISNUMBER(SEARCH("Pay Bill",C680)),"Pay Bill",IF(ISNUMBER(SEARCH("Spotify",C680)),"Pay Bill",IF(ISNUMBER(SEARCH("M-Shwari",C680)),"Mshwari",IF(ISNUMBER(SEARCH("Mshwari",C680)),"Mshwari",IF(ISNUMBER(SEARCH("Withdrawal charge",C680)),"Fees",IF(ISNUMBER(SEARCH("Customer Withdrawal",C680)),"Fees",IF(ISNUMBER(SEARCH("charge",C680)),"Fees","Other")))))))))))))))))))))))))</f>
        <v>Bundles</v>
      </c>
      <c r="R680" s="1" t="str">
        <f aca="false">TEXT(B680,"MMM YYYY")</f>
        <v>Apr 2026</v>
      </c>
    </row>
    <row r="681" customFormat="false" ht="13.8" hidden="false" customHeight="false" outlineLevel="0" collapsed="false">
      <c r="A681" s="4" t="s">
        <v>1431</v>
      </c>
      <c r="B681" s="4" t="s">
        <v>1432</v>
      </c>
      <c r="C681" s="4" t="s">
        <v>591</v>
      </c>
      <c r="D681" s="4" t="s">
        <v>18</v>
      </c>
      <c r="E681" s="4"/>
      <c r="F681" s="4" t="n">
        <v>240</v>
      </c>
      <c r="G681" s="4" t="n">
        <v>4035.78</v>
      </c>
      <c r="L681" s="1" t="str">
        <f aca="false">IF(ISNUMBER(SEARCH("Bundle",C681)),"Bundles",IF(ISNUMBER(SEARCH("Airtime",C681)),"Bundles",IF(ISNUMBER(SEARCH("Merchant",C681)),"Merchant Payment",IF(ISNUMBER(SEARCH("Offnet C2B",C681)),"Merchant Payment",IF(ISNUMBER(SEARCH("Offnet B2C",C681)),"Merchant Payment",IF(ISNUMBER(SEARCH("Customer Payment to Small",C681)),"Merchant Payment",IF(ISNUMBER(SEARCH("Payment to Small Business",C681)),"Merchant Payment",IF(ISNUMBER(SEARCH("Sent to",C681)),"Sent to Person",IF(ISNUMBER(SEARCH("Customer Transfer to",C681)),"Sent to Person",IF(ISNUMBER(SEARCH("Business Payment",C681)),"Money In",IF(ISNUMBER(SEARCH("Funds Received",C681)),"Money In",IF(ISNUMBER(SEARCH("Receive International",C681)),"Money In",IF(ISNUMBER(SEARCH("Send Money Reversal",C681)),"Money In",IF(ISNUMBER(SEARCH("Pay Utility Reversal",C681)),"Money In",IF(ISNUMBER(SEARCH("Customer Transfer",C681)),"Money In",IF(ISNUMBER(SEARCH("Ziidi",C681)),"Investment",IF(ISNUMBER(SEARCH("Nabo",C681)),"Investment",IF(ISNUMBER(SEARCH("Paybill Online",C681)),"Pay Bill",IF(ISNUMBER(SEARCH("Pay Bill",C681)),"Pay Bill",IF(ISNUMBER(SEARCH("Spotify",C681)),"Pay Bill",IF(ISNUMBER(SEARCH("M-Shwari",C681)),"Mshwari",IF(ISNUMBER(SEARCH("Mshwari",C681)),"Mshwari",IF(ISNUMBER(SEARCH("Withdrawal charge",C681)),"Fees",IF(ISNUMBER(SEARCH("Customer Withdrawal",C681)),"Fees",IF(ISNUMBER(SEARCH("charge",C681)),"Fees","Other")))))))))))))))))))))))))</f>
        <v>Merchant Payment</v>
      </c>
      <c r="R681" s="1" t="str">
        <f aca="false">TEXT(B681,"MMM YYYY")</f>
        <v>Apr 2026</v>
      </c>
    </row>
    <row r="682" customFormat="false" ht="13.8" hidden="false" customHeight="false" outlineLevel="0" collapsed="false">
      <c r="A682" s="4" t="s">
        <v>1433</v>
      </c>
      <c r="B682" s="4" t="s">
        <v>1434</v>
      </c>
      <c r="C682" s="4" t="s">
        <v>239</v>
      </c>
      <c r="D682" s="4" t="s">
        <v>18</v>
      </c>
      <c r="E682" s="4"/>
      <c r="F682" s="4" t="n">
        <v>13</v>
      </c>
      <c r="G682" s="4" t="n">
        <v>3022.78</v>
      </c>
      <c r="L682" s="1" t="str">
        <f aca="false">IF(ISNUMBER(SEARCH("Bundle",C682)),"Bundles",IF(ISNUMBER(SEARCH("Airtime",C682)),"Bundles",IF(ISNUMBER(SEARCH("Merchant",C682)),"Merchant Payment",IF(ISNUMBER(SEARCH("Offnet C2B",C682)),"Merchant Payment",IF(ISNUMBER(SEARCH("Offnet B2C",C682)),"Merchant Payment",IF(ISNUMBER(SEARCH("Customer Payment to Small",C682)),"Merchant Payment",IF(ISNUMBER(SEARCH("Payment to Small Business",C682)),"Merchant Payment",IF(ISNUMBER(SEARCH("Sent to",C682)),"Sent to Person",IF(ISNUMBER(SEARCH("Customer Transfer to",C682)),"Sent to Person",IF(ISNUMBER(SEARCH("Business Payment",C682)),"Money In",IF(ISNUMBER(SEARCH("Funds Received",C682)),"Money In",IF(ISNUMBER(SEARCH("Receive International",C682)),"Money In",IF(ISNUMBER(SEARCH("Send Money Reversal",C682)),"Money In",IF(ISNUMBER(SEARCH("Pay Utility Reversal",C682)),"Money In",IF(ISNUMBER(SEARCH("Customer Transfer",C682)),"Money In",IF(ISNUMBER(SEARCH("Ziidi",C682)),"Investment",IF(ISNUMBER(SEARCH("Nabo",C682)),"Investment",IF(ISNUMBER(SEARCH("Paybill Online",C682)),"Pay Bill",IF(ISNUMBER(SEARCH("Pay Bill",C682)),"Pay Bill",IF(ISNUMBER(SEARCH("Spotify",C682)),"Pay Bill",IF(ISNUMBER(SEARCH("M-Shwari",C682)),"Mshwari",IF(ISNUMBER(SEARCH("Mshwari",C682)),"Mshwari",IF(ISNUMBER(SEARCH("Withdrawal charge",C682)),"Fees",IF(ISNUMBER(SEARCH("Customer Withdrawal",C682)),"Fees",IF(ISNUMBER(SEARCH("charge",C682)),"Fees","Other")))))))))))))))))))))))))</f>
        <v>Money In</v>
      </c>
      <c r="R682" s="1" t="str">
        <f aca="false">TEXT(B682,"MMM YYYY")</f>
        <v>Apr 2026</v>
      </c>
    </row>
    <row r="683" customFormat="false" ht="13.8" hidden="false" customHeight="false" outlineLevel="0" collapsed="false">
      <c r="A683" s="4" t="s">
        <v>1433</v>
      </c>
      <c r="B683" s="4" t="s">
        <v>1434</v>
      </c>
      <c r="C683" s="4" t="s">
        <v>323</v>
      </c>
      <c r="D683" s="4" t="s">
        <v>18</v>
      </c>
      <c r="E683" s="4"/>
      <c r="F683" s="4" t="n">
        <v>1000</v>
      </c>
      <c r="G683" s="4" t="n">
        <v>3035.78</v>
      </c>
      <c r="L683" s="1" t="str">
        <f aca="false">IF(ISNUMBER(SEARCH("Bundle",C683)),"Bundles",IF(ISNUMBER(SEARCH("Airtime",C683)),"Bundles",IF(ISNUMBER(SEARCH("Merchant",C683)),"Merchant Payment",IF(ISNUMBER(SEARCH("Offnet C2B",C683)),"Merchant Payment",IF(ISNUMBER(SEARCH("Offnet B2C",C683)),"Merchant Payment",IF(ISNUMBER(SEARCH("Customer Payment to Small",C683)),"Merchant Payment",IF(ISNUMBER(SEARCH("Payment to Small Business",C683)),"Merchant Payment",IF(ISNUMBER(SEARCH("Sent to",C683)),"Sent to Person",IF(ISNUMBER(SEARCH("Customer Transfer to",C683)),"Sent to Person",IF(ISNUMBER(SEARCH("Business Payment",C683)),"Money In",IF(ISNUMBER(SEARCH("Funds Received",C683)),"Money In",IF(ISNUMBER(SEARCH("Receive International",C683)),"Money In",IF(ISNUMBER(SEARCH("Send Money Reversal",C683)),"Money In",IF(ISNUMBER(SEARCH("Pay Utility Reversal",C683)),"Money In",IF(ISNUMBER(SEARCH("Customer Transfer",C683)),"Money In",IF(ISNUMBER(SEARCH("Ziidi",C683)),"Investment",IF(ISNUMBER(SEARCH("Nabo",C683)),"Investment",IF(ISNUMBER(SEARCH("Paybill Online",C683)),"Pay Bill",IF(ISNUMBER(SEARCH("Pay Bill",C683)),"Pay Bill",IF(ISNUMBER(SEARCH("Spotify",C683)),"Pay Bill",IF(ISNUMBER(SEARCH("M-Shwari",C683)),"Mshwari",IF(ISNUMBER(SEARCH("Mshwari",C683)),"Mshwari",IF(ISNUMBER(SEARCH("Withdrawal charge",C683)),"Fees",IF(ISNUMBER(SEARCH("Customer Withdrawal",C683)),"Fees",IF(ISNUMBER(SEARCH("charge",C683)),"Fees","Other")))))))))))))))))))))))))</f>
        <v>Sent to Person</v>
      </c>
      <c r="R683" s="1" t="str">
        <f aca="false">TEXT(B683,"MMM YYYY")</f>
        <v>Apr 2026</v>
      </c>
    </row>
    <row r="684" customFormat="false" ht="13.8" hidden="false" customHeight="false" outlineLevel="0" collapsed="false">
      <c r="A684" s="4" t="s">
        <v>1435</v>
      </c>
      <c r="B684" s="4" t="s">
        <v>1436</v>
      </c>
      <c r="C684" s="4" t="s">
        <v>29</v>
      </c>
      <c r="D684" s="4" t="s">
        <v>18</v>
      </c>
      <c r="E684" s="4"/>
      <c r="F684" s="4" t="n">
        <v>20</v>
      </c>
      <c r="G684" s="4" t="n">
        <v>3002.78</v>
      </c>
      <c r="L684" s="1" t="str">
        <f aca="false">IF(ISNUMBER(SEARCH("Bundle",C684)),"Bundles",IF(ISNUMBER(SEARCH("Airtime",C684)),"Bundles",IF(ISNUMBER(SEARCH("Merchant",C684)),"Merchant Payment",IF(ISNUMBER(SEARCH("Offnet C2B",C684)),"Merchant Payment",IF(ISNUMBER(SEARCH("Offnet B2C",C684)),"Merchant Payment",IF(ISNUMBER(SEARCH("Customer Payment to Small",C684)),"Merchant Payment",IF(ISNUMBER(SEARCH("Payment to Small Business",C684)),"Merchant Payment",IF(ISNUMBER(SEARCH("Sent to",C684)),"Sent to Person",IF(ISNUMBER(SEARCH("Customer Transfer to",C684)),"Sent to Person",IF(ISNUMBER(SEARCH("Business Payment",C684)),"Money In",IF(ISNUMBER(SEARCH("Funds Received",C684)),"Money In",IF(ISNUMBER(SEARCH("Receive International",C684)),"Money In",IF(ISNUMBER(SEARCH("Send Money Reversal",C684)),"Money In",IF(ISNUMBER(SEARCH("Pay Utility Reversal",C684)),"Money In",IF(ISNUMBER(SEARCH("Customer Transfer",C684)),"Money In",IF(ISNUMBER(SEARCH("Ziidi",C684)),"Investment",IF(ISNUMBER(SEARCH("Nabo",C684)),"Investment",IF(ISNUMBER(SEARCH("Paybill Online",C684)),"Pay Bill",IF(ISNUMBER(SEARCH("Pay Bill",C684)),"Pay Bill",IF(ISNUMBER(SEARCH("Spotify",C684)),"Pay Bill",IF(ISNUMBER(SEARCH("M-Shwari",C684)),"Mshwari",IF(ISNUMBER(SEARCH("Mshwari",C684)),"Mshwari",IF(ISNUMBER(SEARCH("Withdrawal charge",C684)),"Fees",IF(ISNUMBER(SEARCH("Customer Withdrawal",C684)),"Fees",IF(ISNUMBER(SEARCH("charge",C684)),"Fees","Other")))))))))))))))))))))))))</f>
        <v>Bundles</v>
      </c>
      <c r="R684" s="1" t="str">
        <f aca="false">TEXT(B684,"MMM YYYY")</f>
        <v>Apr 2026</v>
      </c>
    </row>
    <row r="685" customFormat="false" ht="13.8" hidden="false" customHeight="false" outlineLevel="0" collapsed="false">
      <c r="A685" s="4" t="s">
        <v>1437</v>
      </c>
      <c r="B685" s="4" t="s">
        <v>1438</v>
      </c>
      <c r="C685" s="4" t="s">
        <v>17</v>
      </c>
      <c r="D685" s="4" t="s">
        <v>18</v>
      </c>
      <c r="E685" s="4"/>
      <c r="F685" s="4" t="n">
        <v>20</v>
      </c>
      <c r="G685" s="4" t="n">
        <v>2982.78</v>
      </c>
      <c r="L685" s="1" t="str">
        <f aca="false">IF(ISNUMBER(SEARCH("Bundle",C685)),"Bundles",IF(ISNUMBER(SEARCH("Airtime",C685)),"Bundles",IF(ISNUMBER(SEARCH("Merchant",C685)),"Merchant Payment",IF(ISNUMBER(SEARCH("Offnet C2B",C685)),"Merchant Payment",IF(ISNUMBER(SEARCH("Offnet B2C",C685)),"Merchant Payment",IF(ISNUMBER(SEARCH("Customer Payment to Small",C685)),"Merchant Payment",IF(ISNUMBER(SEARCH("Payment to Small Business",C685)),"Merchant Payment",IF(ISNUMBER(SEARCH("Sent to",C685)),"Sent to Person",IF(ISNUMBER(SEARCH("Customer Transfer to",C685)),"Sent to Person",IF(ISNUMBER(SEARCH("Business Payment",C685)),"Money In",IF(ISNUMBER(SEARCH("Funds Received",C685)),"Money In",IF(ISNUMBER(SEARCH("Receive International",C685)),"Money In",IF(ISNUMBER(SEARCH("Send Money Reversal",C685)),"Money In",IF(ISNUMBER(SEARCH("Pay Utility Reversal",C685)),"Money In",IF(ISNUMBER(SEARCH("Customer Transfer",C685)),"Money In",IF(ISNUMBER(SEARCH("Ziidi",C685)),"Investment",IF(ISNUMBER(SEARCH("Nabo",C685)),"Investment",IF(ISNUMBER(SEARCH("Paybill Online",C685)),"Pay Bill",IF(ISNUMBER(SEARCH("Pay Bill",C685)),"Pay Bill",IF(ISNUMBER(SEARCH("Spotify",C685)),"Pay Bill",IF(ISNUMBER(SEARCH("M-Shwari",C685)),"Mshwari",IF(ISNUMBER(SEARCH("Mshwari",C685)),"Mshwari",IF(ISNUMBER(SEARCH("Withdrawal charge",C685)),"Fees",IF(ISNUMBER(SEARCH("Customer Withdrawal",C685)),"Fees",IF(ISNUMBER(SEARCH("charge",C685)),"Fees","Other")))))))))))))))))))))))))</f>
        <v>Bundles</v>
      </c>
      <c r="R685" s="1" t="str">
        <f aca="false">TEXT(B685,"MMM YYYY")</f>
        <v>Apr 2026</v>
      </c>
    </row>
    <row r="686" customFormat="false" ht="13.8" hidden="false" customHeight="false" outlineLevel="0" collapsed="false">
      <c r="A686" s="4" t="s">
        <v>1439</v>
      </c>
      <c r="B686" s="4" t="s">
        <v>1440</v>
      </c>
      <c r="C686" s="4" t="s">
        <v>1441</v>
      </c>
      <c r="D686" s="4" t="s">
        <v>18</v>
      </c>
      <c r="E686" s="4" t="n">
        <v>1500</v>
      </c>
      <c r="F686" s="4"/>
      <c r="G686" s="4" t="n">
        <v>4482.78</v>
      </c>
      <c r="L686" s="1" t="str">
        <f aca="false">IF(ISNUMBER(SEARCH("Bundle",C686)),"Bundles",IF(ISNUMBER(SEARCH("Airtime",C686)),"Bundles",IF(ISNUMBER(SEARCH("Merchant",C686)),"Merchant Payment",IF(ISNUMBER(SEARCH("Offnet C2B",C686)),"Merchant Payment",IF(ISNUMBER(SEARCH("Offnet B2C",C686)),"Merchant Payment",IF(ISNUMBER(SEARCH("Customer Payment to Small",C686)),"Merchant Payment",IF(ISNUMBER(SEARCH("Payment to Small Business",C686)),"Merchant Payment",IF(ISNUMBER(SEARCH("Sent to",C686)),"Sent to Person",IF(ISNUMBER(SEARCH("Customer Transfer to",C686)),"Sent to Person",IF(ISNUMBER(SEARCH("Business Payment",C686)),"Money In",IF(ISNUMBER(SEARCH("Funds Received",C686)),"Money In",IF(ISNUMBER(SEARCH("Receive International",C686)),"Money In",IF(ISNUMBER(SEARCH("Send Money Reversal",C686)),"Money In",IF(ISNUMBER(SEARCH("Pay Utility Reversal",C686)),"Money In",IF(ISNUMBER(SEARCH("Customer Transfer",C686)),"Money In",IF(ISNUMBER(SEARCH("Ziidi",C686)),"Investment",IF(ISNUMBER(SEARCH("Nabo",C686)),"Investment",IF(ISNUMBER(SEARCH("Paybill Online",C686)),"Pay Bill",IF(ISNUMBER(SEARCH("Pay Bill",C686)),"Pay Bill",IF(ISNUMBER(SEARCH("Spotify",C686)),"Pay Bill",IF(ISNUMBER(SEARCH("M-Shwari",C686)),"Mshwari",IF(ISNUMBER(SEARCH("Mshwari",C686)),"Mshwari",IF(ISNUMBER(SEARCH("Withdrawal charge",C686)),"Fees",IF(ISNUMBER(SEARCH("Customer Withdrawal",C686)),"Fees",IF(ISNUMBER(SEARCH("charge",C686)),"Fees","Other")))))))))))))))))))))))))</f>
        <v>Money In</v>
      </c>
      <c r="R686" s="1" t="str">
        <f aca="false">TEXT(B686,"MMM YYYY")</f>
        <v>Apr 2026</v>
      </c>
    </row>
    <row r="687" customFormat="false" ht="13.8" hidden="false" customHeight="false" outlineLevel="0" collapsed="false">
      <c r="A687" s="4" t="s">
        <v>1442</v>
      </c>
      <c r="B687" s="4" t="s">
        <v>1443</v>
      </c>
      <c r="C687" s="4" t="s">
        <v>1444</v>
      </c>
      <c r="D687" s="4" t="s">
        <v>18</v>
      </c>
      <c r="E687" s="4"/>
      <c r="F687" s="4" t="n">
        <v>25</v>
      </c>
      <c r="G687" s="4" t="n">
        <v>4457.78</v>
      </c>
      <c r="L687" s="1" t="str">
        <f aca="false">IF(ISNUMBER(SEARCH("Bundle",C687)),"Bundles",IF(ISNUMBER(SEARCH("Airtime",C687)),"Bundles",IF(ISNUMBER(SEARCH("Merchant",C687)),"Merchant Payment",IF(ISNUMBER(SEARCH("Offnet C2B",C687)),"Merchant Payment",IF(ISNUMBER(SEARCH("Offnet B2C",C687)),"Merchant Payment",IF(ISNUMBER(SEARCH("Customer Payment to Small",C687)),"Merchant Payment",IF(ISNUMBER(SEARCH("Payment to Small Business",C687)),"Merchant Payment",IF(ISNUMBER(SEARCH("Sent to",C687)),"Sent to Person",IF(ISNUMBER(SEARCH("Customer Transfer to",C687)),"Sent to Person",IF(ISNUMBER(SEARCH("Business Payment",C687)),"Money In",IF(ISNUMBER(SEARCH("Funds Received",C687)),"Money In",IF(ISNUMBER(SEARCH("Receive International",C687)),"Money In",IF(ISNUMBER(SEARCH("Send Money Reversal",C687)),"Money In",IF(ISNUMBER(SEARCH("Pay Utility Reversal",C687)),"Money In",IF(ISNUMBER(SEARCH("Customer Transfer",C687)),"Money In",IF(ISNUMBER(SEARCH("Ziidi",C687)),"Investment",IF(ISNUMBER(SEARCH("Nabo",C687)),"Investment",IF(ISNUMBER(SEARCH("Paybill Online",C687)),"Pay Bill",IF(ISNUMBER(SEARCH("Pay Bill",C687)),"Pay Bill",IF(ISNUMBER(SEARCH("Spotify",C687)),"Pay Bill",IF(ISNUMBER(SEARCH("M-Shwari",C687)),"Mshwari",IF(ISNUMBER(SEARCH("Mshwari",C687)),"Mshwari",IF(ISNUMBER(SEARCH("Withdrawal charge",C687)),"Fees",IF(ISNUMBER(SEARCH("Customer Withdrawal",C687)),"Fees",IF(ISNUMBER(SEARCH("charge",C687)),"Fees","Other")))))))))))))))))))))))))</f>
        <v>Pay Bill</v>
      </c>
      <c r="R687" s="1" t="str">
        <f aca="false">TEXT(B687,"MMM YYYY")</f>
        <v>Apr 2026</v>
      </c>
    </row>
    <row r="688" customFormat="false" ht="13.8" hidden="false" customHeight="false" outlineLevel="0" collapsed="false">
      <c r="A688" s="4" t="s">
        <v>1445</v>
      </c>
      <c r="B688" s="4" t="s">
        <v>1446</v>
      </c>
      <c r="C688" s="4" t="s">
        <v>621</v>
      </c>
      <c r="D688" s="4" t="s">
        <v>18</v>
      </c>
      <c r="E688" s="4"/>
      <c r="F688" s="4" t="n">
        <v>4000</v>
      </c>
      <c r="G688" s="4" t="n">
        <v>457.78</v>
      </c>
      <c r="L688" s="1" t="str">
        <f aca="false">IF(ISNUMBER(SEARCH("Bundle",C688)),"Bundles",IF(ISNUMBER(SEARCH("Airtime",C688)),"Bundles",IF(ISNUMBER(SEARCH("Merchant",C688)),"Merchant Payment",IF(ISNUMBER(SEARCH("Offnet C2B",C688)),"Merchant Payment",IF(ISNUMBER(SEARCH("Offnet B2C",C688)),"Merchant Payment",IF(ISNUMBER(SEARCH("Customer Payment to Small",C688)),"Merchant Payment",IF(ISNUMBER(SEARCH("Payment to Small Business",C688)),"Merchant Payment",IF(ISNUMBER(SEARCH("Sent to",C688)),"Sent to Person",IF(ISNUMBER(SEARCH("Customer Transfer to",C688)),"Sent to Person",IF(ISNUMBER(SEARCH("Business Payment",C688)),"Money In",IF(ISNUMBER(SEARCH("Funds Received",C688)),"Money In",IF(ISNUMBER(SEARCH("Receive International",C688)),"Money In",IF(ISNUMBER(SEARCH("Send Money Reversal",C688)),"Money In",IF(ISNUMBER(SEARCH("Pay Utility Reversal",C688)),"Money In",IF(ISNUMBER(SEARCH("Customer Transfer",C688)),"Money In",IF(ISNUMBER(SEARCH("Ziidi",C688)),"Investment",IF(ISNUMBER(SEARCH("Nabo",C688)),"Investment",IF(ISNUMBER(SEARCH("Paybill Online",C688)),"Pay Bill",IF(ISNUMBER(SEARCH("Pay Bill",C688)),"Pay Bill",IF(ISNUMBER(SEARCH("Spotify",C688)),"Pay Bill",IF(ISNUMBER(SEARCH("M-Shwari",C688)),"Mshwari",IF(ISNUMBER(SEARCH("Mshwari",C688)),"Mshwari",IF(ISNUMBER(SEARCH("Withdrawal charge",C688)),"Fees",IF(ISNUMBER(SEARCH("Customer Withdrawal",C688)),"Fees",IF(ISNUMBER(SEARCH("charge",C688)),"Fees","Other")))))))))))))))))))))))))</f>
        <v>Mshwari</v>
      </c>
      <c r="R688" s="1" t="str">
        <f aca="false">TEXT(B688,"MMM YYYY")</f>
        <v>Apr 2026</v>
      </c>
    </row>
    <row r="689" customFormat="false" ht="13.8" hidden="false" customHeight="false" outlineLevel="0" collapsed="false">
      <c r="A689" s="4" t="s">
        <v>1447</v>
      </c>
      <c r="B689" s="4" t="s">
        <v>1448</v>
      </c>
      <c r="C689" s="4" t="s">
        <v>29</v>
      </c>
      <c r="D689" s="4" t="s">
        <v>18</v>
      </c>
      <c r="E689" s="4"/>
      <c r="F689" s="4" t="n">
        <v>20</v>
      </c>
      <c r="G689" s="4" t="n">
        <v>437.78</v>
      </c>
      <c r="L689" s="1" t="str">
        <f aca="false">IF(ISNUMBER(SEARCH("Bundle",C689)),"Bundles",IF(ISNUMBER(SEARCH("Airtime",C689)),"Bundles",IF(ISNUMBER(SEARCH("Merchant",C689)),"Merchant Payment",IF(ISNUMBER(SEARCH("Offnet C2B",C689)),"Merchant Payment",IF(ISNUMBER(SEARCH("Offnet B2C",C689)),"Merchant Payment",IF(ISNUMBER(SEARCH("Customer Payment to Small",C689)),"Merchant Payment",IF(ISNUMBER(SEARCH("Payment to Small Business",C689)),"Merchant Payment",IF(ISNUMBER(SEARCH("Sent to",C689)),"Sent to Person",IF(ISNUMBER(SEARCH("Customer Transfer to",C689)),"Sent to Person",IF(ISNUMBER(SEARCH("Business Payment",C689)),"Money In",IF(ISNUMBER(SEARCH("Funds Received",C689)),"Money In",IF(ISNUMBER(SEARCH("Receive International",C689)),"Money In",IF(ISNUMBER(SEARCH("Send Money Reversal",C689)),"Money In",IF(ISNUMBER(SEARCH("Pay Utility Reversal",C689)),"Money In",IF(ISNUMBER(SEARCH("Customer Transfer",C689)),"Money In",IF(ISNUMBER(SEARCH("Ziidi",C689)),"Investment",IF(ISNUMBER(SEARCH("Nabo",C689)),"Investment",IF(ISNUMBER(SEARCH("Paybill Online",C689)),"Pay Bill",IF(ISNUMBER(SEARCH("Pay Bill",C689)),"Pay Bill",IF(ISNUMBER(SEARCH("Spotify",C689)),"Pay Bill",IF(ISNUMBER(SEARCH("M-Shwari",C689)),"Mshwari",IF(ISNUMBER(SEARCH("Mshwari",C689)),"Mshwari",IF(ISNUMBER(SEARCH("Withdrawal charge",C689)),"Fees",IF(ISNUMBER(SEARCH("Customer Withdrawal",C689)),"Fees",IF(ISNUMBER(SEARCH("charge",C689)),"Fees","Other")))))))))))))))))))))))))</f>
        <v>Bundles</v>
      </c>
      <c r="R689" s="1" t="str">
        <f aca="false">TEXT(B689,"MMM YYYY")</f>
        <v>Apr 2026</v>
      </c>
    </row>
    <row r="690" customFormat="false" ht="13.8" hidden="false" customHeight="false" outlineLevel="0" collapsed="false">
      <c r="A690" s="4" t="s">
        <v>1449</v>
      </c>
      <c r="B690" s="4" t="s">
        <v>1450</v>
      </c>
      <c r="C690" s="4" t="s">
        <v>1451</v>
      </c>
      <c r="D690" s="4" t="s">
        <v>18</v>
      </c>
      <c r="E690" s="4" t="n">
        <v>500</v>
      </c>
      <c r="F690" s="4"/>
      <c r="G690" s="4" t="n">
        <v>937.78</v>
      </c>
      <c r="L690" s="1" t="str">
        <f aca="false">IF(ISNUMBER(SEARCH("Bundle",C690)),"Bundles",IF(ISNUMBER(SEARCH("Airtime",C690)),"Bundles",IF(ISNUMBER(SEARCH("Merchant",C690)),"Merchant Payment",IF(ISNUMBER(SEARCH("Offnet C2B",C690)),"Merchant Payment",IF(ISNUMBER(SEARCH("Offnet B2C",C690)),"Merchant Payment",IF(ISNUMBER(SEARCH("Customer Payment to Small",C690)),"Merchant Payment",IF(ISNUMBER(SEARCH("Payment to Small Business",C690)),"Merchant Payment",IF(ISNUMBER(SEARCH("Sent to",C690)),"Sent to Person",IF(ISNUMBER(SEARCH("Customer Transfer to",C690)),"Sent to Person",IF(ISNUMBER(SEARCH("Business Payment",C690)),"Money In",IF(ISNUMBER(SEARCH("Funds Received",C690)),"Money In",IF(ISNUMBER(SEARCH("Receive International",C690)),"Money In",IF(ISNUMBER(SEARCH("Send Money Reversal",C690)),"Money In",IF(ISNUMBER(SEARCH("Pay Utility Reversal",C690)),"Money In",IF(ISNUMBER(SEARCH("Customer Transfer",C690)),"Money In",IF(ISNUMBER(SEARCH("Ziidi",C690)),"Investment",IF(ISNUMBER(SEARCH("Nabo",C690)),"Investment",IF(ISNUMBER(SEARCH("Paybill Online",C690)),"Pay Bill",IF(ISNUMBER(SEARCH("Pay Bill",C690)),"Pay Bill",IF(ISNUMBER(SEARCH("Spotify",C690)),"Pay Bill",IF(ISNUMBER(SEARCH("M-Shwari",C690)),"Mshwari",IF(ISNUMBER(SEARCH("Mshwari",C690)),"Mshwari",IF(ISNUMBER(SEARCH("Withdrawal charge",C690)),"Fees",IF(ISNUMBER(SEARCH("Customer Withdrawal",C690)),"Fees",IF(ISNUMBER(SEARCH("charge",C690)),"Fees","Other")))))))))))))))))))))))))</f>
        <v>Money In</v>
      </c>
      <c r="R690" s="1" t="str">
        <f aca="false">TEXT(B690,"MMM YYYY")</f>
        <v>Apr 2026</v>
      </c>
    </row>
    <row r="691" customFormat="false" ht="13.8" hidden="false" customHeight="false" outlineLevel="0" collapsed="false">
      <c r="A691" s="4" t="s">
        <v>1452</v>
      </c>
      <c r="B691" s="4" t="s">
        <v>1453</v>
      </c>
      <c r="C691" s="4" t="s">
        <v>29</v>
      </c>
      <c r="D691" s="4" t="s">
        <v>18</v>
      </c>
      <c r="E691" s="4"/>
      <c r="F691" s="4" t="n">
        <v>20</v>
      </c>
      <c r="G691" s="4" t="n">
        <v>917.78</v>
      </c>
      <c r="L691" s="1" t="str">
        <f aca="false">IF(ISNUMBER(SEARCH("Bundle",C691)),"Bundles",IF(ISNUMBER(SEARCH("Airtime",C691)),"Bundles",IF(ISNUMBER(SEARCH("Merchant",C691)),"Merchant Payment",IF(ISNUMBER(SEARCH("Offnet C2B",C691)),"Merchant Payment",IF(ISNUMBER(SEARCH("Offnet B2C",C691)),"Merchant Payment",IF(ISNUMBER(SEARCH("Customer Payment to Small",C691)),"Merchant Payment",IF(ISNUMBER(SEARCH("Payment to Small Business",C691)),"Merchant Payment",IF(ISNUMBER(SEARCH("Sent to",C691)),"Sent to Person",IF(ISNUMBER(SEARCH("Customer Transfer to",C691)),"Sent to Person",IF(ISNUMBER(SEARCH("Business Payment",C691)),"Money In",IF(ISNUMBER(SEARCH("Funds Received",C691)),"Money In",IF(ISNUMBER(SEARCH("Receive International",C691)),"Money In",IF(ISNUMBER(SEARCH("Send Money Reversal",C691)),"Money In",IF(ISNUMBER(SEARCH("Pay Utility Reversal",C691)),"Money In",IF(ISNUMBER(SEARCH("Customer Transfer",C691)),"Money In",IF(ISNUMBER(SEARCH("Ziidi",C691)),"Investment",IF(ISNUMBER(SEARCH("Nabo",C691)),"Investment",IF(ISNUMBER(SEARCH("Paybill Online",C691)),"Pay Bill",IF(ISNUMBER(SEARCH("Pay Bill",C691)),"Pay Bill",IF(ISNUMBER(SEARCH("Spotify",C691)),"Pay Bill",IF(ISNUMBER(SEARCH("M-Shwari",C691)),"Mshwari",IF(ISNUMBER(SEARCH("Mshwari",C691)),"Mshwari",IF(ISNUMBER(SEARCH("Withdrawal charge",C691)),"Fees",IF(ISNUMBER(SEARCH("Customer Withdrawal",C691)),"Fees",IF(ISNUMBER(SEARCH("charge",C691)),"Fees","Other")))))))))))))))))))))))))</f>
        <v>Bundles</v>
      </c>
      <c r="R691" s="1" t="str">
        <f aca="false">TEXT(B691,"MMM YYYY")</f>
        <v>Apr 2026</v>
      </c>
    </row>
    <row r="692" customFormat="false" ht="13.8" hidden="false" customHeight="false" outlineLevel="0" collapsed="false">
      <c r="A692" s="4" t="s">
        <v>1454</v>
      </c>
      <c r="B692" s="4" t="s">
        <v>1455</v>
      </c>
      <c r="C692" s="4" t="s">
        <v>818</v>
      </c>
      <c r="D692" s="4" t="s">
        <v>18</v>
      </c>
      <c r="E692" s="4"/>
      <c r="F692" s="4" t="n">
        <v>600</v>
      </c>
      <c r="G692" s="4" t="n">
        <v>317.78</v>
      </c>
      <c r="L692" s="1" t="str">
        <f aca="false">IF(ISNUMBER(SEARCH("Bundle",C692)),"Bundles",IF(ISNUMBER(SEARCH("Airtime",C692)),"Bundles",IF(ISNUMBER(SEARCH("Merchant",C692)),"Merchant Payment",IF(ISNUMBER(SEARCH("Offnet C2B",C692)),"Merchant Payment",IF(ISNUMBER(SEARCH("Offnet B2C",C692)),"Merchant Payment",IF(ISNUMBER(SEARCH("Customer Payment to Small",C692)),"Merchant Payment",IF(ISNUMBER(SEARCH("Payment to Small Business",C692)),"Merchant Payment",IF(ISNUMBER(SEARCH("Sent to",C692)),"Sent to Person",IF(ISNUMBER(SEARCH("Customer Transfer to",C692)),"Sent to Person",IF(ISNUMBER(SEARCH("Business Payment",C692)),"Money In",IF(ISNUMBER(SEARCH("Funds Received",C692)),"Money In",IF(ISNUMBER(SEARCH("Receive International",C692)),"Money In",IF(ISNUMBER(SEARCH("Send Money Reversal",C692)),"Money In",IF(ISNUMBER(SEARCH("Pay Utility Reversal",C692)),"Money In",IF(ISNUMBER(SEARCH("Customer Transfer",C692)),"Money In",IF(ISNUMBER(SEARCH("Ziidi",C692)),"Investment",IF(ISNUMBER(SEARCH("Nabo",C692)),"Investment",IF(ISNUMBER(SEARCH("Paybill Online",C692)),"Pay Bill",IF(ISNUMBER(SEARCH("Pay Bill",C692)),"Pay Bill",IF(ISNUMBER(SEARCH("Spotify",C692)),"Pay Bill",IF(ISNUMBER(SEARCH("M-Shwari",C692)),"Mshwari",IF(ISNUMBER(SEARCH("Mshwari",C692)),"Mshwari",IF(ISNUMBER(SEARCH("Withdrawal charge",C692)),"Fees",IF(ISNUMBER(SEARCH("Customer Withdrawal",C692)),"Fees",IF(ISNUMBER(SEARCH("charge",C692)),"Fees","Other")))))))))))))))))))))))))</f>
        <v>Merchant Payment</v>
      </c>
      <c r="R692" s="1" t="str">
        <f aca="false">TEXT(B692,"MMM YYYY")</f>
        <v>Apr 2026</v>
      </c>
    </row>
    <row r="693" customFormat="false" ht="13.8" hidden="false" customHeight="false" outlineLevel="0" collapsed="false">
      <c r="A693" s="4" t="s">
        <v>1456</v>
      </c>
      <c r="B693" s="4" t="s">
        <v>1457</v>
      </c>
      <c r="C693" s="4" t="s">
        <v>1458</v>
      </c>
      <c r="D693" s="4" t="s">
        <v>18</v>
      </c>
      <c r="E693" s="4"/>
      <c r="F693" s="4" t="n">
        <v>40</v>
      </c>
      <c r="G693" s="4" t="n">
        <v>277.78</v>
      </c>
      <c r="L693" s="1" t="str">
        <f aca="false">IF(ISNUMBER(SEARCH("Bundle",C693)),"Bundles",IF(ISNUMBER(SEARCH("Airtime",C693)),"Bundles",IF(ISNUMBER(SEARCH("Merchant",C693)),"Merchant Payment",IF(ISNUMBER(SEARCH("Offnet C2B",C693)),"Merchant Payment",IF(ISNUMBER(SEARCH("Offnet B2C",C693)),"Merchant Payment",IF(ISNUMBER(SEARCH("Customer Payment to Small",C693)),"Merchant Payment",IF(ISNUMBER(SEARCH("Payment to Small Business",C693)),"Merchant Payment",IF(ISNUMBER(SEARCH("Sent to",C693)),"Sent to Person",IF(ISNUMBER(SEARCH("Customer Transfer to",C693)),"Sent to Person",IF(ISNUMBER(SEARCH("Business Payment",C693)),"Money In",IF(ISNUMBER(SEARCH("Funds Received",C693)),"Money In",IF(ISNUMBER(SEARCH("Receive International",C693)),"Money In",IF(ISNUMBER(SEARCH("Send Money Reversal",C693)),"Money In",IF(ISNUMBER(SEARCH("Pay Utility Reversal",C693)),"Money In",IF(ISNUMBER(SEARCH("Customer Transfer",C693)),"Money In",IF(ISNUMBER(SEARCH("Ziidi",C693)),"Investment",IF(ISNUMBER(SEARCH("Nabo",C693)),"Investment",IF(ISNUMBER(SEARCH("Paybill Online",C693)),"Pay Bill",IF(ISNUMBER(SEARCH("Pay Bill",C693)),"Pay Bill",IF(ISNUMBER(SEARCH("Spotify",C693)),"Pay Bill",IF(ISNUMBER(SEARCH("M-Shwari",C693)),"Mshwari",IF(ISNUMBER(SEARCH("Mshwari",C693)),"Mshwari",IF(ISNUMBER(SEARCH("Withdrawal charge",C693)),"Fees",IF(ISNUMBER(SEARCH("Customer Withdrawal",C693)),"Fees",IF(ISNUMBER(SEARCH("charge",C693)),"Fees","Other")))))))))))))))))))))))))</f>
        <v>Sent to Person</v>
      </c>
      <c r="R693" s="1" t="str">
        <f aca="false">TEXT(B693,"MMM YYYY")</f>
        <v>Apr 2026</v>
      </c>
    </row>
    <row r="694" customFormat="false" ht="13.8" hidden="false" customHeight="false" outlineLevel="0" collapsed="false">
      <c r="A694" s="4" t="s">
        <v>1459</v>
      </c>
      <c r="B694" s="4" t="s">
        <v>1460</v>
      </c>
      <c r="C694" s="4" t="s">
        <v>239</v>
      </c>
      <c r="D694" s="4" t="s">
        <v>18</v>
      </c>
      <c r="E694" s="4"/>
      <c r="F694" s="4" t="n">
        <v>7</v>
      </c>
      <c r="G694" s="4" t="n">
        <v>35.78</v>
      </c>
      <c r="L694" s="1" t="str">
        <f aca="false">IF(ISNUMBER(SEARCH("Bundle",C694)),"Bundles",IF(ISNUMBER(SEARCH("Airtime",C694)),"Bundles",IF(ISNUMBER(SEARCH("Merchant",C694)),"Merchant Payment",IF(ISNUMBER(SEARCH("Offnet C2B",C694)),"Merchant Payment",IF(ISNUMBER(SEARCH("Offnet B2C",C694)),"Merchant Payment",IF(ISNUMBER(SEARCH("Customer Payment to Small",C694)),"Merchant Payment",IF(ISNUMBER(SEARCH("Payment to Small Business",C694)),"Merchant Payment",IF(ISNUMBER(SEARCH("Sent to",C694)),"Sent to Person",IF(ISNUMBER(SEARCH("Customer Transfer to",C694)),"Sent to Person",IF(ISNUMBER(SEARCH("Business Payment",C694)),"Money In",IF(ISNUMBER(SEARCH("Funds Received",C694)),"Money In",IF(ISNUMBER(SEARCH("Receive International",C694)),"Money In",IF(ISNUMBER(SEARCH("Send Money Reversal",C694)),"Money In",IF(ISNUMBER(SEARCH("Pay Utility Reversal",C694)),"Money In",IF(ISNUMBER(SEARCH("Customer Transfer",C694)),"Money In",IF(ISNUMBER(SEARCH("Ziidi",C694)),"Investment",IF(ISNUMBER(SEARCH("Nabo",C694)),"Investment",IF(ISNUMBER(SEARCH("Paybill Online",C694)),"Pay Bill",IF(ISNUMBER(SEARCH("Pay Bill",C694)),"Pay Bill",IF(ISNUMBER(SEARCH("Spotify",C694)),"Pay Bill",IF(ISNUMBER(SEARCH("M-Shwari",C694)),"Mshwari",IF(ISNUMBER(SEARCH("Mshwari",C694)),"Mshwari",IF(ISNUMBER(SEARCH("Withdrawal charge",C694)),"Fees",IF(ISNUMBER(SEARCH("Customer Withdrawal",C694)),"Fees",IF(ISNUMBER(SEARCH("charge",C694)),"Fees","Other")))))))))))))))))))))))))</f>
        <v>Money In</v>
      </c>
      <c r="R694" s="1" t="str">
        <f aca="false">TEXT(B694,"MMM YYYY")</f>
        <v>Apr 2026</v>
      </c>
    </row>
    <row r="695" customFormat="false" ht="13.8" hidden="false" customHeight="false" outlineLevel="0" collapsed="false">
      <c r="A695" s="4" t="s">
        <v>1459</v>
      </c>
      <c r="B695" s="4" t="s">
        <v>1460</v>
      </c>
      <c r="C695" s="4" t="s">
        <v>1461</v>
      </c>
      <c r="D695" s="4" t="s">
        <v>18</v>
      </c>
      <c r="E695" s="4"/>
      <c r="F695" s="4" t="n">
        <v>235</v>
      </c>
      <c r="G695" s="4" t="n">
        <v>42.78</v>
      </c>
      <c r="L695" s="1" t="str">
        <f aca="false">IF(ISNUMBER(SEARCH("Bundle",C695)),"Bundles",IF(ISNUMBER(SEARCH("Airtime",C695)),"Bundles",IF(ISNUMBER(SEARCH("Merchant",C695)),"Merchant Payment",IF(ISNUMBER(SEARCH("Offnet C2B",C695)),"Merchant Payment",IF(ISNUMBER(SEARCH("Offnet B2C",C695)),"Merchant Payment",IF(ISNUMBER(SEARCH("Customer Payment to Small",C695)),"Merchant Payment",IF(ISNUMBER(SEARCH("Payment to Small Business",C695)),"Merchant Payment",IF(ISNUMBER(SEARCH("Sent to",C695)),"Sent to Person",IF(ISNUMBER(SEARCH("Customer Transfer to",C695)),"Sent to Person",IF(ISNUMBER(SEARCH("Business Payment",C695)),"Money In",IF(ISNUMBER(SEARCH("Funds Received",C695)),"Money In",IF(ISNUMBER(SEARCH("Receive International",C695)),"Money In",IF(ISNUMBER(SEARCH("Send Money Reversal",C695)),"Money In",IF(ISNUMBER(SEARCH("Pay Utility Reversal",C695)),"Money In",IF(ISNUMBER(SEARCH("Customer Transfer",C695)),"Money In",IF(ISNUMBER(SEARCH("Ziidi",C695)),"Investment",IF(ISNUMBER(SEARCH("Nabo",C695)),"Investment",IF(ISNUMBER(SEARCH("Paybill Online",C695)),"Pay Bill",IF(ISNUMBER(SEARCH("Pay Bill",C695)),"Pay Bill",IF(ISNUMBER(SEARCH("Spotify",C695)),"Pay Bill",IF(ISNUMBER(SEARCH("M-Shwari",C695)),"Mshwari",IF(ISNUMBER(SEARCH("Mshwari",C695)),"Mshwari",IF(ISNUMBER(SEARCH("Withdrawal charge",C695)),"Fees",IF(ISNUMBER(SEARCH("Customer Withdrawal",C695)),"Fees",IF(ISNUMBER(SEARCH("charge",C695)),"Fees","Other")))))))))))))))))))))))))</f>
        <v>Merchant Payment</v>
      </c>
      <c r="R695" s="1" t="str">
        <f aca="false">TEXT(B695,"MMM YYYY")</f>
        <v>Apr 2026</v>
      </c>
    </row>
    <row r="696" customFormat="false" ht="13.8" hidden="false" customHeight="false" outlineLevel="0" collapsed="false">
      <c r="A696" s="4" t="s">
        <v>1462</v>
      </c>
      <c r="B696" s="4" t="s">
        <v>1463</v>
      </c>
      <c r="C696" s="4" t="s">
        <v>29</v>
      </c>
      <c r="D696" s="4" t="s">
        <v>18</v>
      </c>
      <c r="E696" s="4"/>
      <c r="F696" s="4" t="n">
        <v>20</v>
      </c>
      <c r="G696" s="4" t="n">
        <v>15.78</v>
      </c>
      <c r="L696" s="1" t="str">
        <f aca="false">IF(ISNUMBER(SEARCH("Bundle",C696)),"Bundles",IF(ISNUMBER(SEARCH("Airtime",C696)),"Bundles",IF(ISNUMBER(SEARCH("Merchant",C696)),"Merchant Payment",IF(ISNUMBER(SEARCH("Offnet C2B",C696)),"Merchant Payment",IF(ISNUMBER(SEARCH("Offnet B2C",C696)),"Merchant Payment",IF(ISNUMBER(SEARCH("Customer Payment to Small",C696)),"Merchant Payment",IF(ISNUMBER(SEARCH("Payment to Small Business",C696)),"Merchant Payment",IF(ISNUMBER(SEARCH("Sent to",C696)),"Sent to Person",IF(ISNUMBER(SEARCH("Customer Transfer to",C696)),"Sent to Person",IF(ISNUMBER(SEARCH("Business Payment",C696)),"Money In",IF(ISNUMBER(SEARCH("Funds Received",C696)),"Money In",IF(ISNUMBER(SEARCH("Receive International",C696)),"Money In",IF(ISNUMBER(SEARCH("Send Money Reversal",C696)),"Money In",IF(ISNUMBER(SEARCH("Pay Utility Reversal",C696)),"Money In",IF(ISNUMBER(SEARCH("Customer Transfer",C696)),"Money In",IF(ISNUMBER(SEARCH("Ziidi",C696)),"Investment",IF(ISNUMBER(SEARCH("Nabo",C696)),"Investment",IF(ISNUMBER(SEARCH("Paybill Online",C696)),"Pay Bill",IF(ISNUMBER(SEARCH("Pay Bill",C696)),"Pay Bill",IF(ISNUMBER(SEARCH("Spotify",C696)),"Pay Bill",IF(ISNUMBER(SEARCH("M-Shwari",C696)),"Mshwari",IF(ISNUMBER(SEARCH("Mshwari",C696)),"Mshwari",IF(ISNUMBER(SEARCH("Withdrawal charge",C696)),"Fees",IF(ISNUMBER(SEARCH("Customer Withdrawal",C696)),"Fees",IF(ISNUMBER(SEARCH("charge",C696)),"Fees","Other")))))))))))))))))))))))))</f>
        <v>Bundles</v>
      </c>
      <c r="R696" s="1" t="str">
        <f aca="false">TEXT(B696,"MMM YYYY")</f>
        <v>Apr 2026</v>
      </c>
    </row>
    <row r="697" customFormat="false" ht="13.8" hidden="false" customHeight="false" outlineLevel="0" collapsed="false">
      <c r="A697" s="4" t="s">
        <v>1464</v>
      </c>
      <c r="B697" s="4" t="s">
        <v>1465</v>
      </c>
      <c r="C697" s="4" t="s">
        <v>445</v>
      </c>
      <c r="D697" s="4" t="s">
        <v>18</v>
      </c>
      <c r="E697" s="4" t="n">
        <v>2000</v>
      </c>
      <c r="F697" s="4"/>
      <c r="G697" s="4" t="n">
        <v>2015.78</v>
      </c>
      <c r="L697" s="1" t="str">
        <f aca="false">IF(ISNUMBER(SEARCH("Bundle",C697)),"Bundles",IF(ISNUMBER(SEARCH("Airtime",C697)),"Bundles",IF(ISNUMBER(SEARCH("Merchant",C697)),"Merchant Payment",IF(ISNUMBER(SEARCH("Offnet C2B",C697)),"Merchant Payment",IF(ISNUMBER(SEARCH("Offnet B2C",C697)),"Merchant Payment",IF(ISNUMBER(SEARCH("Customer Payment to Small",C697)),"Merchant Payment",IF(ISNUMBER(SEARCH("Payment to Small Business",C697)),"Merchant Payment",IF(ISNUMBER(SEARCH("Sent to",C697)),"Sent to Person",IF(ISNUMBER(SEARCH("Customer Transfer to",C697)),"Sent to Person",IF(ISNUMBER(SEARCH("Business Payment",C697)),"Money In",IF(ISNUMBER(SEARCH("Funds Received",C697)),"Money In",IF(ISNUMBER(SEARCH("Receive International",C697)),"Money In",IF(ISNUMBER(SEARCH("Send Money Reversal",C697)),"Money In",IF(ISNUMBER(SEARCH("Pay Utility Reversal",C697)),"Money In",IF(ISNUMBER(SEARCH("Customer Transfer",C697)),"Money In",IF(ISNUMBER(SEARCH("Ziidi",C697)),"Investment",IF(ISNUMBER(SEARCH("Nabo",C697)),"Investment",IF(ISNUMBER(SEARCH("Paybill Online",C697)),"Pay Bill",IF(ISNUMBER(SEARCH("Pay Bill",C697)),"Pay Bill",IF(ISNUMBER(SEARCH("Spotify",C697)),"Pay Bill",IF(ISNUMBER(SEARCH("M-Shwari",C697)),"Mshwari",IF(ISNUMBER(SEARCH("Mshwari",C697)),"Mshwari",IF(ISNUMBER(SEARCH("Withdrawal charge",C697)),"Fees",IF(ISNUMBER(SEARCH("Customer Withdrawal",C697)),"Fees",IF(ISNUMBER(SEARCH("charge",C697)),"Fees","Other")))))))))))))))))))))))))</f>
        <v>Money In</v>
      </c>
      <c r="R697" s="1" t="str">
        <f aca="false">TEXT(B697,"MMM YYYY")</f>
        <v>Apr 2026</v>
      </c>
    </row>
    <row r="698" customFormat="false" ht="13.8" hidden="false" customHeight="false" outlineLevel="0" collapsed="false">
      <c r="A698" s="4" t="s">
        <v>1466</v>
      </c>
      <c r="B698" s="4" t="s">
        <v>1467</v>
      </c>
      <c r="C698" s="4" t="s">
        <v>621</v>
      </c>
      <c r="D698" s="4" t="s">
        <v>18</v>
      </c>
      <c r="E698" s="4"/>
      <c r="F698" s="4" t="n">
        <v>1000</v>
      </c>
      <c r="G698" s="4" t="n">
        <v>1015.78</v>
      </c>
      <c r="L698" s="1" t="str">
        <f aca="false">IF(ISNUMBER(SEARCH("Bundle",C698)),"Bundles",IF(ISNUMBER(SEARCH("Airtime",C698)),"Bundles",IF(ISNUMBER(SEARCH("Merchant",C698)),"Merchant Payment",IF(ISNUMBER(SEARCH("Offnet C2B",C698)),"Merchant Payment",IF(ISNUMBER(SEARCH("Offnet B2C",C698)),"Merchant Payment",IF(ISNUMBER(SEARCH("Customer Payment to Small",C698)),"Merchant Payment",IF(ISNUMBER(SEARCH("Payment to Small Business",C698)),"Merchant Payment",IF(ISNUMBER(SEARCH("Sent to",C698)),"Sent to Person",IF(ISNUMBER(SEARCH("Customer Transfer to",C698)),"Sent to Person",IF(ISNUMBER(SEARCH("Business Payment",C698)),"Money In",IF(ISNUMBER(SEARCH("Funds Received",C698)),"Money In",IF(ISNUMBER(SEARCH("Receive International",C698)),"Money In",IF(ISNUMBER(SEARCH("Send Money Reversal",C698)),"Money In",IF(ISNUMBER(SEARCH("Pay Utility Reversal",C698)),"Money In",IF(ISNUMBER(SEARCH("Customer Transfer",C698)),"Money In",IF(ISNUMBER(SEARCH("Ziidi",C698)),"Investment",IF(ISNUMBER(SEARCH("Nabo",C698)),"Investment",IF(ISNUMBER(SEARCH("Paybill Online",C698)),"Pay Bill",IF(ISNUMBER(SEARCH("Pay Bill",C698)),"Pay Bill",IF(ISNUMBER(SEARCH("Spotify",C698)),"Pay Bill",IF(ISNUMBER(SEARCH("M-Shwari",C698)),"Mshwari",IF(ISNUMBER(SEARCH("Mshwari",C698)),"Mshwari",IF(ISNUMBER(SEARCH("Withdrawal charge",C698)),"Fees",IF(ISNUMBER(SEARCH("Customer Withdrawal",C698)),"Fees",IF(ISNUMBER(SEARCH("charge",C698)),"Fees","Other")))))))))))))))))))))))))</f>
        <v>Mshwari</v>
      </c>
      <c r="R698" s="1" t="str">
        <f aca="false">TEXT(B698,"MMM YYYY")</f>
        <v>Apr 2026</v>
      </c>
    </row>
    <row r="699" customFormat="false" ht="13.8" hidden="false" customHeight="false" outlineLevel="0" collapsed="false">
      <c r="A699" s="4" t="s">
        <v>1468</v>
      </c>
      <c r="B699" s="4" t="s">
        <v>1469</v>
      </c>
      <c r="C699" s="4" t="s">
        <v>239</v>
      </c>
      <c r="D699" s="4" t="s">
        <v>18</v>
      </c>
      <c r="E699" s="4"/>
      <c r="F699" s="4" t="n">
        <v>7</v>
      </c>
      <c r="G699" s="4" t="n">
        <v>848.78</v>
      </c>
      <c r="L699" s="1" t="str">
        <f aca="false">IF(ISNUMBER(SEARCH("Bundle",C699)),"Bundles",IF(ISNUMBER(SEARCH("Airtime",C699)),"Bundles",IF(ISNUMBER(SEARCH("Merchant",C699)),"Merchant Payment",IF(ISNUMBER(SEARCH("Offnet C2B",C699)),"Merchant Payment",IF(ISNUMBER(SEARCH("Offnet B2C",C699)),"Merchant Payment",IF(ISNUMBER(SEARCH("Customer Payment to Small",C699)),"Merchant Payment",IF(ISNUMBER(SEARCH("Payment to Small Business",C699)),"Merchant Payment",IF(ISNUMBER(SEARCH("Sent to",C699)),"Sent to Person",IF(ISNUMBER(SEARCH("Customer Transfer to",C699)),"Sent to Person",IF(ISNUMBER(SEARCH("Business Payment",C699)),"Money In",IF(ISNUMBER(SEARCH("Funds Received",C699)),"Money In",IF(ISNUMBER(SEARCH("Receive International",C699)),"Money In",IF(ISNUMBER(SEARCH("Send Money Reversal",C699)),"Money In",IF(ISNUMBER(SEARCH("Pay Utility Reversal",C699)),"Money In",IF(ISNUMBER(SEARCH("Customer Transfer",C699)),"Money In",IF(ISNUMBER(SEARCH("Ziidi",C699)),"Investment",IF(ISNUMBER(SEARCH("Nabo",C699)),"Investment",IF(ISNUMBER(SEARCH("Paybill Online",C699)),"Pay Bill",IF(ISNUMBER(SEARCH("Pay Bill",C699)),"Pay Bill",IF(ISNUMBER(SEARCH("Spotify",C699)),"Pay Bill",IF(ISNUMBER(SEARCH("M-Shwari",C699)),"Mshwari",IF(ISNUMBER(SEARCH("Mshwari",C699)),"Mshwari",IF(ISNUMBER(SEARCH("Withdrawal charge",C699)),"Fees",IF(ISNUMBER(SEARCH("Customer Withdrawal",C699)),"Fees",IF(ISNUMBER(SEARCH("charge",C699)),"Fees","Other")))))))))))))))))))))))))</f>
        <v>Money In</v>
      </c>
      <c r="R699" s="1" t="str">
        <f aca="false">TEXT(B699,"MMM YYYY")</f>
        <v>Apr 2026</v>
      </c>
    </row>
    <row r="700" customFormat="false" ht="13.8" hidden="false" customHeight="false" outlineLevel="0" collapsed="false">
      <c r="A700" s="4" t="s">
        <v>1468</v>
      </c>
      <c r="B700" s="4" t="s">
        <v>1469</v>
      </c>
      <c r="C700" s="4" t="s">
        <v>787</v>
      </c>
      <c r="D700" s="4" t="s">
        <v>18</v>
      </c>
      <c r="E700" s="4"/>
      <c r="F700" s="4" t="n">
        <v>160</v>
      </c>
      <c r="G700" s="4" t="n">
        <v>855.78</v>
      </c>
      <c r="L700" s="1" t="str">
        <f aca="false">IF(ISNUMBER(SEARCH("Bundle",C700)),"Bundles",IF(ISNUMBER(SEARCH("Airtime",C700)),"Bundles",IF(ISNUMBER(SEARCH("Merchant",C700)),"Merchant Payment",IF(ISNUMBER(SEARCH("Offnet C2B",C700)),"Merchant Payment",IF(ISNUMBER(SEARCH("Offnet B2C",C700)),"Merchant Payment",IF(ISNUMBER(SEARCH("Customer Payment to Small",C700)),"Merchant Payment",IF(ISNUMBER(SEARCH("Payment to Small Business",C700)),"Merchant Payment",IF(ISNUMBER(SEARCH("Sent to",C700)),"Sent to Person",IF(ISNUMBER(SEARCH("Customer Transfer to",C700)),"Sent to Person",IF(ISNUMBER(SEARCH("Business Payment",C700)),"Money In",IF(ISNUMBER(SEARCH("Funds Received",C700)),"Money In",IF(ISNUMBER(SEARCH("Receive International",C700)),"Money In",IF(ISNUMBER(SEARCH("Send Money Reversal",C700)),"Money In",IF(ISNUMBER(SEARCH("Pay Utility Reversal",C700)),"Money In",IF(ISNUMBER(SEARCH("Customer Transfer",C700)),"Money In",IF(ISNUMBER(SEARCH("Ziidi",C700)),"Investment",IF(ISNUMBER(SEARCH("Nabo",C700)),"Investment",IF(ISNUMBER(SEARCH("Paybill Online",C700)),"Pay Bill",IF(ISNUMBER(SEARCH("Pay Bill",C700)),"Pay Bill",IF(ISNUMBER(SEARCH("Spotify",C700)),"Pay Bill",IF(ISNUMBER(SEARCH("M-Shwari",C700)),"Mshwari",IF(ISNUMBER(SEARCH("Mshwari",C700)),"Mshwari",IF(ISNUMBER(SEARCH("Withdrawal charge",C700)),"Fees",IF(ISNUMBER(SEARCH("Customer Withdrawal",C700)),"Fees",IF(ISNUMBER(SEARCH("charge",C700)),"Fees","Other")))))))))))))))))))))))))</f>
        <v>Merchant Payment</v>
      </c>
      <c r="R700" s="1" t="str">
        <f aca="false">TEXT(B700,"MMM YYYY")</f>
        <v>Apr 2026</v>
      </c>
    </row>
    <row r="701" customFormat="false" ht="13.8" hidden="false" customHeight="false" outlineLevel="0" collapsed="false">
      <c r="A701" s="4" t="s">
        <v>1470</v>
      </c>
      <c r="B701" s="4" t="s">
        <v>1471</v>
      </c>
      <c r="C701" s="4" t="s">
        <v>1472</v>
      </c>
      <c r="D701" s="4" t="s">
        <v>18</v>
      </c>
      <c r="E701" s="4"/>
      <c r="F701" s="4" t="n">
        <v>150</v>
      </c>
      <c r="G701" s="4" t="n">
        <v>693.78</v>
      </c>
      <c r="L701" s="1" t="str">
        <f aca="false">IF(ISNUMBER(SEARCH("Bundle",C701)),"Bundles",IF(ISNUMBER(SEARCH("Airtime",C701)),"Bundles",IF(ISNUMBER(SEARCH("Merchant",C701)),"Merchant Payment",IF(ISNUMBER(SEARCH("Offnet C2B",C701)),"Merchant Payment",IF(ISNUMBER(SEARCH("Offnet B2C",C701)),"Merchant Payment",IF(ISNUMBER(SEARCH("Customer Payment to Small",C701)),"Merchant Payment",IF(ISNUMBER(SEARCH("Payment to Small Business",C701)),"Merchant Payment",IF(ISNUMBER(SEARCH("Sent to",C701)),"Sent to Person",IF(ISNUMBER(SEARCH("Customer Transfer to",C701)),"Sent to Person",IF(ISNUMBER(SEARCH("Business Payment",C701)),"Money In",IF(ISNUMBER(SEARCH("Funds Received",C701)),"Money In",IF(ISNUMBER(SEARCH("Receive International",C701)),"Money In",IF(ISNUMBER(SEARCH("Send Money Reversal",C701)),"Money In",IF(ISNUMBER(SEARCH("Pay Utility Reversal",C701)),"Money In",IF(ISNUMBER(SEARCH("Customer Transfer",C701)),"Money In",IF(ISNUMBER(SEARCH("Ziidi",C701)),"Investment",IF(ISNUMBER(SEARCH("Nabo",C701)),"Investment",IF(ISNUMBER(SEARCH("Paybill Online",C701)),"Pay Bill",IF(ISNUMBER(SEARCH("Pay Bill",C701)),"Pay Bill",IF(ISNUMBER(SEARCH("Spotify",C701)),"Pay Bill",IF(ISNUMBER(SEARCH("M-Shwari",C701)),"Mshwari",IF(ISNUMBER(SEARCH("Mshwari",C701)),"Mshwari",IF(ISNUMBER(SEARCH("Withdrawal charge",C701)),"Fees",IF(ISNUMBER(SEARCH("Customer Withdrawal",C701)),"Fees",IF(ISNUMBER(SEARCH("charge",C701)),"Fees","Other")))))))))))))))))))))))))</f>
        <v>Pay Bill</v>
      </c>
      <c r="R701" s="1" t="str">
        <f aca="false">TEXT(B701,"MMM YYYY")</f>
        <v>Apr 2026</v>
      </c>
    </row>
    <row r="702" customFormat="false" ht="13.8" hidden="false" customHeight="false" outlineLevel="0" collapsed="false">
      <c r="A702" s="4" t="s">
        <v>1470</v>
      </c>
      <c r="B702" s="4" t="s">
        <v>1471</v>
      </c>
      <c r="C702" s="4" t="s">
        <v>182</v>
      </c>
      <c r="D702" s="4" t="s">
        <v>18</v>
      </c>
      <c r="E702" s="4"/>
      <c r="F702" s="4" t="n">
        <v>5</v>
      </c>
      <c r="G702" s="4" t="n">
        <v>843.78</v>
      </c>
      <c r="L702" s="1" t="str">
        <f aca="false">IF(ISNUMBER(SEARCH("Bundle",C702)),"Bundles",IF(ISNUMBER(SEARCH("Airtime",C702)),"Bundles",IF(ISNUMBER(SEARCH("Merchant",C702)),"Merchant Payment",IF(ISNUMBER(SEARCH("Offnet C2B",C702)),"Merchant Payment",IF(ISNUMBER(SEARCH("Offnet B2C",C702)),"Merchant Payment",IF(ISNUMBER(SEARCH("Customer Payment to Small",C702)),"Merchant Payment",IF(ISNUMBER(SEARCH("Payment to Small Business",C702)),"Merchant Payment",IF(ISNUMBER(SEARCH("Sent to",C702)),"Sent to Person",IF(ISNUMBER(SEARCH("Customer Transfer to",C702)),"Sent to Person",IF(ISNUMBER(SEARCH("Business Payment",C702)),"Money In",IF(ISNUMBER(SEARCH("Funds Received",C702)),"Money In",IF(ISNUMBER(SEARCH("Receive International",C702)),"Money In",IF(ISNUMBER(SEARCH("Send Money Reversal",C702)),"Money In",IF(ISNUMBER(SEARCH("Pay Utility Reversal",C702)),"Money In",IF(ISNUMBER(SEARCH("Customer Transfer",C702)),"Money In",IF(ISNUMBER(SEARCH("Ziidi",C702)),"Investment",IF(ISNUMBER(SEARCH("Nabo",C702)),"Investment",IF(ISNUMBER(SEARCH("Paybill Online",C702)),"Pay Bill",IF(ISNUMBER(SEARCH("Pay Bill",C702)),"Pay Bill",IF(ISNUMBER(SEARCH("Spotify",C702)),"Pay Bill",IF(ISNUMBER(SEARCH("M-Shwari",C702)),"Mshwari",IF(ISNUMBER(SEARCH("Mshwari",C702)),"Mshwari",IF(ISNUMBER(SEARCH("Withdrawal charge",C702)),"Fees",IF(ISNUMBER(SEARCH("Customer Withdrawal",C702)),"Fees",IF(ISNUMBER(SEARCH("charge",C702)),"Fees","Other")))))))))))))))))))))))))</f>
        <v>Pay Bill</v>
      </c>
      <c r="R702" s="1" t="str">
        <f aca="false">TEXT(B702,"MMM YYYY")</f>
        <v>Apr 2026</v>
      </c>
    </row>
    <row r="703" customFormat="false" ht="13.8" hidden="false" customHeight="false" outlineLevel="0" collapsed="false">
      <c r="A703" s="4" t="s">
        <v>1473</v>
      </c>
      <c r="B703" s="4" t="s">
        <v>1474</v>
      </c>
      <c r="C703" s="4" t="s">
        <v>1086</v>
      </c>
      <c r="D703" s="4" t="s">
        <v>18</v>
      </c>
      <c r="E703" s="4"/>
      <c r="F703" s="4" t="n">
        <v>50</v>
      </c>
      <c r="G703" s="4" t="n">
        <v>643.78</v>
      </c>
      <c r="L703" s="1" t="str">
        <f aca="false">IF(ISNUMBER(SEARCH("Bundle",C703)),"Bundles",IF(ISNUMBER(SEARCH("Airtime",C703)),"Bundles",IF(ISNUMBER(SEARCH("Merchant",C703)),"Merchant Payment",IF(ISNUMBER(SEARCH("Offnet C2B",C703)),"Merchant Payment",IF(ISNUMBER(SEARCH("Offnet B2C",C703)),"Merchant Payment",IF(ISNUMBER(SEARCH("Customer Payment to Small",C703)),"Merchant Payment",IF(ISNUMBER(SEARCH("Payment to Small Business",C703)),"Merchant Payment",IF(ISNUMBER(SEARCH("Sent to",C703)),"Sent to Person",IF(ISNUMBER(SEARCH("Customer Transfer to",C703)),"Sent to Person",IF(ISNUMBER(SEARCH("Business Payment",C703)),"Money In",IF(ISNUMBER(SEARCH("Funds Received",C703)),"Money In",IF(ISNUMBER(SEARCH("Receive International",C703)),"Money In",IF(ISNUMBER(SEARCH("Send Money Reversal",C703)),"Money In",IF(ISNUMBER(SEARCH("Pay Utility Reversal",C703)),"Money In",IF(ISNUMBER(SEARCH("Customer Transfer",C703)),"Money In",IF(ISNUMBER(SEARCH("Ziidi",C703)),"Investment",IF(ISNUMBER(SEARCH("Nabo",C703)),"Investment",IF(ISNUMBER(SEARCH("Paybill Online",C703)),"Pay Bill",IF(ISNUMBER(SEARCH("Pay Bill",C703)),"Pay Bill",IF(ISNUMBER(SEARCH("Spotify",C703)),"Pay Bill",IF(ISNUMBER(SEARCH("M-Shwari",C703)),"Mshwari",IF(ISNUMBER(SEARCH("Mshwari",C703)),"Mshwari",IF(ISNUMBER(SEARCH("Withdrawal charge",C703)),"Fees",IF(ISNUMBER(SEARCH("Customer Withdrawal",C703)),"Fees",IF(ISNUMBER(SEARCH("charge",C703)),"Fees","Other")))))))))))))))))))))))))</f>
        <v>Sent to Person</v>
      </c>
      <c r="R703" s="1" t="str">
        <f aca="false">TEXT(B703,"MMM YYYY")</f>
        <v>Apr 2026</v>
      </c>
    </row>
    <row r="704" customFormat="false" ht="13.8" hidden="false" customHeight="false" outlineLevel="0" collapsed="false">
      <c r="A704" s="4" t="s">
        <v>1475</v>
      </c>
      <c r="B704" s="4" t="s">
        <v>1476</v>
      </c>
      <c r="C704" s="4" t="s">
        <v>29</v>
      </c>
      <c r="D704" s="4" t="s">
        <v>18</v>
      </c>
      <c r="E704" s="4"/>
      <c r="F704" s="4" t="n">
        <v>20</v>
      </c>
      <c r="G704" s="4" t="n">
        <v>623.78</v>
      </c>
      <c r="L704" s="1" t="str">
        <f aca="false">IF(ISNUMBER(SEARCH("Bundle",C704)),"Bundles",IF(ISNUMBER(SEARCH("Airtime",C704)),"Bundles",IF(ISNUMBER(SEARCH("Merchant",C704)),"Merchant Payment",IF(ISNUMBER(SEARCH("Offnet C2B",C704)),"Merchant Payment",IF(ISNUMBER(SEARCH("Offnet B2C",C704)),"Merchant Payment",IF(ISNUMBER(SEARCH("Customer Payment to Small",C704)),"Merchant Payment",IF(ISNUMBER(SEARCH("Payment to Small Business",C704)),"Merchant Payment",IF(ISNUMBER(SEARCH("Sent to",C704)),"Sent to Person",IF(ISNUMBER(SEARCH("Customer Transfer to",C704)),"Sent to Person",IF(ISNUMBER(SEARCH("Business Payment",C704)),"Money In",IF(ISNUMBER(SEARCH("Funds Received",C704)),"Money In",IF(ISNUMBER(SEARCH("Receive International",C704)),"Money In",IF(ISNUMBER(SEARCH("Send Money Reversal",C704)),"Money In",IF(ISNUMBER(SEARCH("Pay Utility Reversal",C704)),"Money In",IF(ISNUMBER(SEARCH("Customer Transfer",C704)),"Money In",IF(ISNUMBER(SEARCH("Ziidi",C704)),"Investment",IF(ISNUMBER(SEARCH("Nabo",C704)),"Investment",IF(ISNUMBER(SEARCH("Paybill Online",C704)),"Pay Bill",IF(ISNUMBER(SEARCH("Pay Bill",C704)),"Pay Bill",IF(ISNUMBER(SEARCH("Spotify",C704)),"Pay Bill",IF(ISNUMBER(SEARCH("M-Shwari",C704)),"Mshwari",IF(ISNUMBER(SEARCH("Mshwari",C704)),"Mshwari",IF(ISNUMBER(SEARCH("Withdrawal charge",C704)),"Fees",IF(ISNUMBER(SEARCH("Customer Withdrawal",C704)),"Fees",IF(ISNUMBER(SEARCH("charge",C704)),"Fees","Other")))))))))))))))))))))))))</f>
        <v>Bundles</v>
      </c>
      <c r="R704" s="1" t="str">
        <f aca="false">TEXT(B704,"MMM YYYY")</f>
        <v>Apr 2026</v>
      </c>
    </row>
    <row r="705" customFormat="false" ht="13.8" hidden="false" customHeight="false" outlineLevel="0" collapsed="false">
      <c r="A705" s="4" t="s">
        <v>1477</v>
      </c>
      <c r="B705" s="4" t="s">
        <v>1478</v>
      </c>
      <c r="C705" s="4" t="s">
        <v>29</v>
      </c>
      <c r="D705" s="4" t="s">
        <v>18</v>
      </c>
      <c r="E705" s="4"/>
      <c r="F705" s="4" t="n">
        <v>20</v>
      </c>
      <c r="G705" s="4" t="n">
        <v>603.78</v>
      </c>
      <c r="L705" s="1" t="str">
        <f aca="false">IF(ISNUMBER(SEARCH("Bundle",C705)),"Bundles",IF(ISNUMBER(SEARCH("Airtime",C705)),"Bundles",IF(ISNUMBER(SEARCH("Merchant",C705)),"Merchant Payment",IF(ISNUMBER(SEARCH("Offnet C2B",C705)),"Merchant Payment",IF(ISNUMBER(SEARCH("Offnet B2C",C705)),"Merchant Payment",IF(ISNUMBER(SEARCH("Customer Payment to Small",C705)),"Merchant Payment",IF(ISNUMBER(SEARCH("Payment to Small Business",C705)),"Merchant Payment",IF(ISNUMBER(SEARCH("Sent to",C705)),"Sent to Person",IF(ISNUMBER(SEARCH("Customer Transfer to",C705)),"Sent to Person",IF(ISNUMBER(SEARCH("Business Payment",C705)),"Money In",IF(ISNUMBER(SEARCH("Funds Received",C705)),"Money In",IF(ISNUMBER(SEARCH("Receive International",C705)),"Money In",IF(ISNUMBER(SEARCH("Send Money Reversal",C705)),"Money In",IF(ISNUMBER(SEARCH("Pay Utility Reversal",C705)),"Money In",IF(ISNUMBER(SEARCH("Customer Transfer",C705)),"Money In",IF(ISNUMBER(SEARCH("Ziidi",C705)),"Investment",IF(ISNUMBER(SEARCH("Nabo",C705)),"Investment",IF(ISNUMBER(SEARCH("Paybill Online",C705)),"Pay Bill",IF(ISNUMBER(SEARCH("Pay Bill",C705)),"Pay Bill",IF(ISNUMBER(SEARCH("Spotify",C705)),"Pay Bill",IF(ISNUMBER(SEARCH("M-Shwari",C705)),"Mshwari",IF(ISNUMBER(SEARCH("Mshwari",C705)),"Mshwari",IF(ISNUMBER(SEARCH("Withdrawal charge",C705)),"Fees",IF(ISNUMBER(SEARCH("Customer Withdrawal",C705)),"Fees",IF(ISNUMBER(SEARCH("charge",C705)),"Fees","Other")))))))))))))))))))))))))</f>
        <v>Bundles</v>
      </c>
      <c r="R705" s="1" t="str">
        <f aca="false">TEXT(B705,"MMM YYYY")</f>
        <v>Apr 2026</v>
      </c>
    </row>
    <row r="706" customFormat="false" ht="13.8" hidden="false" customHeight="false" outlineLevel="0" collapsed="false">
      <c r="A706" s="4" t="s">
        <v>1479</v>
      </c>
      <c r="B706" s="4" t="s">
        <v>1480</v>
      </c>
      <c r="C706" s="4" t="s">
        <v>1481</v>
      </c>
      <c r="D706" s="4" t="s">
        <v>18</v>
      </c>
      <c r="E706" s="4" t="n">
        <v>229</v>
      </c>
      <c r="F706" s="4"/>
      <c r="G706" s="4" t="n">
        <v>832.78</v>
      </c>
      <c r="L706" s="1" t="str">
        <f aca="false">IF(ISNUMBER(SEARCH("Bundle",C706)),"Bundles",IF(ISNUMBER(SEARCH("Airtime",C706)),"Bundles",IF(ISNUMBER(SEARCH("Merchant",C706)),"Merchant Payment",IF(ISNUMBER(SEARCH("Offnet C2B",C706)),"Merchant Payment",IF(ISNUMBER(SEARCH("Offnet B2C",C706)),"Merchant Payment",IF(ISNUMBER(SEARCH("Customer Payment to Small",C706)),"Merchant Payment",IF(ISNUMBER(SEARCH("Payment to Small Business",C706)),"Merchant Payment",IF(ISNUMBER(SEARCH("Sent to",C706)),"Sent to Person",IF(ISNUMBER(SEARCH("Customer Transfer to",C706)),"Sent to Person",IF(ISNUMBER(SEARCH("Business Payment",C706)),"Money In",IF(ISNUMBER(SEARCH("Funds Received",C706)),"Money In",IF(ISNUMBER(SEARCH("Receive International",C706)),"Money In",IF(ISNUMBER(SEARCH("Send Money Reversal",C706)),"Money In",IF(ISNUMBER(SEARCH("Pay Utility Reversal",C706)),"Money In",IF(ISNUMBER(SEARCH("Customer Transfer",C706)),"Money In",IF(ISNUMBER(SEARCH("Ziidi",C706)),"Investment",IF(ISNUMBER(SEARCH("Nabo",C706)),"Investment",IF(ISNUMBER(SEARCH("Paybill Online",C706)),"Pay Bill",IF(ISNUMBER(SEARCH("Pay Bill",C706)),"Pay Bill",IF(ISNUMBER(SEARCH("Spotify",C706)),"Pay Bill",IF(ISNUMBER(SEARCH("M-Shwari",C706)),"Mshwari",IF(ISNUMBER(SEARCH("Mshwari",C706)),"Mshwari",IF(ISNUMBER(SEARCH("Withdrawal charge",C706)),"Fees",IF(ISNUMBER(SEARCH("Customer Withdrawal",C706)),"Fees",IF(ISNUMBER(SEARCH("charge",C706)),"Fees","Other")))))))))))))))))))))))))</f>
        <v>Money In</v>
      </c>
      <c r="R706" s="1" t="str">
        <f aca="false">TEXT(B706,"MMM YYYY")</f>
        <v>Apr 2026</v>
      </c>
    </row>
    <row r="707" customFormat="false" ht="13.8" hidden="false" customHeight="false" outlineLevel="0" collapsed="false">
      <c r="A707" s="4" t="s">
        <v>1482</v>
      </c>
      <c r="B707" s="4" t="s">
        <v>1483</v>
      </c>
      <c r="C707" s="4" t="s">
        <v>621</v>
      </c>
      <c r="D707" s="4" t="s">
        <v>18</v>
      </c>
      <c r="E707" s="4"/>
      <c r="F707" s="4" t="n">
        <v>800</v>
      </c>
      <c r="G707" s="4" t="n">
        <v>32.78</v>
      </c>
      <c r="L707" s="1" t="str">
        <f aca="false">IF(ISNUMBER(SEARCH("Bundle",C707)),"Bundles",IF(ISNUMBER(SEARCH("Airtime",C707)),"Bundles",IF(ISNUMBER(SEARCH("Merchant",C707)),"Merchant Payment",IF(ISNUMBER(SEARCH("Offnet C2B",C707)),"Merchant Payment",IF(ISNUMBER(SEARCH("Offnet B2C",C707)),"Merchant Payment",IF(ISNUMBER(SEARCH("Customer Payment to Small",C707)),"Merchant Payment",IF(ISNUMBER(SEARCH("Payment to Small Business",C707)),"Merchant Payment",IF(ISNUMBER(SEARCH("Sent to",C707)),"Sent to Person",IF(ISNUMBER(SEARCH("Customer Transfer to",C707)),"Sent to Person",IF(ISNUMBER(SEARCH("Business Payment",C707)),"Money In",IF(ISNUMBER(SEARCH("Funds Received",C707)),"Money In",IF(ISNUMBER(SEARCH("Receive International",C707)),"Money In",IF(ISNUMBER(SEARCH("Send Money Reversal",C707)),"Money In",IF(ISNUMBER(SEARCH("Pay Utility Reversal",C707)),"Money In",IF(ISNUMBER(SEARCH("Customer Transfer",C707)),"Money In",IF(ISNUMBER(SEARCH("Ziidi",C707)),"Investment",IF(ISNUMBER(SEARCH("Nabo",C707)),"Investment",IF(ISNUMBER(SEARCH("Paybill Online",C707)),"Pay Bill",IF(ISNUMBER(SEARCH("Pay Bill",C707)),"Pay Bill",IF(ISNUMBER(SEARCH("Spotify",C707)),"Pay Bill",IF(ISNUMBER(SEARCH("M-Shwari",C707)),"Mshwari",IF(ISNUMBER(SEARCH("Mshwari",C707)),"Mshwari",IF(ISNUMBER(SEARCH("Withdrawal charge",C707)),"Fees",IF(ISNUMBER(SEARCH("Customer Withdrawal",C707)),"Fees",IF(ISNUMBER(SEARCH("charge",C707)),"Fees","Other")))))))))))))))))))))))))</f>
        <v>Mshwari</v>
      </c>
      <c r="R707" s="1" t="str">
        <f aca="false">TEXT(B707,"MMM YYYY")</f>
        <v>Apr 2026</v>
      </c>
    </row>
    <row r="708" customFormat="false" ht="13.8" hidden="false" customHeight="false" outlineLevel="0" collapsed="false">
      <c r="A708" s="4" t="s">
        <v>1484</v>
      </c>
      <c r="B708" s="4" t="s">
        <v>1485</v>
      </c>
      <c r="C708" s="4" t="s">
        <v>29</v>
      </c>
      <c r="D708" s="4" t="s">
        <v>18</v>
      </c>
      <c r="E708" s="4"/>
      <c r="F708" s="4" t="n">
        <v>20</v>
      </c>
      <c r="G708" s="4" t="n">
        <v>12.78</v>
      </c>
      <c r="L708" s="1" t="str">
        <f aca="false">IF(ISNUMBER(SEARCH("Bundle",C708)),"Bundles",IF(ISNUMBER(SEARCH("Airtime",C708)),"Bundles",IF(ISNUMBER(SEARCH("Merchant",C708)),"Merchant Payment",IF(ISNUMBER(SEARCH("Offnet C2B",C708)),"Merchant Payment",IF(ISNUMBER(SEARCH("Offnet B2C",C708)),"Merchant Payment",IF(ISNUMBER(SEARCH("Customer Payment to Small",C708)),"Merchant Payment",IF(ISNUMBER(SEARCH("Payment to Small Business",C708)),"Merchant Payment",IF(ISNUMBER(SEARCH("Sent to",C708)),"Sent to Person",IF(ISNUMBER(SEARCH("Customer Transfer to",C708)),"Sent to Person",IF(ISNUMBER(SEARCH("Business Payment",C708)),"Money In",IF(ISNUMBER(SEARCH("Funds Received",C708)),"Money In",IF(ISNUMBER(SEARCH("Receive International",C708)),"Money In",IF(ISNUMBER(SEARCH("Send Money Reversal",C708)),"Money In",IF(ISNUMBER(SEARCH("Pay Utility Reversal",C708)),"Money In",IF(ISNUMBER(SEARCH("Customer Transfer",C708)),"Money In",IF(ISNUMBER(SEARCH("Ziidi",C708)),"Investment",IF(ISNUMBER(SEARCH("Nabo",C708)),"Investment",IF(ISNUMBER(SEARCH("Paybill Online",C708)),"Pay Bill",IF(ISNUMBER(SEARCH("Pay Bill",C708)),"Pay Bill",IF(ISNUMBER(SEARCH("Spotify",C708)),"Pay Bill",IF(ISNUMBER(SEARCH("M-Shwari",C708)),"Mshwari",IF(ISNUMBER(SEARCH("Mshwari",C708)),"Mshwari",IF(ISNUMBER(SEARCH("Withdrawal charge",C708)),"Fees",IF(ISNUMBER(SEARCH("Customer Withdrawal",C708)),"Fees",IF(ISNUMBER(SEARCH("charge",C708)),"Fees","Other")))))))))))))))))))))))))</f>
        <v>Bundles</v>
      </c>
      <c r="R708" s="1" t="str">
        <f aca="false">TEXT(B708,"MMM YYYY")</f>
        <v>Apr 2026</v>
      </c>
    </row>
    <row r="709" customFormat="false" ht="13.8" hidden="false" customHeight="false" outlineLevel="0" collapsed="false">
      <c r="A709" s="4" t="s">
        <v>1486</v>
      </c>
      <c r="B709" s="4" t="s">
        <v>1487</v>
      </c>
      <c r="C709" s="4" t="s">
        <v>192</v>
      </c>
      <c r="D709" s="4" t="s">
        <v>18</v>
      </c>
      <c r="E709" s="4" t="n">
        <v>20</v>
      </c>
      <c r="F709" s="4"/>
      <c r="G709" s="4" t="n">
        <v>32.78</v>
      </c>
      <c r="L709" s="1" t="str">
        <f aca="false">IF(ISNUMBER(SEARCH("Bundle",C709)),"Bundles",IF(ISNUMBER(SEARCH("Airtime",C709)),"Bundles",IF(ISNUMBER(SEARCH("Merchant",C709)),"Merchant Payment",IF(ISNUMBER(SEARCH("Offnet C2B",C709)),"Merchant Payment",IF(ISNUMBER(SEARCH("Offnet B2C",C709)),"Merchant Payment",IF(ISNUMBER(SEARCH("Customer Payment to Small",C709)),"Merchant Payment",IF(ISNUMBER(SEARCH("Payment to Small Business",C709)),"Merchant Payment",IF(ISNUMBER(SEARCH("Sent to",C709)),"Sent to Person",IF(ISNUMBER(SEARCH("Customer Transfer to",C709)),"Sent to Person",IF(ISNUMBER(SEARCH("Business Payment",C709)),"Money In",IF(ISNUMBER(SEARCH("Funds Received",C709)),"Money In",IF(ISNUMBER(SEARCH("Receive International",C709)),"Money In",IF(ISNUMBER(SEARCH("Send Money Reversal",C709)),"Money In",IF(ISNUMBER(SEARCH("Pay Utility Reversal",C709)),"Money In",IF(ISNUMBER(SEARCH("Customer Transfer",C709)),"Money In",IF(ISNUMBER(SEARCH("Ziidi",C709)),"Investment",IF(ISNUMBER(SEARCH("Nabo",C709)),"Investment",IF(ISNUMBER(SEARCH("Paybill Online",C709)),"Pay Bill",IF(ISNUMBER(SEARCH("Pay Bill",C709)),"Pay Bill",IF(ISNUMBER(SEARCH("Spotify",C709)),"Pay Bill",IF(ISNUMBER(SEARCH("M-Shwari",C709)),"Mshwari",IF(ISNUMBER(SEARCH("Mshwari",C709)),"Mshwari",IF(ISNUMBER(SEARCH("Withdrawal charge",C709)),"Fees",IF(ISNUMBER(SEARCH("Customer Withdrawal",C709)),"Fees",IF(ISNUMBER(SEARCH("charge",C709)),"Fees","Other")))))))))))))))))))))))))</f>
        <v>Mshwari</v>
      </c>
      <c r="R709" s="1" t="str">
        <f aca="false">TEXT(B709,"MMM YYYY")</f>
        <v>Apr 2026</v>
      </c>
    </row>
    <row r="710" customFormat="false" ht="13.8" hidden="false" customHeight="false" outlineLevel="0" collapsed="false">
      <c r="A710" s="4" t="s">
        <v>1488</v>
      </c>
      <c r="B710" s="4" t="s">
        <v>1489</v>
      </c>
      <c r="C710" s="4" t="s">
        <v>29</v>
      </c>
      <c r="D710" s="4" t="s">
        <v>18</v>
      </c>
      <c r="E710" s="4"/>
      <c r="F710" s="4" t="n">
        <v>10</v>
      </c>
      <c r="G710" s="4" t="n">
        <v>22.78</v>
      </c>
      <c r="L710" s="1" t="str">
        <f aca="false">IF(ISNUMBER(SEARCH("Bundle",C710)),"Bundles",IF(ISNUMBER(SEARCH("Airtime",C710)),"Bundles",IF(ISNUMBER(SEARCH("Merchant",C710)),"Merchant Payment",IF(ISNUMBER(SEARCH("Offnet C2B",C710)),"Merchant Payment",IF(ISNUMBER(SEARCH("Offnet B2C",C710)),"Merchant Payment",IF(ISNUMBER(SEARCH("Customer Payment to Small",C710)),"Merchant Payment",IF(ISNUMBER(SEARCH("Payment to Small Business",C710)),"Merchant Payment",IF(ISNUMBER(SEARCH("Sent to",C710)),"Sent to Person",IF(ISNUMBER(SEARCH("Customer Transfer to",C710)),"Sent to Person",IF(ISNUMBER(SEARCH("Business Payment",C710)),"Money In",IF(ISNUMBER(SEARCH("Funds Received",C710)),"Money In",IF(ISNUMBER(SEARCH("Receive International",C710)),"Money In",IF(ISNUMBER(SEARCH("Send Money Reversal",C710)),"Money In",IF(ISNUMBER(SEARCH("Pay Utility Reversal",C710)),"Money In",IF(ISNUMBER(SEARCH("Customer Transfer",C710)),"Money In",IF(ISNUMBER(SEARCH("Ziidi",C710)),"Investment",IF(ISNUMBER(SEARCH("Nabo",C710)),"Investment",IF(ISNUMBER(SEARCH("Paybill Online",C710)),"Pay Bill",IF(ISNUMBER(SEARCH("Pay Bill",C710)),"Pay Bill",IF(ISNUMBER(SEARCH("Spotify",C710)),"Pay Bill",IF(ISNUMBER(SEARCH("M-Shwari",C710)),"Mshwari",IF(ISNUMBER(SEARCH("Mshwari",C710)),"Mshwari",IF(ISNUMBER(SEARCH("Withdrawal charge",C710)),"Fees",IF(ISNUMBER(SEARCH("Customer Withdrawal",C710)),"Fees",IF(ISNUMBER(SEARCH("charge",C710)),"Fees","Other")))))))))))))))))))))))))</f>
        <v>Bundles</v>
      </c>
      <c r="R710" s="1" t="str">
        <f aca="false">TEXT(B710,"MMM YYYY")</f>
        <v>Apr 2026</v>
      </c>
    </row>
    <row r="711" customFormat="false" ht="13.8" hidden="false" customHeight="false" outlineLevel="0" collapsed="false">
      <c r="A711" s="4" t="s">
        <v>1490</v>
      </c>
      <c r="B711" s="4" t="s">
        <v>1491</v>
      </c>
      <c r="C711" s="4" t="s">
        <v>192</v>
      </c>
      <c r="D711" s="4" t="s">
        <v>18</v>
      </c>
      <c r="E711" s="4" t="n">
        <v>1000</v>
      </c>
      <c r="F711" s="4"/>
      <c r="G711" s="4" t="n">
        <v>1022.78</v>
      </c>
      <c r="L711" s="1" t="str">
        <f aca="false">IF(ISNUMBER(SEARCH("Bundle",C711)),"Bundles",IF(ISNUMBER(SEARCH("Airtime",C711)),"Bundles",IF(ISNUMBER(SEARCH("Merchant",C711)),"Merchant Payment",IF(ISNUMBER(SEARCH("Offnet C2B",C711)),"Merchant Payment",IF(ISNUMBER(SEARCH("Offnet B2C",C711)),"Merchant Payment",IF(ISNUMBER(SEARCH("Customer Payment to Small",C711)),"Merchant Payment",IF(ISNUMBER(SEARCH("Payment to Small Business",C711)),"Merchant Payment",IF(ISNUMBER(SEARCH("Sent to",C711)),"Sent to Person",IF(ISNUMBER(SEARCH("Customer Transfer to",C711)),"Sent to Person",IF(ISNUMBER(SEARCH("Business Payment",C711)),"Money In",IF(ISNUMBER(SEARCH("Funds Received",C711)),"Money In",IF(ISNUMBER(SEARCH("Receive International",C711)),"Money In",IF(ISNUMBER(SEARCH("Send Money Reversal",C711)),"Money In",IF(ISNUMBER(SEARCH("Pay Utility Reversal",C711)),"Money In",IF(ISNUMBER(SEARCH("Customer Transfer",C711)),"Money In",IF(ISNUMBER(SEARCH("Ziidi",C711)),"Investment",IF(ISNUMBER(SEARCH("Nabo",C711)),"Investment",IF(ISNUMBER(SEARCH("Paybill Online",C711)),"Pay Bill",IF(ISNUMBER(SEARCH("Pay Bill",C711)),"Pay Bill",IF(ISNUMBER(SEARCH("Spotify",C711)),"Pay Bill",IF(ISNUMBER(SEARCH("M-Shwari",C711)),"Mshwari",IF(ISNUMBER(SEARCH("Mshwari",C711)),"Mshwari",IF(ISNUMBER(SEARCH("Withdrawal charge",C711)),"Fees",IF(ISNUMBER(SEARCH("Customer Withdrawal",C711)),"Fees",IF(ISNUMBER(SEARCH("charge",C711)),"Fees","Other")))))))))))))))))))))))))</f>
        <v>Mshwari</v>
      </c>
      <c r="R711" s="1" t="str">
        <f aca="false">TEXT(B711,"MMM YYYY")</f>
        <v>Apr 2026</v>
      </c>
    </row>
    <row r="712" customFormat="false" ht="13.8" hidden="false" customHeight="false" outlineLevel="0" collapsed="false">
      <c r="A712" s="4" t="s">
        <v>1492</v>
      </c>
      <c r="B712" s="4" t="s">
        <v>1493</v>
      </c>
      <c r="C712" s="4" t="s">
        <v>182</v>
      </c>
      <c r="D712" s="4" t="s">
        <v>18</v>
      </c>
      <c r="E712" s="4"/>
      <c r="F712" s="4" t="n">
        <v>5</v>
      </c>
      <c r="G712" s="4" t="n">
        <v>717.78</v>
      </c>
      <c r="L712" s="1" t="str">
        <f aca="false">IF(ISNUMBER(SEARCH("Bundle",C712)),"Bundles",IF(ISNUMBER(SEARCH("Airtime",C712)),"Bundles",IF(ISNUMBER(SEARCH("Merchant",C712)),"Merchant Payment",IF(ISNUMBER(SEARCH("Offnet C2B",C712)),"Merchant Payment",IF(ISNUMBER(SEARCH("Offnet B2C",C712)),"Merchant Payment",IF(ISNUMBER(SEARCH("Customer Payment to Small",C712)),"Merchant Payment",IF(ISNUMBER(SEARCH("Payment to Small Business",C712)),"Merchant Payment",IF(ISNUMBER(SEARCH("Sent to",C712)),"Sent to Person",IF(ISNUMBER(SEARCH("Customer Transfer to",C712)),"Sent to Person",IF(ISNUMBER(SEARCH("Business Payment",C712)),"Money In",IF(ISNUMBER(SEARCH("Funds Received",C712)),"Money In",IF(ISNUMBER(SEARCH("Receive International",C712)),"Money In",IF(ISNUMBER(SEARCH("Send Money Reversal",C712)),"Money In",IF(ISNUMBER(SEARCH("Pay Utility Reversal",C712)),"Money In",IF(ISNUMBER(SEARCH("Customer Transfer",C712)),"Money In",IF(ISNUMBER(SEARCH("Ziidi",C712)),"Investment",IF(ISNUMBER(SEARCH("Nabo",C712)),"Investment",IF(ISNUMBER(SEARCH("Paybill Online",C712)),"Pay Bill",IF(ISNUMBER(SEARCH("Pay Bill",C712)),"Pay Bill",IF(ISNUMBER(SEARCH("Spotify",C712)),"Pay Bill",IF(ISNUMBER(SEARCH("M-Shwari",C712)),"Mshwari",IF(ISNUMBER(SEARCH("Mshwari",C712)),"Mshwari",IF(ISNUMBER(SEARCH("Withdrawal charge",C712)),"Fees",IF(ISNUMBER(SEARCH("Customer Withdrawal",C712)),"Fees",IF(ISNUMBER(SEARCH("charge",C712)),"Fees","Other")))))))))))))))))))))))))</f>
        <v>Pay Bill</v>
      </c>
      <c r="R712" s="1" t="str">
        <f aca="false">TEXT(B712,"MMM YYYY")</f>
        <v>Apr 2026</v>
      </c>
    </row>
    <row r="713" customFormat="false" ht="13.8" hidden="false" customHeight="false" outlineLevel="0" collapsed="false">
      <c r="A713" s="4" t="s">
        <v>1492</v>
      </c>
      <c r="B713" s="4" t="s">
        <v>1493</v>
      </c>
      <c r="C713" s="4" t="s">
        <v>1494</v>
      </c>
      <c r="D713" s="4" t="s">
        <v>18</v>
      </c>
      <c r="E713" s="4"/>
      <c r="F713" s="4" t="n">
        <v>300</v>
      </c>
      <c r="G713" s="4" t="n">
        <v>722.78</v>
      </c>
      <c r="L713" s="1" t="str">
        <f aca="false">IF(ISNUMBER(SEARCH("Bundle",C713)),"Bundles",IF(ISNUMBER(SEARCH("Airtime",C713)),"Bundles",IF(ISNUMBER(SEARCH("Merchant",C713)),"Merchant Payment",IF(ISNUMBER(SEARCH("Offnet C2B",C713)),"Merchant Payment",IF(ISNUMBER(SEARCH("Offnet B2C",C713)),"Merchant Payment",IF(ISNUMBER(SEARCH("Customer Payment to Small",C713)),"Merchant Payment",IF(ISNUMBER(SEARCH("Payment to Small Business",C713)),"Merchant Payment",IF(ISNUMBER(SEARCH("Sent to",C713)),"Sent to Person",IF(ISNUMBER(SEARCH("Customer Transfer to",C713)),"Sent to Person",IF(ISNUMBER(SEARCH("Business Payment",C713)),"Money In",IF(ISNUMBER(SEARCH("Funds Received",C713)),"Money In",IF(ISNUMBER(SEARCH("Receive International",C713)),"Money In",IF(ISNUMBER(SEARCH("Send Money Reversal",C713)),"Money In",IF(ISNUMBER(SEARCH("Pay Utility Reversal",C713)),"Money In",IF(ISNUMBER(SEARCH("Customer Transfer",C713)),"Money In",IF(ISNUMBER(SEARCH("Ziidi",C713)),"Investment",IF(ISNUMBER(SEARCH("Nabo",C713)),"Investment",IF(ISNUMBER(SEARCH("Paybill Online",C713)),"Pay Bill",IF(ISNUMBER(SEARCH("Pay Bill",C713)),"Pay Bill",IF(ISNUMBER(SEARCH("Spotify",C713)),"Pay Bill",IF(ISNUMBER(SEARCH("M-Shwari",C713)),"Mshwari",IF(ISNUMBER(SEARCH("Mshwari",C713)),"Mshwari",IF(ISNUMBER(SEARCH("Withdrawal charge",C713)),"Fees",IF(ISNUMBER(SEARCH("Customer Withdrawal",C713)),"Fees",IF(ISNUMBER(SEARCH("charge",C713)),"Fees","Other")))))))))))))))))))))))))</f>
        <v>Pay Bill</v>
      </c>
      <c r="R713" s="1" t="str">
        <f aca="false">TEXT(B713,"MMM YYYY")</f>
        <v>Apr 2026</v>
      </c>
    </row>
    <row r="714" customFormat="false" ht="13.8" hidden="false" customHeight="false" outlineLevel="0" collapsed="false">
      <c r="A714" s="4" t="s">
        <v>1495</v>
      </c>
      <c r="B714" s="4" t="s">
        <v>1496</v>
      </c>
      <c r="C714" s="4" t="s">
        <v>1497</v>
      </c>
      <c r="D714" s="4" t="s">
        <v>18</v>
      </c>
      <c r="E714" s="4"/>
      <c r="F714" s="4" t="n">
        <v>100</v>
      </c>
      <c r="G714" s="4" t="n">
        <v>617.78</v>
      </c>
      <c r="L714" s="1" t="str">
        <f aca="false">IF(ISNUMBER(SEARCH("Bundle",C714)),"Bundles",IF(ISNUMBER(SEARCH("Airtime",C714)),"Bundles",IF(ISNUMBER(SEARCH("Merchant",C714)),"Merchant Payment",IF(ISNUMBER(SEARCH("Offnet C2B",C714)),"Merchant Payment",IF(ISNUMBER(SEARCH("Offnet B2C",C714)),"Merchant Payment",IF(ISNUMBER(SEARCH("Customer Payment to Small",C714)),"Merchant Payment",IF(ISNUMBER(SEARCH("Payment to Small Business",C714)),"Merchant Payment",IF(ISNUMBER(SEARCH("Sent to",C714)),"Sent to Person",IF(ISNUMBER(SEARCH("Customer Transfer to",C714)),"Sent to Person",IF(ISNUMBER(SEARCH("Business Payment",C714)),"Money In",IF(ISNUMBER(SEARCH("Funds Received",C714)),"Money In",IF(ISNUMBER(SEARCH("Receive International",C714)),"Money In",IF(ISNUMBER(SEARCH("Send Money Reversal",C714)),"Money In",IF(ISNUMBER(SEARCH("Pay Utility Reversal",C714)),"Money In",IF(ISNUMBER(SEARCH("Customer Transfer",C714)),"Money In",IF(ISNUMBER(SEARCH("Ziidi",C714)),"Investment",IF(ISNUMBER(SEARCH("Nabo",C714)),"Investment",IF(ISNUMBER(SEARCH("Paybill Online",C714)),"Pay Bill",IF(ISNUMBER(SEARCH("Pay Bill",C714)),"Pay Bill",IF(ISNUMBER(SEARCH("Spotify",C714)),"Pay Bill",IF(ISNUMBER(SEARCH("M-Shwari",C714)),"Mshwari",IF(ISNUMBER(SEARCH("Mshwari",C714)),"Mshwari",IF(ISNUMBER(SEARCH("Withdrawal charge",C714)),"Fees",IF(ISNUMBER(SEARCH("Customer Withdrawal",C714)),"Fees",IF(ISNUMBER(SEARCH("charge",C714)),"Fees","Other")))))))))))))))))))))))))</f>
        <v>Merchant Payment</v>
      </c>
      <c r="R714" s="1" t="str">
        <f aca="false">TEXT(B714,"MMM YYYY")</f>
        <v>Apr 2026</v>
      </c>
    </row>
    <row r="715" customFormat="false" ht="13.8" hidden="false" customHeight="false" outlineLevel="0" collapsed="false">
      <c r="A715" s="4" t="s">
        <v>1498</v>
      </c>
      <c r="B715" s="4" t="s">
        <v>1499</v>
      </c>
      <c r="C715" s="4" t="s">
        <v>263</v>
      </c>
      <c r="D715" s="4" t="s">
        <v>18</v>
      </c>
      <c r="E715" s="4"/>
      <c r="F715" s="4" t="n">
        <v>580</v>
      </c>
      <c r="G715" s="4" t="n">
        <v>37.78</v>
      </c>
      <c r="L715" s="1" t="str">
        <f aca="false">IF(ISNUMBER(SEARCH("Bundle",C715)),"Bundles",IF(ISNUMBER(SEARCH("Airtime",C715)),"Bundles",IF(ISNUMBER(SEARCH("Merchant",C715)),"Merchant Payment",IF(ISNUMBER(SEARCH("Offnet C2B",C715)),"Merchant Payment",IF(ISNUMBER(SEARCH("Offnet B2C",C715)),"Merchant Payment",IF(ISNUMBER(SEARCH("Customer Payment to Small",C715)),"Merchant Payment",IF(ISNUMBER(SEARCH("Payment to Small Business",C715)),"Merchant Payment",IF(ISNUMBER(SEARCH("Sent to",C715)),"Sent to Person",IF(ISNUMBER(SEARCH("Customer Transfer to",C715)),"Sent to Person",IF(ISNUMBER(SEARCH("Business Payment",C715)),"Money In",IF(ISNUMBER(SEARCH("Funds Received",C715)),"Money In",IF(ISNUMBER(SEARCH("Receive International",C715)),"Money In",IF(ISNUMBER(SEARCH("Send Money Reversal",C715)),"Money In",IF(ISNUMBER(SEARCH("Pay Utility Reversal",C715)),"Money In",IF(ISNUMBER(SEARCH("Customer Transfer",C715)),"Money In",IF(ISNUMBER(SEARCH("Ziidi",C715)),"Investment",IF(ISNUMBER(SEARCH("Nabo",C715)),"Investment",IF(ISNUMBER(SEARCH("Paybill Online",C715)),"Pay Bill",IF(ISNUMBER(SEARCH("Pay Bill",C715)),"Pay Bill",IF(ISNUMBER(SEARCH("Spotify",C715)),"Pay Bill",IF(ISNUMBER(SEARCH("M-Shwari",C715)),"Mshwari",IF(ISNUMBER(SEARCH("Mshwari",C715)),"Mshwari",IF(ISNUMBER(SEARCH("Withdrawal charge",C715)),"Fees",IF(ISNUMBER(SEARCH("Customer Withdrawal",C715)),"Fees",IF(ISNUMBER(SEARCH("charge",C715)),"Fees","Other")))))))))))))))))))))))))</f>
        <v>Merchant Payment</v>
      </c>
      <c r="R715" s="1" t="str">
        <f aca="false">TEXT(B715,"MMM YYYY")</f>
        <v>Apr 2026</v>
      </c>
    </row>
    <row r="716" customFormat="false" ht="13.8" hidden="false" customHeight="false" outlineLevel="0" collapsed="false">
      <c r="A716" s="4" t="s">
        <v>1500</v>
      </c>
      <c r="B716" s="4" t="s">
        <v>1501</v>
      </c>
      <c r="C716" s="4" t="s">
        <v>666</v>
      </c>
      <c r="D716" s="4" t="s">
        <v>18</v>
      </c>
      <c r="E716" s="4"/>
      <c r="F716" s="4" t="n">
        <v>30</v>
      </c>
      <c r="G716" s="4" t="n">
        <v>7.78</v>
      </c>
      <c r="L716" s="1" t="str">
        <f aca="false">IF(ISNUMBER(SEARCH("Bundle",C716)),"Bundles",IF(ISNUMBER(SEARCH("Airtime",C716)),"Bundles",IF(ISNUMBER(SEARCH("Merchant",C716)),"Merchant Payment",IF(ISNUMBER(SEARCH("Offnet C2B",C716)),"Merchant Payment",IF(ISNUMBER(SEARCH("Offnet B2C",C716)),"Merchant Payment",IF(ISNUMBER(SEARCH("Customer Payment to Small",C716)),"Merchant Payment",IF(ISNUMBER(SEARCH("Payment to Small Business",C716)),"Merchant Payment",IF(ISNUMBER(SEARCH("Sent to",C716)),"Sent to Person",IF(ISNUMBER(SEARCH("Customer Transfer to",C716)),"Sent to Person",IF(ISNUMBER(SEARCH("Business Payment",C716)),"Money In",IF(ISNUMBER(SEARCH("Funds Received",C716)),"Money In",IF(ISNUMBER(SEARCH("Receive International",C716)),"Money In",IF(ISNUMBER(SEARCH("Send Money Reversal",C716)),"Money In",IF(ISNUMBER(SEARCH("Pay Utility Reversal",C716)),"Money In",IF(ISNUMBER(SEARCH("Customer Transfer",C716)),"Money In",IF(ISNUMBER(SEARCH("Ziidi",C716)),"Investment",IF(ISNUMBER(SEARCH("Nabo",C716)),"Investment",IF(ISNUMBER(SEARCH("Paybill Online",C716)),"Pay Bill",IF(ISNUMBER(SEARCH("Pay Bill",C716)),"Pay Bill",IF(ISNUMBER(SEARCH("Spotify",C716)),"Pay Bill",IF(ISNUMBER(SEARCH("M-Shwari",C716)),"Mshwari",IF(ISNUMBER(SEARCH("Mshwari",C716)),"Mshwari",IF(ISNUMBER(SEARCH("Withdrawal charge",C716)),"Fees",IF(ISNUMBER(SEARCH("Customer Withdrawal",C716)),"Fees",IF(ISNUMBER(SEARCH("charge",C716)),"Fees","Other")))))))))))))))))))))))))</f>
        <v>Merchant Payment</v>
      </c>
      <c r="R716" s="1" t="str">
        <f aca="false">TEXT(B716,"MMM YYYY")</f>
        <v>Apr 2026</v>
      </c>
    </row>
    <row r="717" customFormat="false" ht="13.8" hidden="false" customHeight="false" outlineLevel="0" collapsed="false">
      <c r="A717" s="4" t="s">
        <v>1502</v>
      </c>
      <c r="B717" s="4" t="s">
        <v>1503</v>
      </c>
      <c r="C717" s="4" t="s">
        <v>192</v>
      </c>
      <c r="D717" s="4" t="s">
        <v>18</v>
      </c>
      <c r="E717" s="4" t="n">
        <v>30</v>
      </c>
      <c r="F717" s="4"/>
      <c r="G717" s="4" t="n">
        <v>37.78</v>
      </c>
      <c r="L717" s="1" t="str">
        <f aca="false">IF(ISNUMBER(SEARCH("Bundle",C717)),"Bundles",IF(ISNUMBER(SEARCH("Airtime",C717)),"Bundles",IF(ISNUMBER(SEARCH("Merchant",C717)),"Merchant Payment",IF(ISNUMBER(SEARCH("Offnet C2B",C717)),"Merchant Payment",IF(ISNUMBER(SEARCH("Offnet B2C",C717)),"Merchant Payment",IF(ISNUMBER(SEARCH("Customer Payment to Small",C717)),"Merchant Payment",IF(ISNUMBER(SEARCH("Payment to Small Business",C717)),"Merchant Payment",IF(ISNUMBER(SEARCH("Sent to",C717)),"Sent to Person",IF(ISNUMBER(SEARCH("Customer Transfer to",C717)),"Sent to Person",IF(ISNUMBER(SEARCH("Business Payment",C717)),"Money In",IF(ISNUMBER(SEARCH("Funds Received",C717)),"Money In",IF(ISNUMBER(SEARCH("Receive International",C717)),"Money In",IF(ISNUMBER(SEARCH("Send Money Reversal",C717)),"Money In",IF(ISNUMBER(SEARCH("Pay Utility Reversal",C717)),"Money In",IF(ISNUMBER(SEARCH("Customer Transfer",C717)),"Money In",IF(ISNUMBER(SEARCH("Ziidi",C717)),"Investment",IF(ISNUMBER(SEARCH("Nabo",C717)),"Investment",IF(ISNUMBER(SEARCH("Paybill Online",C717)),"Pay Bill",IF(ISNUMBER(SEARCH("Pay Bill",C717)),"Pay Bill",IF(ISNUMBER(SEARCH("Spotify",C717)),"Pay Bill",IF(ISNUMBER(SEARCH("M-Shwari",C717)),"Mshwari",IF(ISNUMBER(SEARCH("Mshwari",C717)),"Mshwari",IF(ISNUMBER(SEARCH("Withdrawal charge",C717)),"Fees",IF(ISNUMBER(SEARCH("Customer Withdrawal",C717)),"Fees",IF(ISNUMBER(SEARCH("charge",C717)),"Fees","Other")))))))))))))))))))))))))</f>
        <v>Mshwari</v>
      </c>
      <c r="R717" s="1" t="str">
        <f aca="false">TEXT(B717,"MMM YYYY")</f>
        <v>Apr 2026</v>
      </c>
    </row>
    <row r="718" customFormat="false" ht="13.8" hidden="false" customHeight="false" outlineLevel="0" collapsed="false">
      <c r="A718" s="4" t="s">
        <v>1504</v>
      </c>
      <c r="B718" s="4" t="s">
        <v>1505</v>
      </c>
      <c r="C718" s="4" t="s">
        <v>29</v>
      </c>
      <c r="D718" s="4" t="s">
        <v>18</v>
      </c>
      <c r="E718" s="4"/>
      <c r="F718" s="4" t="n">
        <v>20</v>
      </c>
      <c r="G718" s="4" t="n">
        <v>17.78</v>
      </c>
      <c r="L718" s="1" t="str">
        <f aca="false">IF(ISNUMBER(SEARCH("Bundle",C718)),"Bundles",IF(ISNUMBER(SEARCH("Airtime",C718)),"Bundles",IF(ISNUMBER(SEARCH("Merchant",C718)),"Merchant Payment",IF(ISNUMBER(SEARCH("Offnet C2B",C718)),"Merchant Payment",IF(ISNUMBER(SEARCH("Offnet B2C",C718)),"Merchant Payment",IF(ISNUMBER(SEARCH("Customer Payment to Small",C718)),"Merchant Payment",IF(ISNUMBER(SEARCH("Payment to Small Business",C718)),"Merchant Payment",IF(ISNUMBER(SEARCH("Sent to",C718)),"Sent to Person",IF(ISNUMBER(SEARCH("Customer Transfer to",C718)),"Sent to Person",IF(ISNUMBER(SEARCH("Business Payment",C718)),"Money In",IF(ISNUMBER(SEARCH("Funds Received",C718)),"Money In",IF(ISNUMBER(SEARCH("Receive International",C718)),"Money In",IF(ISNUMBER(SEARCH("Send Money Reversal",C718)),"Money In",IF(ISNUMBER(SEARCH("Pay Utility Reversal",C718)),"Money In",IF(ISNUMBER(SEARCH("Customer Transfer",C718)),"Money In",IF(ISNUMBER(SEARCH("Ziidi",C718)),"Investment",IF(ISNUMBER(SEARCH("Nabo",C718)),"Investment",IF(ISNUMBER(SEARCH("Paybill Online",C718)),"Pay Bill",IF(ISNUMBER(SEARCH("Pay Bill",C718)),"Pay Bill",IF(ISNUMBER(SEARCH("Spotify",C718)),"Pay Bill",IF(ISNUMBER(SEARCH("M-Shwari",C718)),"Mshwari",IF(ISNUMBER(SEARCH("Mshwari",C718)),"Mshwari",IF(ISNUMBER(SEARCH("Withdrawal charge",C718)),"Fees",IF(ISNUMBER(SEARCH("Customer Withdrawal",C718)),"Fees",IF(ISNUMBER(SEARCH("charge",C718)),"Fees","Other")))))))))))))))))))))))))</f>
        <v>Bundles</v>
      </c>
      <c r="R718" s="1" t="str">
        <f aca="false">TEXT(B718,"MMM YYYY")</f>
        <v>Apr 2026</v>
      </c>
    </row>
    <row r="719" customFormat="false" ht="13.8" hidden="false" customHeight="false" outlineLevel="0" collapsed="false">
      <c r="A719" s="4" t="s">
        <v>1506</v>
      </c>
      <c r="B719" s="4" t="s">
        <v>1507</v>
      </c>
      <c r="C719" s="4" t="s">
        <v>192</v>
      </c>
      <c r="D719" s="4" t="s">
        <v>18</v>
      </c>
      <c r="E719" s="4" t="n">
        <v>100</v>
      </c>
      <c r="F719" s="4"/>
      <c r="G719" s="4" t="n">
        <v>117.78</v>
      </c>
      <c r="L719" s="1" t="str">
        <f aca="false">IF(ISNUMBER(SEARCH("Bundle",C719)),"Bundles",IF(ISNUMBER(SEARCH("Airtime",C719)),"Bundles",IF(ISNUMBER(SEARCH("Merchant",C719)),"Merchant Payment",IF(ISNUMBER(SEARCH("Offnet C2B",C719)),"Merchant Payment",IF(ISNUMBER(SEARCH("Offnet B2C",C719)),"Merchant Payment",IF(ISNUMBER(SEARCH("Customer Payment to Small",C719)),"Merchant Payment",IF(ISNUMBER(SEARCH("Payment to Small Business",C719)),"Merchant Payment",IF(ISNUMBER(SEARCH("Sent to",C719)),"Sent to Person",IF(ISNUMBER(SEARCH("Customer Transfer to",C719)),"Sent to Person",IF(ISNUMBER(SEARCH("Business Payment",C719)),"Money In",IF(ISNUMBER(SEARCH("Funds Received",C719)),"Money In",IF(ISNUMBER(SEARCH("Receive International",C719)),"Money In",IF(ISNUMBER(SEARCH("Send Money Reversal",C719)),"Money In",IF(ISNUMBER(SEARCH("Pay Utility Reversal",C719)),"Money In",IF(ISNUMBER(SEARCH("Customer Transfer",C719)),"Money In",IF(ISNUMBER(SEARCH("Ziidi",C719)),"Investment",IF(ISNUMBER(SEARCH("Nabo",C719)),"Investment",IF(ISNUMBER(SEARCH("Paybill Online",C719)),"Pay Bill",IF(ISNUMBER(SEARCH("Pay Bill",C719)),"Pay Bill",IF(ISNUMBER(SEARCH("Spotify",C719)),"Pay Bill",IF(ISNUMBER(SEARCH("M-Shwari",C719)),"Mshwari",IF(ISNUMBER(SEARCH("Mshwari",C719)),"Mshwari",IF(ISNUMBER(SEARCH("Withdrawal charge",C719)),"Fees",IF(ISNUMBER(SEARCH("Customer Withdrawal",C719)),"Fees",IF(ISNUMBER(SEARCH("charge",C719)),"Fees","Other")))))))))))))))))))))))))</f>
        <v>Mshwari</v>
      </c>
      <c r="R719" s="1" t="str">
        <f aca="false">TEXT(B719,"MMM YYYY")</f>
        <v>Apr 2026</v>
      </c>
    </row>
    <row r="720" customFormat="false" ht="13.8" hidden="false" customHeight="false" outlineLevel="0" collapsed="false">
      <c r="A720" s="4" t="s">
        <v>1508</v>
      </c>
      <c r="B720" s="4" t="s">
        <v>1509</v>
      </c>
      <c r="C720" s="4" t="s">
        <v>29</v>
      </c>
      <c r="D720" s="4" t="s">
        <v>18</v>
      </c>
      <c r="E720" s="4"/>
      <c r="F720" s="4" t="n">
        <v>20</v>
      </c>
      <c r="G720" s="4" t="n">
        <v>97.78</v>
      </c>
      <c r="L720" s="1" t="str">
        <f aca="false">IF(ISNUMBER(SEARCH("Bundle",C720)),"Bundles",IF(ISNUMBER(SEARCH("Airtime",C720)),"Bundles",IF(ISNUMBER(SEARCH("Merchant",C720)),"Merchant Payment",IF(ISNUMBER(SEARCH("Offnet C2B",C720)),"Merchant Payment",IF(ISNUMBER(SEARCH("Offnet B2C",C720)),"Merchant Payment",IF(ISNUMBER(SEARCH("Customer Payment to Small",C720)),"Merchant Payment",IF(ISNUMBER(SEARCH("Payment to Small Business",C720)),"Merchant Payment",IF(ISNUMBER(SEARCH("Sent to",C720)),"Sent to Person",IF(ISNUMBER(SEARCH("Customer Transfer to",C720)),"Sent to Person",IF(ISNUMBER(SEARCH("Business Payment",C720)),"Money In",IF(ISNUMBER(SEARCH("Funds Received",C720)),"Money In",IF(ISNUMBER(SEARCH("Receive International",C720)),"Money In",IF(ISNUMBER(SEARCH("Send Money Reversal",C720)),"Money In",IF(ISNUMBER(SEARCH("Pay Utility Reversal",C720)),"Money In",IF(ISNUMBER(SEARCH("Customer Transfer",C720)),"Money In",IF(ISNUMBER(SEARCH("Ziidi",C720)),"Investment",IF(ISNUMBER(SEARCH("Nabo",C720)),"Investment",IF(ISNUMBER(SEARCH("Paybill Online",C720)),"Pay Bill",IF(ISNUMBER(SEARCH("Pay Bill",C720)),"Pay Bill",IF(ISNUMBER(SEARCH("Spotify",C720)),"Pay Bill",IF(ISNUMBER(SEARCH("M-Shwari",C720)),"Mshwari",IF(ISNUMBER(SEARCH("Mshwari",C720)),"Mshwari",IF(ISNUMBER(SEARCH("Withdrawal charge",C720)),"Fees",IF(ISNUMBER(SEARCH("Customer Withdrawal",C720)),"Fees",IF(ISNUMBER(SEARCH("charge",C720)),"Fees","Other")))))))))))))))))))))))))</f>
        <v>Bundles</v>
      </c>
      <c r="R720" s="1" t="str">
        <f aca="false">TEXT(B720,"MMM YYYY")</f>
        <v>Apr 2026</v>
      </c>
    </row>
    <row r="721" customFormat="false" ht="13.8" hidden="false" customHeight="false" outlineLevel="0" collapsed="false">
      <c r="A721" s="4" t="s">
        <v>1510</v>
      </c>
      <c r="B721" s="4" t="s">
        <v>1511</v>
      </c>
      <c r="C721" s="4" t="s">
        <v>459</v>
      </c>
      <c r="D721" s="4" t="s">
        <v>18</v>
      </c>
      <c r="E721" s="4"/>
      <c r="F721" s="4" t="n">
        <v>20</v>
      </c>
      <c r="G721" s="4" t="n">
        <v>77.78</v>
      </c>
      <c r="L721" s="1" t="str">
        <f aca="false">IF(ISNUMBER(SEARCH("Bundle",C721)),"Bundles",IF(ISNUMBER(SEARCH("Airtime",C721)),"Bundles",IF(ISNUMBER(SEARCH("Merchant",C721)),"Merchant Payment",IF(ISNUMBER(SEARCH("Offnet C2B",C721)),"Merchant Payment",IF(ISNUMBER(SEARCH("Offnet B2C",C721)),"Merchant Payment",IF(ISNUMBER(SEARCH("Customer Payment to Small",C721)),"Merchant Payment",IF(ISNUMBER(SEARCH("Payment to Small Business",C721)),"Merchant Payment",IF(ISNUMBER(SEARCH("Sent to",C721)),"Sent to Person",IF(ISNUMBER(SEARCH("Customer Transfer to",C721)),"Sent to Person",IF(ISNUMBER(SEARCH("Business Payment",C721)),"Money In",IF(ISNUMBER(SEARCH("Funds Received",C721)),"Money In",IF(ISNUMBER(SEARCH("Receive International",C721)),"Money In",IF(ISNUMBER(SEARCH("Send Money Reversal",C721)),"Money In",IF(ISNUMBER(SEARCH("Pay Utility Reversal",C721)),"Money In",IF(ISNUMBER(SEARCH("Customer Transfer",C721)),"Money In",IF(ISNUMBER(SEARCH("Ziidi",C721)),"Investment",IF(ISNUMBER(SEARCH("Nabo",C721)),"Investment",IF(ISNUMBER(SEARCH("Paybill Online",C721)),"Pay Bill",IF(ISNUMBER(SEARCH("Pay Bill",C721)),"Pay Bill",IF(ISNUMBER(SEARCH("Spotify",C721)),"Pay Bill",IF(ISNUMBER(SEARCH("M-Shwari",C721)),"Mshwari",IF(ISNUMBER(SEARCH("Mshwari",C721)),"Mshwari",IF(ISNUMBER(SEARCH("Withdrawal charge",C721)),"Fees",IF(ISNUMBER(SEARCH("Customer Withdrawal",C721)),"Fees",IF(ISNUMBER(SEARCH("charge",C721)),"Fees","Other")))))))))))))))))))))))))</f>
        <v>Merchant Payment</v>
      </c>
      <c r="R721" s="1" t="str">
        <f aca="false">TEXT(B721,"MMM YYYY")</f>
        <v>Apr 2026</v>
      </c>
    </row>
    <row r="722" customFormat="false" ht="13.8" hidden="false" customHeight="false" outlineLevel="0" collapsed="false">
      <c r="A722" s="4" t="s">
        <v>1512</v>
      </c>
      <c r="B722" s="4" t="s">
        <v>1513</v>
      </c>
      <c r="C722" s="4" t="s">
        <v>29</v>
      </c>
      <c r="D722" s="4" t="s">
        <v>18</v>
      </c>
      <c r="E722" s="4"/>
      <c r="F722" s="4" t="n">
        <v>10</v>
      </c>
      <c r="G722" s="4" t="n">
        <v>67.78</v>
      </c>
      <c r="L722" s="1" t="str">
        <f aca="false">IF(ISNUMBER(SEARCH("Bundle",C722)),"Bundles",IF(ISNUMBER(SEARCH("Airtime",C722)),"Bundles",IF(ISNUMBER(SEARCH("Merchant",C722)),"Merchant Payment",IF(ISNUMBER(SEARCH("Offnet C2B",C722)),"Merchant Payment",IF(ISNUMBER(SEARCH("Offnet B2C",C722)),"Merchant Payment",IF(ISNUMBER(SEARCH("Customer Payment to Small",C722)),"Merchant Payment",IF(ISNUMBER(SEARCH("Payment to Small Business",C722)),"Merchant Payment",IF(ISNUMBER(SEARCH("Sent to",C722)),"Sent to Person",IF(ISNUMBER(SEARCH("Customer Transfer to",C722)),"Sent to Person",IF(ISNUMBER(SEARCH("Business Payment",C722)),"Money In",IF(ISNUMBER(SEARCH("Funds Received",C722)),"Money In",IF(ISNUMBER(SEARCH("Receive International",C722)),"Money In",IF(ISNUMBER(SEARCH("Send Money Reversal",C722)),"Money In",IF(ISNUMBER(SEARCH("Pay Utility Reversal",C722)),"Money In",IF(ISNUMBER(SEARCH("Customer Transfer",C722)),"Money In",IF(ISNUMBER(SEARCH("Ziidi",C722)),"Investment",IF(ISNUMBER(SEARCH("Nabo",C722)),"Investment",IF(ISNUMBER(SEARCH("Paybill Online",C722)),"Pay Bill",IF(ISNUMBER(SEARCH("Pay Bill",C722)),"Pay Bill",IF(ISNUMBER(SEARCH("Spotify",C722)),"Pay Bill",IF(ISNUMBER(SEARCH("M-Shwari",C722)),"Mshwari",IF(ISNUMBER(SEARCH("Mshwari",C722)),"Mshwari",IF(ISNUMBER(SEARCH("Withdrawal charge",C722)),"Fees",IF(ISNUMBER(SEARCH("Customer Withdrawal",C722)),"Fees",IF(ISNUMBER(SEARCH("charge",C722)),"Fees","Other")))))))))))))))))))))))))</f>
        <v>Bundles</v>
      </c>
      <c r="R722" s="1" t="str">
        <f aca="false">TEXT(B722,"MMM YYYY")</f>
        <v>Apr 2026</v>
      </c>
    </row>
    <row r="723" customFormat="false" ht="13.8" hidden="false" customHeight="false" outlineLevel="0" collapsed="false">
      <c r="A723" s="4" t="s">
        <v>1514</v>
      </c>
      <c r="B723" s="4" t="s">
        <v>1515</v>
      </c>
      <c r="C723" s="4" t="s">
        <v>1010</v>
      </c>
      <c r="D723" s="4" t="s">
        <v>18</v>
      </c>
      <c r="E723" s="4"/>
      <c r="F723" s="4" t="n">
        <v>50</v>
      </c>
      <c r="G723" s="4" t="n">
        <v>17.78</v>
      </c>
      <c r="L723" s="1" t="str">
        <f aca="false">IF(ISNUMBER(SEARCH("Bundle",C723)),"Bundles",IF(ISNUMBER(SEARCH("Airtime",C723)),"Bundles",IF(ISNUMBER(SEARCH("Merchant",C723)),"Merchant Payment",IF(ISNUMBER(SEARCH("Offnet C2B",C723)),"Merchant Payment",IF(ISNUMBER(SEARCH("Offnet B2C",C723)),"Merchant Payment",IF(ISNUMBER(SEARCH("Customer Payment to Small",C723)),"Merchant Payment",IF(ISNUMBER(SEARCH("Payment to Small Business",C723)),"Merchant Payment",IF(ISNUMBER(SEARCH("Sent to",C723)),"Sent to Person",IF(ISNUMBER(SEARCH("Customer Transfer to",C723)),"Sent to Person",IF(ISNUMBER(SEARCH("Business Payment",C723)),"Money In",IF(ISNUMBER(SEARCH("Funds Received",C723)),"Money In",IF(ISNUMBER(SEARCH("Receive International",C723)),"Money In",IF(ISNUMBER(SEARCH("Send Money Reversal",C723)),"Money In",IF(ISNUMBER(SEARCH("Pay Utility Reversal",C723)),"Money In",IF(ISNUMBER(SEARCH("Customer Transfer",C723)),"Money In",IF(ISNUMBER(SEARCH("Ziidi",C723)),"Investment",IF(ISNUMBER(SEARCH("Nabo",C723)),"Investment",IF(ISNUMBER(SEARCH("Paybill Online",C723)),"Pay Bill",IF(ISNUMBER(SEARCH("Pay Bill",C723)),"Pay Bill",IF(ISNUMBER(SEARCH("Spotify",C723)),"Pay Bill",IF(ISNUMBER(SEARCH("M-Shwari",C723)),"Mshwari",IF(ISNUMBER(SEARCH("Mshwari",C723)),"Mshwari",IF(ISNUMBER(SEARCH("Withdrawal charge",C723)),"Fees",IF(ISNUMBER(SEARCH("Customer Withdrawal",C723)),"Fees",IF(ISNUMBER(SEARCH("charge",C723)),"Fees","Other")))))))))))))))))))))))))</f>
        <v>Merchant Payment</v>
      </c>
      <c r="R723" s="1" t="str">
        <f aca="false">TEXT(B723,"MMM YYYY")</f>
        <v>Apr 2026</v>
      </c>
    </row>
    <row r="724" customFormat="false" ht="13.8" hidden="false" customHeight="false" outlineLevel="0" collapsed="false">
      <c r="A724" s="4" t="s">
        <v>1516</v>
      </c>
      <c r="B724" s="4" t="s">
        <v>1517</v>
      </c>
      <c r="C724" s="4" t="s">
        <v>192</v>
      </c>
      <c r="D724" s="4" t="s">
        <v>18</v>
      </c>
      <c r="E724" s="4" t="n">
        <v>200</v>
      </c>
      <c r="F724" s="4"/>
      <c r="G724" s="4" t="n">
        <v>217.78</v>
      </c>
      <c r="L724" s="1" t="str">
        <f aca="false">IF(ISNUMBER(SEARCH("Bundle",C724)),"Bundles",IF(ISNUMBER(SEARCH("Airtime",C724)),"Bundles",IF(ISNUMBER(SEARCH("Merchant",C724)),"Merchant Payment",IF(ISNUMBER(SEARCH("Offnet C2B",C724)),"Merchant Payment",IF(ISNUMBER(SEARCH("Offnet B2C",C724)),"Merchant Payment",IF(ISNUMBER(SEARCH("Customer Payment to Small",C724)),"Merchant Payment",IF(ISNUMBER(SEARCH("Payment to Small Business",C724)),"Merchant Payment",IF(ISNUMBER(SEARCH("Sent to",C724)),"Sent to Person",IF(ISNUMBER(SEARCH("Customer Transfer to",C724)),"Sent to Person",IF(ISNUMBER(SEARCH("Business Payment",C724)),"Money In",IF(ISNUMBER(SEARCH("Funds Received",C724)),"Money In",IF(ISNUMBER(SEARCH("Receive International",C724)),"Money In",IF(ISNUMBER(SEARCH("Send Money Reversal",C724)),"Money In",IF(ISNUMBER(SEARCH("Pay Utility Reversal",C724)),"Money In",IF(ISNUMBER(SEARCH("Customer Transfer",C724)),"Money In",IF(ISNUMBER(SEARCH("Ziidi",C724)),"Investment",IF(ISNUMBER(SEARCH("Nabo",C724)),"Investment",IF(ISNUMBER(SEARCH("Paybill Online",C724)),"Pay Bill",IF(ISNUMBER(SEARCH("Pay Bill",C724)),"Pay Bill",IF(ISNUMBER(SEARCH("Spotify",C724)),"Pay Bill",IF(ISNUMBER(SEARCH("M-Shwari",C724)),"Mshwari",IF(ISNUMBER(SEARCH("Mshwari",C724)),"Mshwari",IF(ISNUMBER(SEARCH("Withdrawal charge",C724)),"Fees",IF(ISNUMBER(SEARCH("Customer Withdrawal",C724)),"Fees",IF(ISNUMBER(SEARCH("charge",C724)),"Fees","Other")))))))))))))))))))))))))</f>
        <v>Mshwari</v>
      </c>
      <c r="R724" s="1" t="str">
        <f aca="false">TEXT(B724,"MMM YYYY")</f>
        <v>Apr 2026</v>
      </c>
    </row>
    <row r="725" customFormat="false" ht="13.8" hidden="false" customHeight="false" outlineLevel="0" collapsed="false">
      <c r="A725" s="4" t="s">
        <v>1518</v>
      </c>
      <c r="B725" s="4" t="s">
        <v>1519</v>
      </c>
      <c r="C725" s="4" t="s">
        <v>1086</v>
      </c>
      <c r="D725" s="4" t="s">
        <v>18</v>
      </c>
      <c r="E725" s="4"/>
      <c r="F725" s="4" t="n">
        <v>100</v>
      </c>
      <c r="G725" s="4" t="n">
        <v>117.78</v>
      </c>
      <c r="L725" s="1" t="str">
        <f aca="false">IF(ISNUMBER(SEARCH("Bundle",C725)),"Bundles",IF(ISNUMBER(SEARCH("Airtime",C725)),"Bundles",IF(ISNUMBER(SEARCH("Merchant",C725)),"Merchant Payment",IF(ISNUMBER(SEARCH("Offnet C2B",C725)),"Merchant Payment",IF(ISNUMBER(SEARCH("Offnet B2C",C725)),"Merchant Payment",IF(ISNUMBER(SEARCH("Customer Payment to Small",C725)),"Merchant Payment",IF(ISNUMBER(SEARCH("Payment to Small Business",C725)),"Merchant Payment",IF(ISNUMBER(SEARCH("Sent to",C725)),"Sent to Person",IF(ISNUMBER(SEARCH("Customer Transfer to",C725)),"Sent to Person",IF(ISNUMBER(SEARCH("Business Payment",C725)),"Money In",IF(ISNUMBER(SEARCH("Funds Received",C725)),"Money In",IF(ISNUMBER(SEARCH("Receive International",C725)),"Money In",IF(ISNUMBER(SEARCH("Send Money Reversal",C725)),"Money In",IF(ISNUMBER(SEARCH("Pay Utility Reversal",C725)),"Money In",IF(ISNUMBER(SEARCH("Customer Transfer",C725)),"Money In",IF(ISNUMBER(SEARCH("Ziidi",C725)),"Investment",IF(ISNUMBER(SEARCH("Nabo",C725)),"Investment",IF(ISNUMBER(SEARCH("Paybill Online",C725)),"Pay Bill",IF(ISNUMBER(SEARCH("Pay Bill",C725)),"Pay Bill",IF(ISNUMBER(SEARCH("Spotify",C725)),"Pay Bill",IF(ISNUMBER(SEARCH("M-Shwari",C725)),"Mshwari",IF(ISNUMBER(SEARCH("Mshwari",C725)),"Mshwari",IF(ISNUMBER(SEARCH("Withdrawal charge",C725)),"Fees",IF(ISNUMBER(SEARCH("Customer Withdrawal",C725)),"Fees",IF(ISNUMBER(SEARCH("charge",C725)),"Fees","Other")))))))))))))))))))))))))</f>
        <v>Sent to Person</v>
      </c>
      <c r="R725" s="1" t="str">
        <f aca="false">TEXT(B725,"MMM YYYY")</f>
        <v>Apr 2026</v>
      </c>
    </row>
    <row r="726" customFormat="false" ht="13.8" hidden="false" customHeight="false" outlineLevel="0" collapsed="false">
      <c r="A726" s="4" t="s">
        <v>1520</v>
      </c>
      <c r="B726" s="4" t="s">
        <v>1521</v>
      </c>
      <c r="C726" s="4" t="s">
        <v>29</v>
      </c>
      <c r="D726" s="4" t="s">
        <v>18</v>
      </c>
      <c r="E726" s="4"/>
      <c r="F726" s="4" t="n">
        <v>20</v>
      </c>
      <c r="G726" s="4" t="n">
        <v>97.78</v>
      </c>
      <c r="L726" s="1" t="str">
        <f aca="false">IF(ISNUMBER(SEARCH("Bundle",C726)),"Bundles",IF(ISNUMBER(SEARCH("Airtime",C726)),"Bundles",IF(ISNUMBER(SEARCH("Merchant",C726)),"Merchant Payment",IF(ISNUMBER(SEARCH("Offnet C2B",C726)),"Merchant Payment",IF(ISNUMBER(SEARCH("Offnet B2C",C726)),"Merchant Payment",IF(ISNUMBER(SEARCH("Customer Payment to Small",C726)),"Merchant Payment",IF(ISNUMBER(SEARCH("Payment to Small Business",C726)),"Merchant Payment",IF(ISNUMBER(SEARCH("Sent to",C726)),"Sent to Person",IF(ISNUMBER(SEARCH("Customer Transfer to",C726)),"Sent to Person",IF(ISNUMBER(SEARCH("Business Payment",C726)),"Money In",IF(ISNUMBER(SEARCH("Funds Received",C726)),"Money In",IF(ISNUMBER(SEARCH("Receive International",C726)),"Money In",IF(ISNUMBER(SEARCH("Send Money Reversal",C726)),"Money In",IF(ISNUMBER(SEARCH("Pay Utility Reversal",C726)),"Money In",IF(ISNUMBER(SEARCH("Customer Transfer",C726)),"Money In",IF(ISNUMBER(SEARCH("Ziidi",C726)),"Investment",IF(ISNUMBER(SEARCH("Nabo",C726)),"Investment",IF(ISNUMBER(SEARCH("Paybill Online",C726)),"Pay Bill",IF(ISNUMBER(SEARCH("Pay Bill",C726)),"Pay Bill",IF(ISNUMBER(SEARCH("Spotify",C726)),"Pay Bill",IF(ISNUMBER(SEARCH("M-Shwari",C726)),"Mshwari",IF(ISNUMBER(SEARCH("Mshwari",C726)),"Mshwari",IF(ISNUMBER(SEARCH("Withdrawal charge",C726)),"Fees",IF(ISNUMBER(SEARCH("Customer Withdrawal",C726)),"Fees",IF(ISNUMBER(SEARCH("charge",C726)),"Fees","Other")))))))))))))))))))))))))</f>
        <v>Bundles</v>
      </c>
      <c r="R726" s="1" t="str">
        <f aca="false">TEXT(B726,"MMM YYYY")</f>
        <v>Apr 2026</v>
      </c>
    </row>
    <row r="727" customFormat="false" ht="13.8" hidden="false" customHeight="false" outlineLevel="0" collapsed="false">
      <c r="A727" s="4" t="s">
        <v>1522</v>
      </c>
      <c r="B727" s="4" t="s">
        <v>1523</v>
      </c>
      <c r="C727" s="4" t="s">
        <v>243</v>
      </c>
      <c r="D727" s="4" t="s">
        <v>18</v>
      </c>
      <c r="E727" s="4"/>
      <c r="F727" s="4" t="n">
        <v>70</v>
      </c>
      <c r="G727" s="4" t="n">
        <v>27.78</v>
      </c>
      <c r="L727" s="1" t="str">
        <f aca="false">IF(ISNUMBER(SEARCH("Bundle",C727)),"Bundles",IF(ISNUMBER(SEARCH("Airtime",C727)),"Bundles",IF(ISNUMBER(SEARCH("Merchant",C727)),"Merchant Payment",IF(ISNUMBER(SEARCH("Offnet C2B",C727)),"Merchant Payment",IF(ISNUMBER(SEARCH("Offnet B2C",C727)),"Merchant Payment",IF(ISNUMBER(SEARCH("Customer Payment to Small",C727)),"Merchant Payment",IF(ISNUMBER(SEARCH("Payment to Small Business",C727)),"Merchant Payment",IF(ISNUMBER(SEARCH("Sent to",C727)),"Sent to Person",IF(ISNUMBER(SEARCH("Customer Transfer to",C727)),"Sent to Person",IF(ISNUMBER(SEARCH("Business Payment",C727)),"Money In",IF(ISNUMBER(SEARCH("Funds Received",C727)),"Money In",IF(ISNUMBER(SEARCH("Receive International",C727)),"Money In",IF(ISNUMBER(SEARCH("Send Money Reversal",C727)),"Money In",IF(ISNUMBER(SEARCH("Pay Utility Reversal",C727)),"Money In",IF(ISNUMBER(SEARCH("Customer Transfer",C727)),"Money In",IF(ISNUMBER(SEARCH("Ziidi",C727)),"Investment",IF(ISNUMBER(SEARCH("Nabo",C727)),"Investment",IF(ISNUMBER(SEARCH("Paybill Online",C727)),"Pay Bill",IF(ISNUMBER(SEARCH("Pay Bill",C727)),"Pay Bill",IF(ISNUMBER(SEARCH("Spotify",C727)),"Pay Bill",IF(ISNUMBER(SEARCH("M-Shwari",C727)),"Mshwari",IF(ISNUMBER(SEARCH("Mshwari",C727)),"Mshwari",IF(ISNUMBER(SEARCH("Withdrawal charge",C727)),"Fees",IF(ISNUMBER(SEARCH("Customer Withdrawal",C727)),"Fees",IF(ISNUMBER(SEARCH("charge",C727)),"Fees","Other")))))))))))))))))))))))))</f>
        <v>Merchant Payment</v>
      </c>
      <c r="R727" s="1" t="str">
        <f aca="false">TEXT(B727,"MMM YYYY")</f>
        <v>Apr 2026</v>
      </c>
    </row>
    <row r="728" customFormat="false" ht="13.8" hidden="false" customHeight="false" outlineLevel="0" collapsed="false">
      <c r="A728" s="4" t="s">
        <v>1524</v>
      </c>
      <c r="B728" s="4" t="s">
        <v>1525</v>
      </c>
      <c r="C728" s="4" t="s">
        <v>192</v>
      </c>
      <c r="D728" s="4" t="s">
        <v>18</v>
      </c>
      <c r="E728" s="4" t="n">
        <v>300</v>
      </c>
      <c r="F728" s="4"/>
      <c r="G728" s="4" t="n">
        <v>327.78</v>
      </c>
      <c r="L728" s="1" t="str">
        <f aca="false">IF(ISNUMBER(SEARCH("Bundle",C728)),"Bundles",IF(ISNUMBER(SEARCH("Airtime",C728)),"Bundles",IF(ISNUMBER(SEARCH("Merchant",C728)),"Merchant Payment",IF(ISNUMBER(SEARCH("Offnet C2B",C728)),"Merchant Payment",IF(ISNUMBER(SEARCH("Offnet B2C",C728)),"Merchant Payment",IF(ISNUMBER(SEARCH("Customer Payment to Small",C728)),"Merchant Payment",IF(ISNUMBER(SEARCH("Payment to Small Business",C728)),"Merchant Payment",IF(ISNUMBER(SEARCH("Sent to",C728)),"Sent to Person",IF(ISNUMBER(SEARCH("Customer Transfer to",C728)),"Sent to Person",IF(ISNUMBER(SEARCH("Business Payment",C728)),"Money In",IF(ISNUMBER(SEARCH("Funds Received",C728)),"Money In",IF(ISNUMBER(SEARCH("Receive International",C728)),"Money In",IF(ISNUMBER(SEARCH("Send Money Reversal",C728)),"Money In",IF(ISNUMBER(SEARCH("Pay Utility Reversal",C728)),"Money In",IF(ISNUMBER(SEARCH("Customer Transfer",C728)),"Money In",IF(ISNUMBER(SEARCH("Ziidi",C728)),"Investment",IF(ISNUMBER(SEARCH("Nabo",C728)),"Investment",IF(ISNUMBER(SEARCH("Paybill Online",C728)),"Pay Bill",IF(ISNUMBER(SEARCH("Pay Bill",C728)),"Pay Bill",IF(ISNUMBER(SEARCH("Spotify",C728)),"Pay Bill",IF(ISNUMBER(SEARCH("M-Shwari",C728)),"Mshwari",IF(ISNUMBER(SEARCH("Mshwari",C728)),"Mshwari",IF(ISNUMBER(SEARCH("Withdrawal charge",C728)),"Fees",IF(ISNUMBER(SEARCH("Customer Withdrawal",C728)),"Fees",IF(ISNUMBER(SEARCH("charge",C728)),"Fees","Other")))))))))))))))))))))))))</f>
        <v>Mshwari</v>
      </c>
      <c r="R728" s="1" t="str">
        <f aca="false">TEXT(B728,"MMM YYYY")</f>
        <v>Apr 2026</v>
      </c>
    </row>
    <row r="729" customFormat="false" ht="13.8" hidden="false" customHeight="false" outlineLevel="0" collapsed="false">
      <c r="A729" s="4" t="s">
        <v>1526</v>
      </c>
      <c r="B729" s="4" t="s">
        <v>1527</v>
      </c>
      <c r="C729" s="4" t="s">
        <v>1387</v>
      </c>
      <c r="D729" s="4" t="s">
        <v>18</v>
      </c>
      <c r="E729" s="4"/>
      <c r="F729" s="4" t="n">
        <v>100</v>
      </c>
      <c r="G729" s="4" t="n">
        <v>227.78</v>
      </c>
      <c r="L729" s="1" t="str">
        <f aca="false">IF(ISNUMBER(SEARCH("Bundle",C729)),"Bundles",IF(ISNUMBER(SEARCH("Airtime",C729)),"Bundles",IF(ISNUMBER(SEARCH("Merchant",C729)),"Merchant Payment",IF(ISNUMBER(SEARCH("Offnet C2B",C729)),"Merchant Payment",IF(ISNUMBER(SEARCH("Offnet B2C",C729)),"Merchant Payment",IF(ISNUMBER(SEARCH("Customer Payment to Small",C729)),"Merchant Payment",IF(ISNUMBER(SEARCH("Payment to Small Business",C729)),"Merchant Payment",IF(ISNUMBER(SEARCH("Sent to",C729)),"Sent to Person",IF(ISNUMBER(SEARCH("Customer Transfer to",C729)),"Sent to Person",IF(ISNUMBER(SEARCH("Business Payment",C729)),"Money In",IF(ISNUMBER(SEARCH("Funds Received",C729)),"Money In",IF(ISNUMBER(SEARCH("Receive International",C729)),"Money In",IF(ISNUMBER(SEARCH("Send Money Reversal",C729)),"Money In",IF(ISNUMBER(SEARCH("Pay Utility Reversal",C729)),"Money In",IF(ISNUMBER(SEARCH("Customer Transfer",C729)),"Money In",IF(ISNUMBER(SEARCH("Ziidi",C729)),"Investment",IF(ISNUMBER(SEARCH("Nabo",C729)),"Investment",IF(ISNUMBER(SEARCH("Paybill Online",C729)),"Pay Bill",IF(ISNUMBER(SEARCH("Pay Bill",C729)),"Pay Bill",IF(ISNUMBER(SEARCH("Spotify",C729)),"Pay Bill",IF(ISNUMBER(SEARCH("M-Shwari",C729)),"Mshwari",IF(ISNUMBER(SEARCH("Mshwari",C729)),"Mshwari",IF(ISNUMBER(SEARCH("Withdrawal charge",C729)),"Fees",IF(ISNUMBER(SEARCH("Customer Withdrawal",C729)),"Fees",IF(ISNUMBER(SEARCH("charge",C729)),"Fees","Other")))))))))))))))))))))))))</f>
        <v>Sent to Person</v>
      </c>
      <c r="R729" s="1" t="str">
        <f aca="false">TEXT(B729,"MMM YYYY")</f>
        <v>Apr 2026</v>
      </c>
    </row>
    <row r="730" customFormat="false" ht="13.8" hidden="false" customHeight="false" outlineLevel="0" collapsed="false">
      <c r="A730" s="4" t="s">
        <v>1528</v>
      </c>
      <c r="B730" s="4" t="s">
        <v>1529</v>
      </c>
      <c r="C730" s="4" t="s">
        <v>1530</v>
      </c>
      <c r="D730" s="4" t="s">
        <v>18</v>
      </c>
      <c r="E730" s="4"/>
      <c r="F730" s="4" t="n">
        <v>50</v>
      </c>
      <c r="G730" s="4" t="n">
        <v>177.78</v>
      </c>
      <c r="L730" s="1" t="str">
        <f aca="false">IF(ISNUMBER(SEARCH("Bundle",C730)),"Bundles",IF(ISNUMBER(SEARCH("Airtime",C730)),"Bundles",IF(ISNUMBER(SEARCH("Merchant",C730)),"Merchant Payment",IF(ISNUMBER(SEARCH("Offnet C2B",C730)),"Merchant Payment",IF(ISNUMBER(SEARCH("Offnet B2C",C730)),"Merchant Payment",IF(ISNUMBER(SEARCH("Customer Payment to Small",C730)),"Merchant Payment",IF(ISNUMBER(SEARCH("Payment to Small Business",C730)),"Merchant Payment",IF(ISNUMBER(SEARCH("Sent to",C730)),"Sent to Person",IF(ISNUMBER(SEARCH("Customer Transfer to",C730)),"Sent to Person",IF(ISNUMBER(SEARCH("Business Payment",C730)),"Money In",IF(ISNUMBER(SEARCH("Funds Received",C730)),"Money In",IF(ISNUMBER(SEARCH("Receive International",C730)),"Money In",IF(ISNUMBER(SEARCH("Send Money Reversal",C730)),"Money In",IF(ISNUMBER(SEARCH("Pay Utility Reversal",C730)),"Money In",IF(ISNUMBER(SEARCH("Customer Transfer",C730)),"Money In",IF(ISNUMBER(SEARCH("Ziidi",C730)),"Investment",IF(ISNUMBER(SEARCH("Nabo",C730)),"Investment",IF(ISNUMBER(SEARCH("Paybill Online",C730)),"Pay Bill",IF(ISNUMBER(SEARCH("Pay Bill",C730)),"Pay Bill",IF(ISNUMBER(SEARCH("Spotify",C730)),"Pay Bill",IF(ISNUMBER(SEARCH("M-Shwari",C730)),"Mshwari",IF(ISNUMBER(SEARCH("Mshwari",C730)),"Mshwari",IF(ISNUMBER(SEARCH("Withdrawal charge",C730)),"Fees",IF(ISNUMBER(SEARCH("Customer Withdrawal",C730)),"Fees",IF(ISNUMBER(SEARCH("charge",C730)),"Fees","Other")))))))))))))))))))))))))</f>
        <v>Merchant Payment</v>
      </c>
      <c r="R730" s="1" t="str">
        <f aca="false">TEXT(B730,"MMM YYYY")</f>
        <v>Apr 2026</v>
      </c>
    </row>
    <row r="731" customFormat="false" ht="13.8" hidden="false" customHeight="false" outlineLevel="0" collapsed="false">
      <c r="A731" s="4" t="s">
        <v>1531</v>
      </c>
      <c r="B731" s="4" t="s">
        <v>1532</v>
      </c>
      <c r="C731" s="4" t="s">
        <v>1533</v>
      </c>
      <c r="D731" s="4" t="s">
        <v>18</v>
      </c>
      <c r="E731" s="4"/>
      <c r="F731" s="4" t="n">
        <v>11</v>
      </c>
      <c r="G731" s="4" t="n">
        <v>66.78</v>
      </c>
      <c r="L731" s="1" t="str">
        <f aca="false">IF(ISNUMBER(SEARCH("Bundle",C731)),"Bundles",IF(ISNUMBER(SEARCH("Airtime",C731)),"Bundles",IF(ISNUMBER(SEARCH("Merchant",C731)),"Merchant Payment",IF(ISNUMBER(SEARCH("Offnet C2B",C731)),"Merchant Payment",IF(ISNUMBER(SEARCH("Offnet B2C",C731)),"Merchant Payment",IF(ISNUMBER(SEARCH("Customer Payment to Small",C731)),"Merchant Payment",IF(ISNUMBER(SEARCH("Payment to Small Business",C731)),"Merchant Payment",IF(ISNUMBER(SEARCH("Sent to",C731)),"Sent to Person",IF(ISNUMBER(SEARCH("Customer Transfer to",C731)),"Sent to Person",IF(ISNUMBER(SEARCH("Business Payment",C731)),"Money In",IF(ISNUMBER(SEARCH("Funds Received",C731)),"Money In",IF(ISNUMBER(SEARCH("Receive International",C731)),"Money In",IF(ISNUMBER(SEARCH("Send Money Reversal",C731)),"Money In",IF(ISNUMBER(SEARCH("Pay Utility Reversal",C731)),"Money In",IF(ISNUMBER(SEARCH("Customer Transfer",C731)),"Money In",IF(ISNUMBER(SEARCH("Ziidi",C731)),"Investment",IF(ISNUMBER(SEARCH("Nabo",C731)),"Investment",IF(ISNUMBER(SEARCH("Paybill Online",C731)),"Pay Bill",IF(ISNUMBER(SEARCH("Pay Bill",C731)),"Pay Bill",IF(ISNUMBER(SEARCH("Spotify",C731)),"Pay Bill",IF(ISNUMBER(SEARCH("M-Shwari",C731)),"Mshwari",IF(ISNUMBER(SEARCH("Mshwari",C731)),"Mshwari",IF(ISNUMBER(SEARCH("Withdrawal charge",C731)),"Fees",IF(ISNUMBER(SEARCH("Customer Withdrawal",C731)),"Fees",IF(ISNUMBER(SEARCH("charge",C731)),"Fees","Other")))))))))))))))))))))))))</f>
        <v>Fees</v>
      </c>
      <c r="R731" s="1" t="str">
        <f aca="false">TEXT(B731,"MMM YYYY")</f>
        <v>Apr 2026</v>
      </c>
    </row>
    <row r="732" customFormat="false" ht="13.8" hidden="false" customHeight="false" outlineLevel="0" collapsed="false">
      <c r="A732" s="4" t="s">
        <v>1531</v>
      </c>
      <c r="B732" s="4" t="s">
        <v>1532</v>
      </c>
      <c r="C732" s="4" t="s">
        <v>1534</v>
      </c>
      <c r="D732" s="4" t="s">
        <v>18</v>
      </c>
      <c r="E732" s="4"/>
      <c r="F732" s="4" t="n">
        <v>100</v>
      </c>
      <c r="G732" s="4" t="n">
        <v>77.78</v>
      </c>
      <c r="L732" s="1" t="str">
        <f aca="false">IF(ISNUMBER(SEARCH("Bundle",C732)),"Bundles",IF(ISNUMBER(SEARCH("Airtime",C732)),"Bundles",IF(ISNUMBER(SEARCH("Merchant",C732)),"Merchant Payment",IF(ISNUMBER(SEARCH("Offnet C2B",C732)),"Merchant Payment",IF(ISNUMBER(SEARCH("Offnet B2C",C732)),"Merchant Payment",IF(ISNUMBER(SEARCH("Customer Payment to Small",C732)),"Merchant Payment",IF(ISNUMBER(SEARCH("Payment to Small Business",C732)),"Merchant Payment",IF(ISNUMBER(SEARCH("Sent to",C732)),"Sent to Person",IF(ISNUMBER(SEARCH("Customer Transfer to",C732)),"Sent to Person",IF(ISNUMBER(SEARCH("Business Payment",C732)),"Money In",IF(ISNUMBER(SEARCH("Funds Received",C732)),"Money In",IF(ISNUMBER(SEARCH("Receive International",C732)),"Money In",IF(ISNUMBER(SEARCH("Send Money Reversal",C732)),"Money In",IF(ISNUMBER(SEARCH("Pay Utility Reversal",C732)),"Money In",IF(ISNUMBER(SEARCH("Customer Transfer",C732)),"Money In",IF(ISNUMBER(SEARCH("Ziidi",C732)),"Investment",IF(ISNUMBER(SEARCH("Nabo",C732)),"Investment",IF(ISNUMBER(SEARCH("Paybill Online",C732)),"Pay Bill",IF(ISNUMBER(SEARCH("Pay Bill",C732)),"Pay Bill",IF(ISNUMBER(SEARCH("Spotify",C732)),"Pay Bill",IF(ISNUMBER(SEARCH("M-Shwari",C732)),"Mshwari",IF(ISNUMBER(SEARCH("Mshwari",C732)),"Mshwari",IF(ISNUMBER(SEARCH("Withdrawal charge",C732)),"Fees",IF(ISNUMBER(SEARCH("Customer Withdrawal",C732)),"Fees",IF(ISNUMBER(SEARCH("charge",C732)),"Fees","Other")))))))))))))))))))))))))</f>
        <v>Fees</v>
      </c>
      <c r="R732" s="1" t="str">
        <f aca="false">TEXT(B732,"MMM YYYY")</f>
        <v>Apr 2026</v>
      </c>
    </row>
    <row r="733" customFormat="false" ht="13.8" hidden="false" customHeight="false" outlineLevel="0" collapsed="false">
      <c r="A733" s="4" t="s">
        <v>1535</v>
      </c>
      <c r="B733" s="4" t="s">
        <v>1536</v>
      </c>
      <c r="C733" s="4" t="s">
        <v>29</v>
      </c>
      <c r="D733" s="4" t="s">
        <v>18</v>
      </c>
      <c r="E733" s="4"/>
      <c r="F733" s="4" t="n">
        <v>20</v>
      </c>
      <c r="G733" s="4" t="n">
        <v>46.78</v>
      </c>
      <c r="L733" s="1" t="str">
        <f aca="false">IF(ISNUMBER(SEARCH("Bundle",C733)),"Bundles",IF(ISNUMBER(SEARCH("Airtime",C733)),"Bundles",IF(ISNUMBER(SEARCH("Merchant",C733)),"Merchant Payment",IF(ISNUMBER(SEARCH("Offnet C2B",C733)),"Merchant Payment",IF(ISNUMBER(SEARCH("Offnet B2C",C733)),"Merchant Payment",IF(ISNUMBER(SEARCH("Customer Payment to Small",C733)),"Merchant Payment",IF(ISNUMBER(SEARCH("Payment to Small Business",C733)),"Merchant Payment",IF(ISNUMBER(SEARCH("Sent to",C733)),"Sent to Person",IF(ISNUMBER(SEARCH("Customer Transfer to",C733)),"Sent to Person",IF(ISNUMBER(SEARCH("Business Payment",C733)),"Money In",IF(ISNUMBER(SEARCH("Funds Received",C733)),"Money In",IF(ISNUMBER(SEARCH("Receive International",C733)),"Money In",IF(ISNUMBER(SEARCH("Send Money Reversal",C733)),"Money In",IF(ISNUMBER(SEARCH("Pay Utility Reversal",C733)),"Money In",IF(ISNUMBER(SEARCH("Customer Transfer",C733)),"Money In",IF(ISNUMBER(SEARCH("Ziidi",C733)),"Investment",IF(ISNUMBER(SEARCH("Nabo",C733)),"Investment",IF(ISNUMBER(SEARCH("Paybill Online",C733)),"Pay Bill",IF(ISNUMBER(SEARCH("Pay Bill",C733)),"Pay Bill",IF(ISNUMBER(SEARCH("Spotify",C733)),"Pay Bill",IF(ISNUMBER(SEARCH("M-Shwari",C733)),"Mshwari",IF(ISNUMBER(SEARCH("Mshwari",C733)),"Mshwari",IF(ISNUMBER(SEARCH("Withdrawal charge",C733)),"Fees",IF(ISNUMBER(SEARCH("Customer Withdrawal",C733)),"Fees",IF(ISNUMBER(SEARCH("charge",C733)),"Fees","Other")))))))))))))))))))))))))</f>
        <v>Bundles</v>
      </c>
      <c r="R733" s="1" t="str">
        <f aca="false">TEXT(B733,"MMM YYYY")</f>
        <v>Apr 2026</v>
      </c>
    </row>
    <row r="734" customFormat="false" ht="13.8" hidden="false" customHeight="false" outlineLevel="0" collapsed="false">
      <c r="A734" s="4" t="s">
        <v>1537</v>
      </c>
      <c r="B734" s="4" t="s">
        <v>1538</v>
      </c>
      <c r="C734" s="4" t="s">
        <v>29</v>
      </c>
      <c r="D734" s="4" t="s">
        <v>18</v>
      </c>
      <c r="E734" s="4"/>
      <c r="F734" s="4" t="n">
        <v>20</v>
      </c>
      <c r="G734" s="4" t="n">
        <v>26.78</v>
      </c>
      <c r="L734" s="1" t="str">
        <f aca="false">IF(ISNUMBER(SEARCH("Bundle",C734)),"Bundles",IF(ISNUMBER(SEARCH("Airtime",C734)),"Bundles",IF(ISNUMBER(SEARCH("Merchant",C734)),"Merchant Payment",IF(ISNUMBER(SEARCH("Offnet C2B",C734)),"Merchant Payment",IF(ISNUMBER(SEARCH("Offnet B2C",C734)),"Merchant Payment",IF(ISNUMBER(SEARCH("Customer Payment to Small",C734)),"Merchant Payment",IF(ISNUMBER(SEARCH("Payment to Small Business",C734)),"Merchant Payment",IF(ISNUMBER(SEARCH("Sent to",C734)),"Sent to Person",IF(ISNUMBER(SEARCH("Customer Transfer to",C734)),"Sent to Person",IF(ISNUMBER(SEARCH("Business Payment",C734)),"Money In",IF(ISNUMBER(SEARCH("Funds Received",C734)),"Money In",IF(ISNUMBER(SEARCH("Receive International",C734)),"Money In",IF(ISNUMBER(SEARCH("Send Money Reversal",C734)),"Money In",IF(ISNUMBER(SEARCH("Pay Utility Reversal",C734)),"Money In",IF(ISNUMBER(SEARCH("Customer Transfer",C734)),"Money In",IF(ISNUMBER(SEARCH("Ziidi",C734)),"Investment",IF(ISNUMBER(SEARCH("Nabo",C734)),"Investment",IF(ISNUMBER(SEARCH("Paybill Online",C734)),"Pay Bill",IF(ISNUMBER(SEARCH("Pay Bill",C734)),"Pay Bill",IF(ISNUMBER(SEARCH("Spotify",C734)),"Pay Bill",IF(ISNUMBER(SEARCH("M-Shwari",C734)),"Mshwari",IF(ISNUMBER(SEARCH("Mshwari",C734)),"Mshwari",IF(ISNUMBER(SEARCH("Withdrawal charge",C734)),"Fees",IF(ISNUMBER(SEARCH("Customer Withdrawal",C734)),"Fees",IF(ISNUMBER(SEARCH("charge",C734)),"Fees","Other")))))))))))))))))))))))))</f>
        <v>Bundles</v>
      </c>
      <c r="R734" s="1" t="str">
        <f aca="false">TEXT(B734,"MMM YYYY")</f>
        <v>Apr 2026</v>
      </c>
    </row>
    <row r="735" customFormat="false" ht="13.8" hidden="false" customHeight="false" outlineLevel="0" collapsed="false">
      <c r="A735" s="4" t="s">
        <v>1539</v>
      </c>
      <c r="B735" s="4" t="s">
        <v>1540</v>
      </c>
      <c r="C735" s="4" t="s">
        <v>29</v>
      </c>
      <c r="D735" s="4" t="s">
        <v>18</v>
      </c>
      <c r="E735" s="4"/>
      <c r="F735" s="4" t="n">
        <v>20</v>
      </c>
      <c r="G735" s="4" t="n">
        <v>6.78</v>
      </c>
      <c r="L735" s="1" t="str">
        <f aca="false">IF(ISNUMBER(SEARCH("Bundle",C735)),"Bundles",IF(ISNUMBER(SEARCH("Airtime",C735)),"Bundles",IF(ISNUMBER(SEARCH("Merchant",C735)),"Merchant Payment",IF(ISNUMBER(SEARCH("Offnet C2B",C735)),"Merchant Payment",IF(ISNUMBER(SEARCH("Offnet B2C",C735)),"Merchant Payment",IF(ISNUMBER(SEARCH("Customer Payment to Small",C735)),"Merchant Payment",IF(ISNUMBER(SEARCH("Payment to Small Business",C735)),"Merchant Payment",IF(ISNUMBER(SEARCH("Sent to",C735)),"Sent to Person",IF(ISNUMBER(SEARCH("Customer Transfer to",C735)),"Sent to Person",IF(ISNUMBER(SEARCH("Business Payment",C735)),"Money In",IF(ISNUMBER(SEARCH("Funds Received",C735)),"Money In",IF(ISNUMBER(SEARCH("Receive International",C735)),"Money In",IF(ISNUMBER(SEARCH("Send Money Reversal",C735)),"Money In",IF(ISNUMBER(SEARCH("Pay Utility Reversal",C735)),"Money In",IF(ISNUMBER(SEARCH("Customer Transfer",C735)),"Money In",IF(ISNUMBER(SEARCH("Ziidi",C735)),"Investment",IF(ISNUMBER(SEARCH("Nabo",C735)),"Investment",IF(ISNUMBER(SEARCH("Paybill Online",C735)),"Pay Bill",IF(ISNUMBER(SEARCH("Pay Bill",C735)),"Pay Bill",IF(ISNUMBER(SEARCH("Spotify",C735)),"Pay Bill",IF(ISNUMBER(SEARCH("M-Shwari",C735)),"Mshwari",IF(ISNUMBER(SEARCH("Mshwari",C735)),"Mshwari",IF(ISNUMBER(SEARCH("Withdrawal charge",C735)),"Fees",IF(ISNUMBER(SEARCH("Customer Withdrawal",C735)),"Fees",IF(ISNUMBER(SEARCH("charge",C735)),"Fees","Other")))))))))))))))))))))))))</f>
        <v>Bundles</v>
      </c>
      <c r="R735" s="1" t="str">
        <f aca="false">TEXT(B735,"MMM YYYY")</f>
        <v>Apr 2026</v>
      </c>
    </row>
    <row r="736" customFormat="false" ht="13.8" hidden="false" customHeight="false" outlineLevel="0" collapsed="false">
      <c r="A736" s="4" t="s">
        <v>1541</v>
      </c>
      <c r="B736" s="4" t="s">
        <v>1542</v>
      </c>
      <c r="C736" s="4" t="s">
        <v>192</v>
      </c>
      <c r="D736" s="4" t="s">
        <v>18</v>
      </c>
      <c r="E736" s="4" t="n">
        <v>300</v>
      </c>
      <c r="F736" s="4"/>
      <c r="G736" s="4" t="n">
        <v>306.78</v>
      </c>
      <c r="L736" s="1" t="str">
        <f aca="false">IF(ISNUMBER(SEARCH("Bundle",C736)),"Bundles",IF(ISNUMBER(SEARCH("Airtime",C736)),"Bundles",IF(ISNUMBER(SEARCH("Merchant",C736)),"Merchant Payment",IF(ISNUMBER(SEARCH("Offnet C2B",C736)),"Merchant Payment",IF(ISNUMBER(SEARCH("Offnet B2C",C736)),"Merchant Payment",IF(ISNUMBER(SEARCH("Customer Payment to Small",C736)),"Merchant Payment",IF(ISNUMBER(SEARCH("Payment to Small Business",C736)),"Merchant Payment",IF(ISNUMBER(SEARCH("Sent to",C736)),"Sent to Person",IF(ISNUMBER(SEARCH("Customer Transfer to",C736)),"Sent to Person",IF(ISNUMBER(SEARCH("Business Payment",C736)),"Money In",IF(ISNUMBER(SEARCH("Funds Received",C736)),"Money In",IF(ISNUMBER(SEARCH("Receive International",C736)),"Money In",IF(ISNUMBER(SEARCH("Send Money Reversal",C736)),"Money In",IF(ISNUMBER(SEARCH("Pay Utility Reversal",C736)),"Money In",IF(ISNUMBER(SEARCH("Customer Transfer",C736)),"Money In",IF(ISNUMBER(SEARCH("Ziidi",C736)),"Investment",IF(ISNUMBER(SEARCH("Nabo",C736)),"Investment",IF(ISNUMBER(SEARCH("Paybill Online",C736)),"Pay Bill",IF(ISNUMBER(SEARCH("Pay Bill",C736)),"Pay Bill",IF(ISNUMBER(SEARCH("Spotify",C736)),"Pay Bill",IF(ISNUMBER(SEARCH("M-Shwari",C736)),"Mshwari",IF(ISNUMBER(SEARCH("Mshwari",C736)),"Mshwari",IF(ISNUMBER(SEARCH("Withdrawal charge",C736)),"Fees",IF(ISNUMBER(SEARCH("Customer Withdrawal",C736)),"Fees",IF(ISNUMBER(SEARCH("charge",C736)),"Fees","Other")))))))))))))))))))))))))</f>
        <v>Mshwari</v>
      </c>
      <c r="R736" s="1" t="str">
        <f aca="false">TEXT(B736,"MMM YYYY")</f>
        <v>Apr 2026</v>
      </c>
    </row>
    <row r="737" customFormat="false" ht="13.8" hidden="false" customHeight="false" outlineLevel="0" collapsed="false">
      <c r="A737" s="4" t="s">
        <v>1543</v>
      </c>
      <c r="B737" s="4" t="s">
        <v>1544</v>
      </c>
      <c r="C737" s="4" t="s">
        <v>29</v>
      </c>
      <c r="D737" s="4" t="s">
        <v>18</v>
      </c>
      <c r="E737" s="4"/>
      <c r="F737" s="4" t="n">
        <v>20</v>
      </c>
      <c r="G737" s="4" t="n">
        <v>286.78</v>
      </c>
      <c r="L737" s="1" t="str">
        <f aca="false">IF(ISNUMBER(SEARCH("Bundle",C737)),"Bundles",IF(ISNUMBER(SEARCH("Airtime",C737)),"Bundles",IF(ISNUMBER(SEARCH("Merchant",C737)),"Merchant Payment",IF(ISNUMBER(SEARCH("Offnet C2B",C737)),"Merchant Payment",IF(ISNUMBER(SEARCH("Offnet B2C",C737)),"Merchant Payment",IF(ISNUMBER(SEARCH("Customer Payment to Small",C737)),"Merchant Payment",IF(ISNUMBER(SEARCH("Payment to Small Business",C737)),"Merchant Payment",IF(ISNUMBER(SEARCH("Sent to",C737)),"Sent to Person",IF(ISNUMBER(SEARCH("Customer Transfer to",C737)),"Sent to Person",IF(ISNUMBER(SEARCH("Business Payment",C737)),"Money In",IF(ISNUMBER(SEARCH("Funds Received",C737)),"Money In",IF(ISNUMBER(SEARCH("Receive International",C737)),"Money In",IF(ISNUMBER(SEARCH("Send Money Reversal",C737)),"Money In",IF(ISNUMBER(SEARCH("Pay Utility Reversal",C737)),"Money In",IF(ISNUMBER(SEARCH("Customer Transfer",C737)),"Money In",IF(ISNUMBER(SEARCH("Ziidi",C737)),"Investment",IF(ISNUMBER(SEARCH("Nabo",C737)),"Investment",IF(ISNUMBER(SEARCH("Paybill Online",C737)),"Pay Bill",IF(ISNUMBER(SEARCH("Pay Bill",C737)),"Pay Bill",IF(ISNUMBER(SEARCH("Spotify",C737)),"Pay Bill",IF(ISNUMBER(SEARCH("M-Shwari",C737)),"Mshwari",IF(ISNUMBER(SEARCH("Mshwari",C737)),"Mshwari",IF(ISNUMBER(SEARCH("Withdrawal charge",C737)),"Fees",IF(ISNUMBER(SEARCH("Customer Withdrawal",C737)),"Fees",IF(ISNUMBER(SEARCH("charge",C737)),"Fees","Other")))))))))))))))))))))))))</f>
        <v>Bundles</v>
      </c>
      <c r="R737" s="1" t="str">
        <f aca="false">TEXT(B737,"MMM YYYY")</f>
        <v>Apr 2026</v>
      </c>
    </row>
    <row r="738" customFormat="false" ht="13.8" hidden="false" customHeight="false" outlineLevel="0" collapsed="false">
      <c r="A738" s="4" t="s">
        <v>1545</v>
      </c>
      <c r="B738" s="4" t="s">
        <v>1546</v>
      </c>
      <c r="C738" s="4" t="s">
        <v>1086</v>
      </c>
      <c r="D738" s="4" t="s">
        <v>18</v>
      </c>
      <c r="E738" s="4"/>
      <c r="F738" s="4" t="n">
        <v>100</v>
      </c>
      <c r="G738" s="4" t="n">
        <v>186.78</v>
      </c>
      <c r="L738" s="1" t="str">
        <f aca="false">IF(ISNUMBER(SEARCH("Bundle",C738)),"Bundles",IF(ISNUMBER(SEARCH("Airtime",C738)),"Bundles",IF(ISNUMBER(SEARCH("Merchant",C738)),"Merchant Payment",IF(ISNUMBER(SEARCH("Offnet C2B",C738)),"Merchant Payment",IF(ISNUMBER(SEARCH("Offnet B2C",C738)),"Merchant Payment",IF(ISNUMBER(SEARCH("Customer Payment to Small",C738)),"Merchant Payment",IF(ISNUMBER(SEARCH("Payment to Small Business",C738)),"Merchant Payment",IF(ISNUMBER(SEARCH("Sent to",C738)),"Sent to Person",IF(ISNUMBER(SEARCH("Customer Transfer to",C738)),"Sent to Person",IF(ISNUMBER(SEARCH("Business Payment",C738)),"Money In",IF(ISNUMBER(SEARCH("Funds Received",C738)),"Money In",IF(ISNUMBER(SEARCH("Receive International",C738)),"Money In",IF(ISNUMBER(SEARCH("Send Money Reversal",C738)),"Money In",IF(ISNUMBER(SEARCH("Pay Utility Reversal",C738)),"Money In",IF(ISNUMBER(SEARCH("Customer Transfer",C738)),"Money In",IF(ISNUMBER(SEARCH("Ziidi",C738)),"Investment",IF(ISNUMBER(SEARCH("Nabo",C738)),"Investment",IF(ISNUMBER(SEARCH("Paybill Online",C738)),"Pay Bill",IF(ISNUMBER(SEARCH("Pay Bill",C738)),"Pay Bill",IF(ISNUMBER(SEARCH("Spotify",C738)),"Pay Bill",IF(ISNUMBER(SEARCH("M-Shwari",C738)),"Mshwari",IF(ISNUMBER(SEARCH("Mshwari",C738)),"Mshwari",IF(ISNUMBER(SEARCH("Withdrawal charge",C738)),"Fees",IF(ISNUMBER(SEARCH("Customer Withdrawal",C738)),"Fees",IF(ISNUMBER(SEARCH("charge",C738)),"Fees","Other")))))))))))))))))))))))))</f>
        <v>Sent to Person</v>
      </c>
      <c r="R738" s="1" t="str">
        <f aca="false">TEXT(B738,"MMM YYYY")</f>
        <v>Apr 2026</v>
      </c>
    </row>
    <row r="739" customFormat="false" ht="13.8" hidden="false" customHeight="false" outlineLevel="0" collapsed="false">
      <c r="A739" s="4" t="s">
        <v>1547</v>
      </c>
      <c r="B739" s="4" t="s">
        <v>1548</v>
      </c>
      <c r="C739" s="4" t="s">
        <v>1549</v>
      </c>
      <c r="D739" s="4" t="s">
        <v>18</v>
      </c>
      <c r="E739" s="4"/>
      <c r="F739" s="4" t="n">
        <v>50</v>
      </c>
      <c r="G739" s="4" t="n">
        <v>136.78</v>
      </c>
      <c r="L739" s="1" t="str">
        <f aca="false">IF(ISNUMBER(SEARCH("Bundle",C739)),"Bundles",IF(ISNUMBER(SEARCH("Airtime",C739)),"Bundles",IF(ISNUMBER(SEARCH("Merchant",C739)),"Merchant Payment",IF(ISNUMBER(SEARCH("Offnet C2B",C739)),"Merchant Payment",IF(ISNUMBER(SEARCH("Offnet B2C",C739)),"Merchant Payment",IF(ISNUMBER(SEARCH("Customer Payment to Small",C739)),"Merchant Payment",IF(ISNUMBER(SEARCH("Payment to Small Business",C739)),"Merchant Payment",IF(ISNUMBER(SEARCH("Sent to",C739)),"Sent to Person",IF(ISNUMBER(SEARCH("Customer Transfer to",C739)),"Sent to Person",IF(ISNUMBER(SEARCH("Business Payment",C739)),"Money In",IF(ISNUMBER(SEARCH("Funds Received",C739)),"Money In",IF(ISNUMBER(SEARCH("Receive International",C739)),"Money In",IF(ISNUMBER(SEARCH("Send Money Reversal",C739)),"Money In",IF(ISNUMBER(SEARCH("Pay Utility Reversal",C739)),"Money In",IF(ISNUMBER(SEARCH("Customer Transfer",C739)),"Money In",IF(ISNUMBER(SEARCH("Ziidi",C739)),"Investment",IF(ISNUMBER(SEARCH("Nabo",C739)),"Investment",IF(ISNUMBER(SEARCH("Paybill Online",C739)),"Pay Bill",IF(ISNUMBER(SEARCH("Pay Bill",C739)),"Pay Bill",IF(ISNUMBER(SEARCH("Spotify",C739)),"Pay Bill",IF(ISNUMBER(SEARCH("M-Shwari",C739)),"Mshwari",IF(ISNUMBER(SEARCH("Mshwari",C739)),"Mshwari",IF(ISNUMBER(SEARCH("Withdrawal charge",C739)),"Fees",IF(ISNUMBER(SEARCH("Customer Withdrawal",C739)),"Fees",IF(ISNUMBER(SEARCH("charge",C739)),"Fees","Other")))))))))))))))))))))))))</f>
        <v>Merchant Payment</v>
      </c>
      <c r="R739" s="1" t="str">
        <f aca="false">TEXT(B739,"MMM YYYY")</f>
        <v>Apr 2026</v>
      </c>
    </row>
    <row r="740" customFormat="false" ht="13.8" hidden="false" customHeight="false" outlineLevel="0" collapsed="false">
      <c r="A740" s="4" t="s">
        <v>1550</v>
      </c>
      <c r="B740" s="4" t="s">
        <v>1551</v>
      </c>
      <c r="C740" s="4" t="s">
        <v>1552</v>
      </c>
      <c r="D740" s="4" t="s">
        <v>18</v>
      </c>
      <c r="E740" s="4"/>
      <c r="F740" s="4" t="n">
        <v>40</v>
      </c>
      <c r="G740" s="4" t="n">
        <v>96.78</v>
      </c>
      <c r="L740" s="1" t="str">
        <f aca="false">IF(ISNUMBER(SEARCH("Bundle",C740)),"Bundles",IF(ISNUMBER(SEARCH("Airtime",C740)),"Bundles",IF(ISNUMBER(SEARCH("Merchant",C740)),"Merchant Payment",IF(ISNUMBER(SEARCH("Offnet C2B",C740)),"Merchant Payment",IF(ISNUMBER(SEARCH("Offnet B2C",C740)),"Merchant Payment",IF(ISNUMBER(SEARCH("Customer Payment to Small",C740)),"Merchant Payment",IF(ISNUMBER(SEARCH("Payment to Small Business",C740)),"Merchant Payment",IF(ISNUMBER(SEARCH("Sent to",C740)),"Sent to Person",IF(ISNUMBER(SEARCH("Customer Transfer to",C740)),"Sent to Person",IF(ISNUMBER(SEARCH("Business Payment",C740)),"Money In",IF(ISNUMBER(SEARCH("Funds Received",C740)),"Money In",IF(ISNUMBER(SEARCH("Receive International",C740)),"Money In",IF(ISNUMBER(SEARCH("Send Money Reversal",C740)),"Money In",IF(ISNUMBER(SEARCH("Pay Utility Reversal",C740)),"Money In",IF(ISNUMBER(SEARCH("Customer Transfer",C740)),"Money In",IF(ISNUMBER(SEARCH("Ziidi",C740)),"Investment",IF(ISNUMBER(SEARCH("Nabo",C740)),"Investment",IF(ISNUMBER(SEARCH("Paybill Online",C740)),"Pay Bill",IF(ISNUMBER(SEARCH("Pay Bill",C740)),"Pay Bill",IF(ISNUMBER(SEARCH("Spotify",C740)),"Pay Bill",IF(ISNUMBER(SEARCH("M-Shwari",C740)),"Mshwari",IF(ISNUMBER(SEARCH("Mshwari",C740)),"Mshwari",IF(ISNUMBER(SEARCH("Withdrawal charge",C740)),"Fees",IF(ISNUMBER(SEARCH("Customer Withdrawal",C740)),"Fees",IF(ISNUMBER(SEARCH("charge",C740)),"Fees","Other")))))))))))))))))))))))))</f>
        <v>Sent to Person</v>
      </c>
      <c r="R740" s="1" t="str">
        <f aca="false">TEXT(B740,"MMM YYYY")</f>
        <v>Apr 2026</v>
      </c>
    </row>
    <row r="741" customFormat="false" ht="13.8" hidden="false" customHeight="false" outlineLevel="0" collapsed="false">
      <c r="A741" s="4" t="s">
        <v>1553</v>
      </c>
      <c r="B741" s="4" t="s">
        <v>1554</v>
      </c>
      <c r="C741" s="4" t="s">
        <v>192</v>
      </c>
      <c r="D741" s="4" t="s">
        <v>18</v>
      </c>
      <c r="E741" s="4" t="n">
        <v>350</v>
      </c>
      <c r="F741" s="4"/>
      <c r="G741" s="4" t="n">
        <v>446.78</v>
      </c>
      <c r="L741" s="1" t="str">
        <f aca="false">IF(ISNUMBER(SEARCH("Bundle",C741)),"Bundles",IF(ISNUMBER(SEARCH("Airtime",C741)),"Bundles",IF(ISNUMBER(SEARCH("Merchant",C741)),"Merchant Payment",IF(ISNUMBER(SEARCH("Offnet C2B",C741)),"Merchant Payment",IF(ISNUMBER(SEARCH("Offnet B2C",C741)),"Merchant Payment",IF(ISNUMBER(SEARCH("Customer Payment to Small",C741)),"Merchant Payment",IF(ISNUMBER(SEARCH("Payment to Small Business",C741)),"Merchant Payment",IF(ISNUMBER(SEARCH("Sent to",C741)),"Sent to Person",IF(ISNUMBER(SEARCH("Customer Transfer to",C741)),"Sent to Person",IF(ISNUMBER(SEARCH("Business Payment",C741)),"Money In",IF(ISNUMBER(SEARCH("Funds Received",C741)),"Money In",IF(ISNUMBER(SEARCH("Receive International",C741)),"Money In",IF(ISNUMBER(SEARCH("Send Money Reversal",C741)),"Money In",IF(ISNUMBER(SEARCH("Pay Utility Reversal",C741)),"Money In",IF(ISNUMBER(SEARCH("Customer Transfer",C741)),"Money In",IF(ISNUMBER(SEARCH("Ziidi",C741)),"Investment",IF(ISNUMBER(SEARCH("Nabo",C741)),"Investment",IF(ISNUMBER(SEARCH("Paybill Online",C741)),"Pay Bill",IF(ISNUMBER(SEARCH("Pay Bill",C741)),"Pay Bill",IF(ISNUMBER(SEARCH("Spotify",C741)),"Pay Bill",IF(ISNUMBER(SEARCH("M-Shwari",C741)),"Mshwari",IF(ISNUMBER(SEARCH("Mshwari",C741)),"Mshwari",IF(ISNUMBER(SEARCH("Withdrawal charge",C741)),"Fees",IF(ISNUMBER(SEARCH("Customer Withdrawal",C741)),"Fees",IF(ISNUMBER(SEARCH("charge",C741)),"Fees","Other")))))))))))))))))))))))))</f>
        <v>Mshwari</v>
      </c>
      <c r="R741" s="1" t="str">
        <f aca="false">TEXT(B741,"MMM YYYY")</f>
        <v>Apr 2026</v>
      </c>
    </row>
    <row r="742" customFormat="false" ht="13.8" hidden="false" customHeight="false" outlineLevel="0" collapsed="false">
      <c r="A742" s="4" t="s">
        <v>1555</v>
      </c>
      <c r="B742" s="4" t="s">
        <v>1556</v>
      </c>
      <c r="C742" s="4" t="s">
        <v>239</v>
      </c>
      <c r="D742" s="4" t="s">
        <v>18</v>
      </c>
      <c r="E742" s="4"/>
      <c r="F742" s="4" t="n">
        <v>7</v>
      </c>
      <c r="G742" s="4" t="n">
        <v>139.78</v>
      </c>
      <c r="L742" s="1" t="str">
        <f aca="false">IF(ISNUMBER(SEARCH("Bundle",C742)),"Bundles",IF(ISNUMBER(SEARCH("Airtime",C742)),"Bundles",IF(ISNUMBER(SEARCH("Merchant",C742)),"Merchant Payment",IF(ISNUMBER(SEARCH("Offnet C2B",C742)),"Merchant Payment",IF(ISNUMBER(SEARCH("Offnet B2C",C742)),"Merchant Payment",IF(ISNUMBER(SEARCH("Customer Payment to Small",C742)),"Merchant Payment",IF(ISNUMBER(SEARCH("Payment to Small Business",C742)),"Merchant Payment",IF(ISNUMBER(SEARCH("Sent to",C742)),"Sent to Person",IF(ISNUMBER(SEARCH("Customer Transfer to",C742)),"Sent to Person",IF(ISNUMBER(SEARCH("Business Payment",C742)),"Money In",IF(ISNUMBER(SEARCH("Funds Received",C742)),"Money In",IF(ISNUMBER(SEARCH("Receive International",C742)),"Money In",IF(ISNUMBER(SEARCH("Send Money Reversal",C742)),"Money In",IF(ISNUMBER(SEARCH("Pay Utility Reversal",C742)),"Money In",IF(ISNUMBER(SEARCH("Customer Transfer",C742)),"Money In",IF(ISNUMBER(SEARCH("Ziidi",C742)),"Investment",IF(ISNUMBER(SEARCH("Nabo",C742)),"Investment",IF(ISNUMBER(SEARCH("Paybill Online",C742)),"Pay Bill",IF(ISNUMBER(SEARCH("Pay Bill",C742)),"Pay Bill",IF(ISNUMBER(SEARCH("Spotify",C742)),"Pay Bill",IF(ISNUMBER(SEARCH("M-Shwari",C742)),"Mshwari",IF(ISNUMBER(SEARCH("Mshwari",C742)),"Mshwari",IF(ISNUMBER(SEARCH("Withdrawal charge",C742)),"Fees",IF(ISNUMBER(SEARCH("Customer Withdrawal",C742)),"Fees",IF(ISNUMBER(SEARCH("charge",C742)),"Fees","Other")))))))))))))))))))))))))</f>
        <v>Money In</v>
      </c>
      <c r="R742" s="1" t="str">
        <f aca="false">TEXT(B742,"MMM YYYY")</f>
        <v>Apr 2026</v>
      </c>
    </row>
    <row r="743" customFormat="false" ht="13.8" hidden="false" customHeight="false" outlineLevel="0" collapsed="false">
      <c r="A743" s="4" t="s">
        <v>1555</v>
      </c>
      <c r="B743" s="4" t="s">
        <v>1556</v>
      </c>
      <c r="C743" s="4" t="s">
        <v>1557</v>
      </c>
      <c r="D743" s="4" t="s">
        <v>18</v>
      </c>
      <c r="E743" s="4"/>
      <c r="F743" s="4" t="n">
        <v>300</v>
      </c>
      <c r="G743" s="4" t="n">
        <v>146.78</v>
      </c>
      <c r="L743" s="1" t="str">
        <f aca="false">IF(ISNUMBER(SEARCH("Bundle",C743)),"Bundles",IF(ISNUMBER(SEARCH("Airtime",C743)),"Bundles",IF(ISNUMBER(SEARCH("Merchant",C743)),"Merchant Payment",IF(ISNUMBER(SEARCH("Offnet C2B",C743)),"Merchant Payment",IF(ISNUMBER(SEARCH("Offnet B2C",C743)),"Merchant Payment",IF(ISNUMBER(SEARCH("Customer Payment to Small",C743)),"Merchant Payment",IF(ISNUMBER(SEARCH("Payment to Small Business",C743)),"Merchant Payment",IF(ISNUMBER(SEARCH("Sent to",C743)),"Sent to Person",IF(ISNUMBER(SEARCH("Customer Transfer to",C743)),"Sent to Person",IF(ISNUMBER(SEARCH("Business Payment",C743)),"Money In",IF(ISNUMBER(SEARCH("Funds Received",C743)),"Money In",IF(ISNUMBER(SEARCH("Receive International",C743)),"Money In",IF(ISNUMBER(SEARCH("Send Money Reversal",C743)),"Money In",IF(ISNUMBER(SEARCH("Pay Utility Reversal",C743)),"Money In",IF(ISNUMBER(SEARCH("Customer Transfer",C743)),"Money In",IF(ISNUMBER(SEARCH("Ziidi",C743)),"Investment",IF(ISNUMBER(SEARCH("Nabo",C743)),"Investment",IF(ISNUMBER(SEARCH("Paybill Online",C743)),"Pay Bill",IF(ISNUMBER(SEARCH("Pay Bill",C743)),"Pay Bill",IF(ISNUMBER(SEARCH("Spotify",C743)),"Pay Bill",IF(ISNUMBER(SEARCH("M-Shwari",C743)),"Mshwari",IF(ISNUMBER(SEARCH("Mshwari",C743)),"Mshwari",IF(ISNUMBER(SEARCH("Withdrawal charge",C743)),"Fees",IF(ISNUMBER(SEARCH("Customer Withdrawal",C743)),"Fees",IF(ISNUMBER(SEARCH("charge",C743)),"Fees","Other")))))))))))))))))))))))))</f>
        <v>Merchant Payment</v>
      </c>
      <c r="R743" s="1" t="str">
        <f aca="false">TEXT(B743,"MMM YYYY")</f>
        <v>Apr 2026</v>
      </c>
    </row>
    <row r="744" customFormat="false" ht="13.8" hidden="false" customHeight="false" outlineLevel="0" collapsed="false">
      <c r="A744" s="4" t="s">
        <v>1558</v>
      </c>
      <c r="B744" s="4" t="s">
        <v>1559</v>
      </c>
      <c r="C744" s="4" t="s">
        <v>192</v>
      </c>
      <c r="D744" s="4" t="s">
        <v>18</v>
      </c>
      <c r="E744" s="4" t="n">
        <v>300</v>
      </c>
      <c r="F744" s="4"/>
      <c r="G744" s="4" t="n">
        <v>439.78</v>
      </c>
      <c r="L744" s="1" t="str">
        <f aca="false">IF(ISNUMBER(SEARCH("Bundle",C744)),"Bundles",IF(ISNUMBER(SEARCH("Airtime",C744)),"Bundles",IF(ISNUMBER(SEARCH("Merchant",C744)),"Merchant Payment",IF(ISNUMBER(SEARCH("Offnet C2B",C744)),"Merchant Payment",IF(ISNUMBER(SEARCH("Offnet B2C",C744)),"Merchant Payment",IF(ISNUMBER(SEARCH("Customer Payment to Small",C744)),"Merchant Payment",IF(ISNUMBER(SEARCH("Payment to Small Business",C744)),"Merchant Payment",IF(ISNUMBER(SEARCH("Sent to",C744)),"Sent to Person",IF(ISNUMBER(SEARCH("Customer Transfer to",C744)),"Sent to Person",IF(ISNUMBER(SEARCH("Business Payment",C744)),"Money In",IF(ISNUMBER(SEARCH("Funds Received",C744)),"Money In",IF(ISNUMBER(SEARCH("Receive International",C744)),"Money In",IF(ISNUMBER(SEARCH("Send Money Reversal",C744)),"Money In",IF(ISNUMBER(SEARCH("Pay Utility Reversal",C744)),"Money In",IF(ISNUMBER(SEARCH("Customer Transfer",C744)),"Money In",IF(ISNUMBER(SEARCH("Ziidi",C744)),"Investment",IF(ISNUMBER(SEARCH("Nabo",C744)),"Investment",IF(ISNUMBER(SEARCH("Paybill Online",C744)),"Pay Bill",IF(ISNUMBER(SEARCH("Pay Bill",C744)),"Pay Bill",IF(ISNUMBER(SEARCH("Spotify",C744)),"Pay Bill",IF(ISNUMBER(SEARCH("M-Shwari",C744)),"Mshwari",IF(ISNUMBER(SEARCH("Mshwari",C744)),"Mshwari",IF(ISNUMBER(SEARCH("Withdrawal charge",C744)),"Fees",IF(ISNUMBER(SEARCH("Customer Withdrawal",C744)),"Fees",IF(ISNUMBER(SEARCH("charge",C744)),"Fees","Other")))))))))))))))))))))))))</f>
        <v>Mshwari</v>
      </c>
      <c r="R744" s="1" t="str">
        <f aca="false">TEXT(B744,"MMM YYYY")</f>
        <v>Apr 2026</v>
      </c>
    </row>
    <row r="745" customFormat="false" ht="13.8" hidden="false" customHeight="false" outlineLevel="0" collapsed="false">
      <c r="A745" s="4" t="s">
        <v>1560</v>
      </c>
      <c r="B745" s="4" t="s">
        <v>1561</v>
      </c>
      <c r="C745" s="4" t="s">
        <v>239</v>
      </c>
      <c r="D745" s="4" t="s">
        <v>18</v>
      </c>
      <c r="E745" s="4"/>
      <c r="F745" s="4" t="n">
        <v>7</v>
      </c>
      <c r="G745" s="4" t="n">
        <v>217.78</v>
      </c>
      <c r="L745" s="1" t="str">
        <f aca="false">IF(ISNUMBER(SEARCH("Bundle",C745)),"Bundles",IF(ISNUMBER(SEARCH("Airtime",C745)),"Bundles",IF(ISNUMBER(SEARCH("Merchant",C745)),"Merchant Payment",IF(ISNUMBER(SEARCH("Offnet C2B",C745)),"Merchant Payment",IF(ISNUMBER(SEARCH("Offnet B2C",C745)),"Merchant Payment",IF(ISNUMBER(SEARCH("Customer Payment to Small",C745)),"Merchant Payment",IF(ISNUMBER(SEARCH("Payment to Small Business",C745)),"Merchant Payment",IF(ISNUMBER(SEARCH("Sent to",C745)),"Sent to Person",IF(ISNUMBER(SEARCH("Customer Transfer to",C745)),"Sent to Person",IF(ISNUMBER(SEARCH("Business Payment",C745)),"Money In",IF(ISNUMBER(SEARCH("Funds Received",C745)),"Money In",IF(ISNUMBER(SEARCH("Receive International",C745)),"Money In",IF(ISNUMBER(SEARCH("Send Money Reversal",C745)),"Money In",IF(ISNUMBER(SEARCH("Pay Utility Reversal",C745)),"Money In",IF(ISNUMBER(SEARCH("Customer Transfer",C745)),"Money In",IF(ISNUMBER(SEARCH("Ziidi",C745)),"Investment",IF(ISNUMBER(SEARCH("Nabo",C745)),"Investment",IF(ISNUMBER(SEARCH("Paybill Online",C745)),"Pay Bill",IF(ISNUMBER(SEARCH("Pay Bill",C745)),"Pay Bill",IF(ISNUMBER(SEARCH("Spotify",C745)),"Pay Bill",IF(ISNUMBER(SEARCH("M-Shwari",C745)),"Mshwari",IF(ISNUMBER(SEARCH("Mshwari",C745)),"Mshwari",IF(ISNUMBER(SEARCH("Withdrawal charge",C745)),"Fees",IF(ISNUMBER(SEARCH("Customer Withdrawal",C745)),"Fees",IF(ISNUMBER(SEARCH("charge",C745)),"Fees","Other")))))))))))))))))))))))))</f>
        <v>Money In</v>
      </c>
      <c r="R745" s="1" t="str">
        <f aca="false">TEXT(B745,"MMM YYYY")</f>
        <v>Apr 2026</v>
      </c>
    </row>
    <row r="746" customFormat="false" ht="13.8" hidden="false" customHeight="false" outlineLevel="0" collapsed="false">
      <c r="A746" s="4" t="s">
        <v>1560</v>
      </c>
      <c r="B746" s="4" t="s">
        <v>1561</v>
      </c>
      <c r="C746" s="4" t="s">
        <v>787</v>
      </c>
      <c r="D746" s="4" t="s">
        <v>18</v>
      </c>
      <c r="E746" s="4"/>
      <c r="F746" s="4" t="n">
        <v>215</v>
      </c>
      <c r="G746" s="4" t="n">
        <v>224.78</v>
      </c>
      <c r="L746" s="1" t="str">
        <f aca="false">IF(ISNUMBER(SEARCH("Bundle",C746)),"Bundles",IF(ISNUMBER(SEARCH("Airtime",C746)),"Bundles",IF(ISNUMBER(SEARCH("Merchant",C746)),"Merchant Payment",IF(ISNUMBER(SEARCH("Offnet C2B",C746)),"Merchant Payment",IF(ISNUMBER(SEARCH("Offnet B2C",C746)),"Merchant Payment",IF(ISNUMBER(SEARCH("Customer Payment to Small",C746)),"Merchant Payment",IF(ISNUMBER(SEARCH("Payment to Small Business",C746)),"Merchant Payment",IF(ISNUMBER(SEARCH("Sent to",C746)),"Sent to Person",IF(ISNUMBER(SEARCH("Customer Transfer to",C746)),"Sent to Person",IF(ISNUMBER(SEARCH("Business Payment",C746)),"Money In",IF(ISNUMBER(SEARCH("Funds Received",C746)),"Money In",IF(ISNUMBER(SEARCH("Receive International",C746)),"Money In",IF(ISNUMBER(SEARCH("Send Money Reversal",C746)),"Money In",IF(ISNUMBER(SEARCH("Pay Utility Reversal",C746)),"Money In",IF(ISNUMBER(SEARCH("Customer Transfer",C746)),"Money In",IF(ISNUMBER(SEARCH("Ziidi",C746)),"Investment",IF(ISNUMBER(SEARCH("Nabo",C746)),"Investment",IF(ISNUMBER(SEARCH("Paybill Online",C746)),"Pay Bill",IF(ISNUMBER(SEARCH("Pay Bill",C746)),"Pay Bill",IF(ISNUMBER(SEARCH("Spotify",C746)),"Pay Bill",IF(ISNUMBER(SEARCH("M-Shwari",C746)),"Mshwari",IF(ISNUMBER(SEARCH("Mshwari",C746)),"Mshwari",IF(ISNUMBER(SEARCH("Withdrawal charge",C746)),"Fees",IF(ISNUMBER(SEARCH("Customer Withdrawal",C746)),"Fees",IF(ISNUMBER(SEARCH("charge",C746)),"Fees","Other")))))))))))))))))))))))))</f>
        <v>Merchant Payment</v>
      </c>
      <c r="R746" s="1" t="str">
        <f aca="false">TEXT(B746,"MMM YYYY")</f>
        <v>Apr 2026</v>
      </c>
    </row>
    <row r="747" customFormat="false" ht="13.8" hidden="false" customHeight="false" outlineLevel="0" collapsed="false">
      <c r="A747" s="4" t="s">
        <v>1562</v>
      </c>
      <c r="B747" s="4" t="s">
        <v>1563</v>
      </c>
      <c r="C747" s="4" t="s">
        <v>1564</v>
      </c>
      <c r="D747" s="4" t="s">
        <v>18</v>
      </c>
      <c r="E747" s="4"/>
      <c r="F747" s="4" t="n">
        <v>130</v>
      </c>
      <c r="G747" s="4" t="n">
        <v>87.78</v>
      </c>
      <c r="L747" s="1" t="str">
        <f aca="false">IF(ISNUMBER(SEARCH("Bundle",C747)),"Bundles",IF(ISNUMBER(SEARCH("Airtime",C747)),"Bundles",IF(ISNUMBER(SEARCH("Merchant",C747)),"Merchant Payment",IF(ISNUMBER(SEARCH("Offnet C2B",C747)),"Merchant Payment",IF(ISNUMBER(SEARCH("Offnet B2C",C747)),"Merchant Payment",IF(ISNUMBER(SEARCH("Customer Payment to Small",C747)),"Merchant Payment",IF(ISNUMBER(SEARCH("Payment to Small Business",C747)),"Merchant Payment",IF(ISNUMBER(SEARCH("Sent to",C747)),"Sent to Person",IF(ISNUMBER(SEARCH("Customer Transfer to",C747)),"Sent to Person",IF(ISNUMBER(SEARCH("Business Payment",C747)),"Money In",IF(ISNUMBER(SEARCH("Funds Received",C747)),"Money In",IF(ISNUMBER(SEARCH("Receive International",C747)),"Money In",IF(ISNUMBER(SEARCH("Send Money Reversal",C747)),"Money In",IF(ISNUMBER(SEARCH("Pay Utility Reversal",C747)),"Money In",IF(ISNUMBER(SEARCH("Customer Transfer",C747)),"Money In",IF(ISNUMBER(SEARCH("Ziidi",C747)),"Investment",IF(ISNUMBER(SEARCH("Nabo",C747)),"Investment",IF(ISNUMBER(SEARCH("Paybill Online",C747)),"Pay Bill",IF(ISNUMBER(SEARCH("Pay Bill",C747)),"Pay Bill",IF(ISNUMBER(SEARCH("Spotify",C747)),"Pay Bill",IF(ISNUMBER(SEARCH("M-Shwari",C747)),"Mshwari",IF(ISNUMBER(SEARCH("Mshwari",C747)),"Mshwari",IF(ISNUMBER(SEARCH("Withdrawal charge",C747)),"Fees",IF(ISNUMBER(SEARCH("Customer Withdrawal",C747)),"Fees",IF(ISNUMBER(SEARCH("charge",C747)),"Fees","Other")))))))))))))))))))))))))</f>
        <v>Merchant Payment</v>
      </c>
      <c r="R747" s="1" t="str">
        <f aca="false">TEXT(B747,"MMM YYYY")</f>
        <v>Apr 2026</v>
      </c>
    </row>
    <row r="748" customFormat="false" ht="13.8" hidden="false" customHeight="false" outlineLevel="0" collapsed="false">
      <c r="A748" s="4" t="s">
        <v>1565</v>
      </c>
      <c r="B748" s="4" t="s">
        <v>1566</v>
      </c>
      <c r="C748" s="4" t="s">
        <v>29</v>
      </c>
      <c r="D748" s="4" t="s">
        <v>18</v>
      </c>
      <c r="E748" s="4"/>
      <c r="F748" s="4" t="n">
        <v>20</v>
      </c>
      <c r="G748" s="4" t="n">
        <v>67.78</v>
      </c>
      <c r="L748" s="1" t="str">
        <f aca="false">IF(ISNUMBER(SEARCH("Bundle",C748)),"Bundles",IF(ISNUMBER(SEARCH("Airtime",C748)),"Bundles",IF(ISNUMBER(SEARCH("Merchant",C748)),"Merchant Payment",IF(ISNUMBER(SEARCH("Offnet C2B",C748)),"Merchant Payment",IF(ISNUMBER(SEARCH("Offnet B2C",C748)),"Merchant Payment",IF(ISNUMBER(SEARCH("Customer Payment to Small",C748)),"Merchant Payment",IF(ISNUMBER(SEARCH("Payment to Small Business",C748)),"Merchant Payment",IF(ISNUMBER(SEARCH("Sent to",C748)),"Sent to Person",IF(ISNUMBER(SEARCH("Customer Transfer to",C748)),"Sent to Person",IF(ISNUMBER(SEARCH("Business Payment",C748)),"Money In",IF(ISNUMBER(SEARCH("Funds Received",C748)),"Money In",IF(ISNUMBER(SEARCH("Receive International",C748)),"Money In",IF(ISNUMBER(SEARCH("Send Money Reversal",C748)),"Money In",IF(ISNUMBER(SEARCH("Pay Utility Reversal",C748)),"Money In",IF(ISNUMBER(SEARCH("Customer Transfer",C748)),"Money In",IF(ISNUMBER(SEARCH("Ziidi",C748)),"Investment",IF(ISNUMBER(SEARCH("Nabo",C748)),"Investment",IF(ISNUMBER(SEARCH("Paybill Online",C748)),"Pay Bill",IF(ISNUMBER(SEARCH("Pay Bill",C748)),"Pay Bill",IF(ISNUMBER(SEARCH("Spotify",C748)),"Pay Bill",IF(ISNUMBER(SEARCH("M-Shwari",C748)),"Mshwari",IF(ISNUMBER(SEARCH("Mshwari",C748)),"Mshwari",IF(ISNUMBER(SEARCH("Withdrawal charge",C748)),"Fees",IF(ISNUMBER(SEARCH("Customer Withdrawal",C748)),"Fees",IF(ISNUMBER(SEARCH("charge",C748)),"Fees","Other")))))))))))))))))))))))))</f>
        <v>Bundles</v>
      </c>
      <c r="R748" s="1" t="str">
        <f aca="false">TEXT(B748,"MMM YYYY")</f>
        <v>Apr 2026</v>
      </c>
    </row>
    <row r="749" customFormat="false" ht="13.8" hidden="false" customHeight="false" outlineLevel="0" collapsed="false">
      <c r="A749" s="4" t="s">
        <v>1567</v>
      </c>
      <c r="B749" s="4" t="s">
        <v>1568</v>
      </c>
      <c r="C749" s="4" t="s">
        <v>29</v>
      </c>
      <c r="D749" s="4" t="s">
        <v>18</v>
      </c>
      <c r="E749" s="4"/>
      <c r="F749" s="4" t="n">
        <v>20</v>
      </c>
      <c r="G749" s="4" t="n">
        <v>47.78</v>
      </c>
      <c r="L749" s="1" t="str">
        <f aca="false">IF(ISNUMBER(SEARCH("Bundle",C749)),"Bundles",IF(ISNUMBER(SEARCH("Airtime",C749)),"Bundles",IF(ISNUMBER(SEARCH("Merchant",C749)),"Merchant Payment",IF(ISNUMBER(SEARCH("Offnet C2B",C749)),"Merchant Payment",IF(ISNUMBER(SEARCH("Offnet B2C",C749)),"Merchant Payment",IF(ISNUMBER(SEARCH("Customer Payment to Small",C749)),"Merchant Payment",IF(ISNUMBER(SEARCH("Payment to Small Business",C749)),"Merchant Payment",IF(ISNUMBER(SEARCH("Sent to",C749)),"Sent to Person",IF(ISNUMBER(SEARCH("Customer Transfer to",C749)),"Sent to Person",IF(ISNUMBER(SEARCH("Business Payment",C749)),"Money In",IF(ISNUMBER(SEARCH("Funds Received",C749)),"Money In",IF(ISNUMBER(SEARCH("Receive International",C749)),"Money In",IF(ISNUMBER(SEARCH("Send Money Reversal",C749)),"Money In",IF(ISNUMBER(SEARCH("Pay Utility Reversal",C749)),"Money In",IF(ISNUMBER(SEARCH("Customer Transfer",C749)),"Money In",IF(ISNUMBER(SEARCH("Ziidi",C749)),"Investment",IF(ISNUMBER(SEARCH("Nabo",C749)),"Investment",IF(ISNUMBER(SEARCH("Paybill Online",C749)),"Pay Bill",IF(ISNUMBER(SEARCH("Pay Bill",C749)),"Pay Bill",IF(ISNUMBER(SEARCH("Spotify",C749)),"Pay Bill",IF(ISNUMBER(SEARCH("M-Shwari",C749)),"Mshwari",IF(ISNUMBER(SEARCH("Mshwari",C749)),"Mshwari",IF(ISNUMBER(SEARCH("Withdrawal charge",C749)),"Fees",IF(ISNUMBER(SEARCH("Customer Withdrawal",C749)),"Fees",IF(ISNUMBER(SEARCH("charge",C749)),"Fees","Other")))))))))))))))))))))))))</f>
        <v>Bundles</v>
      </c>
      <c r="R749" s="1" t="str">
        <f aca="false">TEXT(B749,"MMM YYYY")</f>
        <v>Apr 2026</v>
      </c>
    </row>
    <row r="750" customFormat="false" ht="13.8" hidden="false" customHeight="false" outlineLevel="0" collapsed="false">
      <c r="A750" s="4" t="s">
        <v>1569</v>
      </c>
      <c r="B750" s="4" t="s">
        <v>1570</v>
      </c>
      <c r="C750" s="4" t="s">
        <v>192</v>
      </c>
      <c r="D750" s="4" t="s">
        <v>18</v>
      </c>
      <c r="E750" s="4" t="n">
        <v>650</v>
      </c>
      <c r="F750" s="4"/>
      <c r="G750" s="4" t="n">
        <v>697.78</v>
      </c>
      <c r="L750" s="1" t="str">
        <f aca="false">IF(ISNUMBER(SEARCH("Bundle",C750)),"Bundles",IF(ISNUMBER(SEARCH("Airtime",C750)),"Bundles",IF(ISNUMBER(SEARCH("Merchant",C750)),"Merchant Payment",IF(ISNUMBER(SEARCH("Offnet C2B",C750)),"Merchant Payment",IF(ISNUMBER(SEARCH("Offnet B2C",C750)),"Merchant Payment",IF(ISNUMBER(SEARCH("Customer Payment to Small",C750)),"Merchant Payment",IF(ISNUMBER(SEARCH("Payment to Small Business",C750)),"Merchant Payment",IF(ISNUMBER(SEARCH("Sent to",C750)),"Sent to Person",IF(ISNUMBER(SEARCH("Customer Transfer to",C750)),"Sent to Person",IF(ISNUMBER(SEARCH("Business Payment",C750)),"Money In",IF(ISNUMBER(SEARCH("Funds Received",C750)),"Money In",IF(ISNUMBER(SEARCH("Receive International",C750)),"Money In",IF(ISNUMBER(SEARCH("Send Money Reversal",C750)),"Money In",IF(ISNUMBER(SEARCH("Pay Utility Reversal",C750)),"Money In",IF(ISNUMBER(SEARCH("Customer Transfer",C750)),"Money In",IF(ISNUMBER(SEARCH("Ziidi",C750)),"Investment",IF(ISNUMBER(SEARCH("Nabo",C750)),"Investment",IF(ISNUMBER(SEARCH("Paybill Online",C750)),"Pay Bill",IF(ISNUMBER(SEARCH("Pay Bill",C750)),"Pay Bill",IF(ISNUMBER(SEARCH("Spotify",C750)),"Pay Bill",IF(ISNUMBER(SEARCH("M-Shwari",C750)),"Mshwari",IF(ISNUMBER(SEARCH("Mshwari",C750)),"Mshwari",IF(ISNUMBER(SEARCH("Withdrawal charge",C750)),"Fees",IF(ISNUMBER(SEARCH("Customer Withdrawal",C750)),"Fees",IF(ISNUMBER(SEARCH("charge",C750)),"Fees","Other")))))))))))))))))))))))))</f>
        <v>Mshwari</v>
      </c>
      <c r="R750" s="1" t="str">
        <f aca="false">TEXT(B750,"MMM YYYY")</f>
        <v>Apr 2026</v>
      </c>
    </row>
    <row r="751" customFormat="false" ht="13.8" hidden="false" customHeight="false" outlineLevel="0" collapsed="false">
      <c r="A751" s="4" t="s">
        <v>1571</v>
      </c>
      <c r="B751" s="4" t="s">
        <v>1572</v>
      </c>
      <c r="C751" s="4" t="s">
        <v>323</v>
      </c>
      <c r="D751" s="4" t="s">
        <v>18</v>
      </c>
      <c r="E751" s="4"/>
      <c r="F751" s="4" t="n">
        <v>100</v>
      </c>
      <c r="G751" s="4" t="n">
        <v>597.78</v>
      </c>
      <c r="L751" s="1" t="str">
        <f aca="false">IF(ISNUMBER(SEARCH("Bundle",C751)),"Bundles",IF(ISNUMBER(SEARCH("Airtime",C751)),"Bundles",IF(ISNUMBER(SEARCH("Merchant",C751)),"Merchant Payment",IF(ISNUMBER(SEARCH("Offnet C2B",C751)),"Merchant Payment",IF(ISNUMBER(SEARCH("Offnet B2C",C751)),"Merchant Payment",IF(ISNUMBER(SEARCH("Customer Payment to Small",C751)),"Merchant Payment",IF(ISNUMBER(SEARCH("Payment to Small Business",C751)),"Merchant Payment",IF(ISNUMBER(SEARCH("Sent to",C751)),"Sent to Person",IF(ISNUMBER(SEARCH("Customer Transfer to",C751)),"Sent to Person",IF(ISNUMBER(SEARCH("Business Payment",C751)),"Money In",IF(ISNUMBER(SEARCH("Funds Received",C751)),"Money In",IF(ISNUMBER(SEARCH("Receive International",C751)),"Money In",IF(ISNUMBER(SEARCH("Send Money Reversal",C751)),"Money In",IF(ISNUMBER(SEARCH("Pay Utility Reversal",C751)),"Money In",IF(ISNUMBER(SEARCH("Customer Transfer",C751)),"Money In",IF(ISNUMBER(SEARCH("Ziidi",C751)),"Investment",IF(ISNUMBER(SEARCH("Nabo",C751)),"Investment",IF(ISNUMBER(SEARCH("Paybill Online",C751)),"Pay Bill",IF(ISNUMBER(SEARCH("Pay Bill",C751)),"Pay Bill",IF(ISNUMBER(SEARCH("Spotify",C751)),"Pay Bill",IF(ISNUMBER(SEARCH("M-Shwari",C751)),"Mshwari",IF(ISNUMBER(SEARCH("Mshwari",C751)),"Mshwari",IF(ISNUMBER(SEARCH("Withdrawal charge",C751)),"Fees",IF(ISNUMBER(SEARCH("Customer Withdrawal",C751)),"Fees",IF(ISNUMBER(SEARCH("charge",C751)),"Fees","Other")))))))))))))))))))))))))</f>
        <v>Sent to Person</v>
      </c>
      <c r="R751" s="1" t="str">
        <f aca="false">TEXT(B751,"MMM YYYY")</f>
        <v>Apr 2026</v>
      </c>
    </row>
    <row r="752" customFormat="false" ht="13.8" hidden="false" customHeight="false" outlineLevel="0" collapsed="false">
      <c r="A752" s="4" t="s">
        <v>1573</v>
      </c>
      <c r="B752" s="4" t="s">
        <v>1574</v>
      </c>
      <c r="C752" s="4" t="s">
        <v>323</v>
      </c>
      <c r="D752" s="4" t="s">
        <v>18</v>
      </c>
      <c r="E752" s="4"/>
      <c r="F752" s="4" t="n">
        <v>100</v>
      </c>
      <c r="G752" s="4" t="n">
        <v>497.78</v>
      </c>
      <c r="L752" s="1" t="str">
        <f aca="false">IF(ISNUMBER(SEARCH("Bundle",C752)),"Bundles",IF(ISNUMBER(SEARCH("Airtime",C752)),"Bundles",IF(ISNUMBER(SEARCH("Merchant",C752)),"Merchant Payment",IF(ISNUMBER(SEARCH("Offnet C2B",C752)),"Merchant Payment",IF(ISNUMBER(SEARCH("Offnet B2C",C752)),"Merchant Payment",IF(ISNUMBER(SEARCH("Customer Payment to Small",C752)),"Merchant Payment",IF(ISNUMBER(SEARCH("Payment to Small Business",C752)),"Merchant Payment",IF(ISNUMBER(SEARCH("Sent to",C752)),"Sent to Person",IF(ISNUMBER(SEARCH("Customer Transfer to",C752)),"Sent to Person",IF(ISNUMBER(SEARCH("Business Payment",C752)),"Money In",IF(ISNUMBER(SEARCH("Funds Received",C752)),"Money In",IF(ISNUMBER(SEARCH("Receive International",C752)),"Money In",IF(ISNUMBER(SEARCH("Send Money Reversal",C752)),"Money In",IF(ISNUMBER(SEARCH("Pay Utility Reversal",C752)),"Money In",IF(ISNUMBER(SEARCH("Customer Transfer",C752)),"Money In",IF(ISNUMBER(SEARCH("Ziidi",C752)),"Investment",IF(ISNUMBER(SEARCH("Nabo",C752)),"Investment",IF(ISNUMBER(SEARCH("Paybill Online",C752)),"Pay Bill",IF(ISNUMBER(SEARCH("Pay Bill",C752)),"Pay Bill",IF(ISNUMBER(SEARCH("Spotify",C752)),"Pay Bill",IF(ISNUMBER(SEARCH("M-Shwari",C752)),"Mshwari",IF(ISNUMBER(SEARCH("Mshwari",C752)),"Mshwari",IF(ISNUMBER(SEARCH("Withdrawal charge",C752)),"Fees",IF(ISNUMBER(SEARCH("Customer Withdrawal",C752)),"Fees",IF(ISNUMBER(SEARCH("charge",C752)),"Fees","Other")))))))))))))))))))))))))</f>
        <v>Sent to Person</v>
      </c>
      <c r="R752" s="1" t="str">
        <f aca="false">TEXT(B752,"MMM YYYY")</f>
        <v>Apr 2026</v>
      </c>
    </row>
    <row r="753" customFormat="false" ht="13.8" hidden="false" customHeight="false" outlineLevel="0" collapsed="false">
      <c r="A753" s="4" t="s">
        <v>1575</v>
      </c>
      <c r="B753" s="4" t="s">
        <v>1576</v>
      </c>
      <c r="C753" s="4" t="s">
        <v>323</v>
      </c>
      <c r="D753" s="4" t="s">
        <v>18</v>
      </c>
      <c r="E753" s="4"/>
      <c r="F753" s="4" t="n">
        <v>100</v>
      </c>
      <c r="G753" s="4" t="n">
        <v>397.78</v>
      </c>
      <c r="L753" s="1" t="str">
        <f aca="false">IF(ISNUMBER(SEARCH("Bundle",C753)),"Bundles",IF(ISNUMBER(SEARCH("Airtime",C753)),"Bundles",IF(ISNUMBER(SEARCH("Merchant",C753)),"Merchant Payment",IF(ISNUMBER(SEARCH("Offnet C2B",C753)),"Merchant Payment",IF(ISNUMBER(SEARCH("Offnet B2C",C753)),"Merchant Payment",IF(ISNUMBER(SEARCH("Customer Payment to Small",C753)),"Merchant Payment",IF(ISNUMBER(SEARCH("Payment to Small Business",C753)),"Merchant Payment",IF(ISNUMBER(SEARCH("Sent to",C753)),"Sent to Person",IF(ISNUMBER(SEARCH("Customer Transfer to",C753)),"Sent to Person",IF(ISNUMBER(SEARCH("Business Payment",C753)),"Money In",IF(ISNUMBER(SEARCH("Funds Received",C753)),"Money In",IF(ISNUMBER(SEARCH("Receive International",C753)),"Money In",IF(ISNUMBER(SEARCH("Send Money Reversal",C753)),"Money In",IF(ISNUMBER(SEARCH("Pay Utility Reversal",C753)),"Money In",IF(ISNUMBER(SEARCH("Customer Transfer",C753)),"Money In",IF(ISNUMBER(SEARCH("Ziidi",C753)),"Investment",IF(ISNUMBER(SEARCH("Nabo",C753)),"Investment",IF(ISNUMBER(SEARCH("Paybill Online",C753)),"Pay Bill",IF(ISNUMBER(SEARCH("Pay Bill",C753)),"Pay Bill",IF(ISNUMBER(SEARCH("Spotify",C753)),"Pay Bill",IF(ISNUMBER(SEARCH("M-Shwari",C753)),"Mshwari",IF(ISNUMBER(SEARCH("Mshwari",C753)),"Mshwari",IF(ISNUMBER(SEARCH("Withdrawal charge",C753)),"Fees",IF(ISNUMBER(SEARCH("Customer Withdrawal",C753)),"Fees",IF(ISNUMBER(SEARCH("charge",C753)),"Fees","Other")))))))))))))))))))))))))</f>
        <v>Sent to Person</v>
      </c>
      <c r="R753" s="1" t="str">
        <f aca="false">TEXT(B753,"MMM YYYY")</f>
        <v>Apr 2026</v>
      </c>
    </row>
    <row r="754" customFormat="false" ht="13.8" hidden="false" customHeight="false" outlineLevel="0" collapsed="false">
      <c r="A754" s="4" t="s">
        <v>1577</v>
      </c>
      <c r="B754" s="4" t="s">
        <v>1578</v>
      </c>
      <c r="C754" s="4" t="s">
        <v>29</v>
      </c>
      <c r="D754" s="4" t="s">
        <v>18</v>
      </c>
      <c r="E754" s="4"/>
      <c r="F754" s="4" t="n">
        <v>10</v>
      </c>
      <c r="G754" s="4" t="n">
        <v>387.78</v>
      </c>
      <c r="L754" s="1" t="str">
        <f aca="false">IF(ISNUMBER(SEARCH("Bundle",C754)),"Bundles",IF(ISNUMBER(SEARCH("Airtime",C754)),"Bundles",IF(ISNUMBER(SEARCH("Merchant",C754)),"Merchant Payment",IF(ISNUMBER(SEARCH("Offnet C2B",C754)),"Merchant Payment",IF(ISNUMBER(SEARCH("Offnet B2C",C754)),"Merchant Payment",IF(ISNUMBER(SEARCH("Customer Payment to Small",C754)),"Merchant Payment",IF(ISNUMBER(SEARCH("Payment to Small Business",C754)),"Merchant Payment",IF(ISNUMBER(SEARCH("Sent to",C754)),"Sent to Person",IF(ISNUMBER(SEARCH("Customer Transfer to",C754)),"Sent to Person",IF(ISNUMBER(SEARCH("Business Payment",C754)),"Money In",IF(ISNUMBER(SEARCH("Funds Received",C754)),"Money In",IF(ISNUMBER(SEARCH("Receive International",C754)),"Money In",IF(ISNUMBER(SEARCH("Send Money Reversal",C754)),"Money In",IF(ISNUMBER(SEARCH("Pay Utility Reversal",C754)),"Money In",IF(ISNUMBER(SEARCH("Customer Transfer",C754)),"Money In",IF(ISNUMBER(SEARCH("Ziidi",C754)),"Investment",IF(ISNUMBER(SEARCH("Nabo",C754)),"Investment",IF(ISNUMBER(SEARCH("Paybill Online",C754)),"Pay Bill",IF(ISNUMBER(SEARCH("Pay Bill",C754)),"Pay Bill",IF(ISNUMBER(SEARCH("Spotify",C754)),"Pay Bill",IF(ISNUMBER(SEARCH("M-Shwari",C754)),"Mshwari",IF(ISNUMBER(SEARCH("Mshwari",C754)),"Mshwari",IF(ISNUMBER(SEARCH("Withdrawal charge",C754)),"Fees",IF(ISNUMBER(SEARCH("Customer Withdrawal",C754)),"Fees",IF(ISNUMBER(SEARCH("charge",C754)),"Fees","Other")))))))))))))))))))))))))</f>
        <v>Bundles</v>
      </c>
      <c r="R754" s="1" t="str">
        <f aca="false">TEXT(B754,"MMM YYYY")</f>
        <v>Apr 2026</v>
      </c>
    </row>
    <row r="755" customFormat="false" ht="13.8" hidden="false" customHeight="false" outlineLevel="0" collapsed="false">
      <c r="A755" s="4" t="s">
        <v>1579</v>
      </c>
      <c r="B755" s="4" t="s">
        <v>1580</v>
      </c>
      <c r="C755" s="4" t="s">
        <v>29</v>
      </c>
      <c r="D755" s="4" t="s">
        <v>18</v>
      </c>
      <c r="E755" s="4"/>
      <c r="F755" s="4" t="n">
        <v>20</v>
      </c>
      <c r="G755" s="4" t="n">
        <v>367.78</v>
      </c>
      <c r="L755" s="1" t="str">
        <f aca="false">IF(ISNUMBER(SEARCH("Bundle",C755)),"Bundles",IF(ISNUMBER(SEARCH("Airtime",C755)),"Bundles",IF(ISNUMBER(SEARCH("Merchant",C755)),"Merchant Payment",IF(ISNUMBER(SEARCH("Offnet C2B",C755)),"Merchant Payment",IF(ISNUMBER(SEARCH("Offnet B2C",C755)),"Merchant Payment",IF(ISNUMBER(SEARCH("Customer Payment to Small",C755)),"Merchant Payment",IF(ISNUMBER(SEARCH("Payment to Small Business",C755)),"Merchant Payment",IF(ISNUMBER(SEARCH("Sent to",C755)),"Sent to Person",IF(ISNUMBER(SEARCH("Customer Transfer to",C755)),"Sent to Person",IF(ISNUMBER(SEARCH("Business Payment",C755)),"Money In",IF(ISNUMBER(SEARCH("Funds Received",C755)),"Money In",IF(ISNUMBER(SEARCH("Receive International",C755)),"Money In",IF(ISNUMBER(SEARCH("Send Money Reversal",C755)),"Money In",IF(ISNUMBER(SEARCH("Pay Utility Reversal",C755)),"Money In",IF(ISNUMBER(SEARCH("Customer Transfer",C755)),"Money In",IF(ISNUMBER(SEARCH("Ziidi",C755)),"Investment",IF(ISNUMBER(SEARCH("Nabo",C755)),"Investment",IF(ISNUMBER(SEARCH("Paybill Online",C755)),"Pay Bill",IF(ISNUMBER(SEARCH("Pay Bill",C755)),"Pay Bill",IF(ISNUMBER(SEARCH("Spotify",C755)),"Pay Bill",IF(ISNUMBER(SEARCH("M-Shwari",C755)),"Mshwari",IF(ISNUMBER(SEARCH("Mshwari",C755)),"Mshwari",IF(ISNUMBER(SEARCH("Withdrawal charge",C755)),"Fees",IF(ISNUMBER(SEARCH("Customer Withdrawal",C755)),"Fees",IF(ISNUMBER(SEARCH("charge",C755)),"Fees","Other")))))))))))))))))))))))))</f>
        <v>Bundles</v>
      </c>
      <c r="R755" s="1" t="str">
        <f aca="false">TEXT(B755,"MMM YYYY")</f>
        <v>Apr 2026</v>
      </c>
    </row>
    <row r="756" customFormat="false" ht="13.8" hidden="false" customHeight="false" outlineLevel="0" collapsed="false">
      <c r="A756" s="4" t="s">
        <v>1581</v>
      </c>
      <c r="B756" s="4" t="s">
        <v>1582</v>
      </c>
      <c r="C756" s="4" t="s">
        <v>1583</v>
      </c>
      <c r="D756" s="4" t="s">
        <v>18</v>
      </c>
      <c r="E756" s="4"/>
      <c r="F756" s="4" t="n">
        <v>50</v>
      </c>
      <c r="G756" s="4" t="n">
        <v>317.78</v>
      </c>
      <c r="L756" s="1" t="str">
        <f aca="false">IF(ISNUMBER(SEARCH("Bundle",C756)),"Bundles",IF(ISNUMBER(SEARCH("Airtime",C756)),"Bundles",IF(ISNUMBER(SEARCH("Merchant",C756)),"Merchant Payment",IF(ISNUMBER(SEARCH("Offnet C2B",C756)),"Merchant Payment",IF(ISNUMBER(SEARCH("Offnet B2C",C756)),"Merchant Payment",IF(ISNUMBER(SEARCH("Customer Payment to Small",C756)),"Merchant Payment",IF(ISNUMBER(SEARCH("Payment to Small Business",C756)),"Merchant Payment",IF(ISNUMBER(SEARCH("Sent to",C756)),"Sent to Person",IF(ISNUMBER(SEARCH("Customer Transfer to",C756)),"Sent to Person",IF(ISNUMBER(SEARCH("Business Payment",C756)),"Money In",IF(ISNUMBER(SEARCH("Funds Received",C756)),"Money In",IF(ISNUMBER(SEARCH("Receive International",C756)),"Money In",IF(ISNUMBER(SEARCH("Send Money Reversal",C756)),"Money In",IF(ISNUMBER(SEARCH("Pay Utility Reversal",C756)),"Money In",IF(ISNUMBER(SEARCH("Customer Transfer",C756)),"Money In",IF(ISNUMBER(SEARCH("Ziidi",C756)),"Investment",IF(ISNUMBER(SEARCH("Nabo",C756)),"Investment",IF(ISNUMBER(SEARCH("Paybill Online",C756)),"Pay Bill",IF(ISNUMBER(SEARCH("Pay Bill",C756)),"Pay Bill",IF(ISNUMBER(SEARCH("Spotify",C756)),"Pay Bill",IF(ISNUMBER(SEARCH("M-Shwari",C756)),"Mshwari",IF(ISNUMBER(SEARCH("Mshwari",C756)),"Mshwari",IF(ISNUMBER(SEARCH("Withdrawal charge",C756)),"Fees",IF(ISNUMBER(SEARCH("Customer Withdrawal",C756)),"Fees",IF(ISNUMBER(SEARCH("charge",C756)),"Fees","Other")))))))))))))))))))))))))</f>
        <v>Merchant Payment</v>
      </c>
      <c r="R756" s="1" t="str">
        <f aca="false">TEXT(B756,"MMM YYYY")</f>
        <v>Apr 2026</v>
      </c>
    </row>
    <row r="757" customFormat="false" ht="13.8" hidden="false" customHeight="false" outlineLevel="0" collapsed="false">
      <c r="A757" s="4" t="s">
        <v>1584</v>
      </c>
      <c r="B757" s="4" t="s">
        <v>1585</v>
      </c>
      <c r="C757" s="4" t="s">
        <v>1086</v>
      </c>
      <c r="D757" s="4" t="s">
        <v>18</v>
      </c>
      <c r="E757" s="4"/>
      <c r="F757" s="4" t="n">
        <v>100</v>
      </c>
      <c r="G757" s="4" t="n">
        <v>217.78</v>
      </c>
      <c r="L757" s="1" t="str">
        <f aca="false">IF(ISNUMBER(SEARCH("Bundle",C757)),"Bundles",IF(ISNUMBER(SEARCH("Airtime",C757)),"Bundles",IF(ISNUMBER(SEARCH("Merchant",C757)),"Merchant Payment",IF(ISNUMBER(SEARCH("Offnet C2B",C757)),"Merchant Payment",IF(ISNUMBER(SEARCH("Offnet B2C",C757)),"Merchant Payment",IF(ISNUMBER(SEARCH("Customer Payment to Small",C757)),"Merchant Payment",IF(ISNUMBER(SEARCH("Payment to Small Business",C757)),"Merchant Payment",IF(ISNUMBER(SEARCH("Sent to",C757)),"Sent to Person",IF(ISNUMBER(SEARCH("Customer Transfer to",C757)),"Sent to Person",IF(ISNUMBER(SEARCH("Business Payment",C757)),"Money In",IF(ISNUMBER(SEARCH("Funds Received",C757)),"Money In",IF(ISNUMBER(SEARCH("Receive International",C757)),"Money In",IF(ISNUMBER(SEARCH("Send Money Reversal",C757)),"Money In",IF(ISNUMBER(SEARCH("Pay Utility Reversal",C757)),"Money In",IF(ISNUMBER(SEARCH("Customer Transfer",C757)),"Money In",IF(ISNUMBER(SEARCH("Ziidi",C757)),"Investment",IF(ISNUMBER(SEARCH("Nabo",C757)),"Investment",IF(ISNUMBER(SEARCH("Paybill Online",C757)),"Pay Bill",IF(ISNUMBER(SEARCH("Pay Bill",C757)),"Pay Bill",IF(ISNUMBER(SEARCH("Spotify",C757)),"Pay Bill",IF(ISNUMBER(SEARCH("M-Shwari",C757)),"Mshwari",IF(ISNUMBER(SEARCH("Mshwari",C757)),"Mshwari",IF(ISNUMBER(SEARCH("Withdrawal charge",C757)),"Fees",IF(ISNUMBER(SEARCH("Customer Withdrawal",C757)),"Fees",IF(ISNUMBER(SEARCH("charge",C757)),"Fees","Other")))))))))))))))))))))))))</f>
        <v>Sent to Person</v>
      </c>
      <c r="R757" s="1" t="str">
        <f aca="false">TEXT(B757,"MMM YYYY")</f>
        <v>Apr 2026</v>
      </c>
    </row>
    <row r="758" customFormat="false" ht="13.8" hidden="false" customHeight="false" outlineLevel="0" collapsed="false">
      <c r="A758" s="4" t="s">
        <v>1586</v>
      </c>
      <c r="B758" s="4" t="s">
        <v>1587</v>
      </c>
      <c r="C758" s="4" t="s">
        <v>1552</v>
      </c>
      <c r="D758" s="4" t="s">
        <v>18</v>
      </c>
      <c r="E758" s="4"/>
      <c r="F758" s="4" t="n">
        <v>30</v>
      </c>
      <c r="G758" s="4" t="n">
        <v>187.78</v>
      </c>
      <c r="L758" s="1" t="str">
        <f aca="false">IF(ISNUMBER(SEARCH("Bundle",C758)),"Bundles",IF(ISNUMBER(SEARCH("Airtime",C758)),"Bundles",IF(ISNUMBER(SEARCH("Merchant",C758)),"Merchant Payment",IF(ISNUMBER(SEARCH("Offnet C2B",C758)),"Merchant Payment",IF(ISNUMBER(SEARCH("Offnet B2C",C758)),"Merchant Payment",IF(ISNUMBER(SEARCH("Customer Payment to Small",C758)),"Merchant Payment",IF(ISNUMBER(SEARCH("Payment to Small Business",C758)),"Merchant Payment",IF(ISNUMBER(SEARCH("Sent to",C758)),"Sent to Person",IF(ISNUMBER(SEARCH("Customer Transfer to",C758)),"Sent to Person",IF(ISNUMBER(SEARCH("Business Payment",C758)),"Money In",IF(ISNUMBER(SEARCH("Funds Received",C758)),"Money In",IF(ISNUMBER(SEARCH("Receive International",C758)),"Money In",IF(ISNUMBER(SEARCH("Send Money Reversal",C758)),"Money In",IF(ISNUMBER(SEARCH("Pay Utility Reversal",C758)),"Money In",IF(ISNUMBER(SEARCH("Customer Transfer",C758)),"Money In",IF(ISNUMBER(SEARCH("Ziidi",C758)),"Investment",IF(ISNUMBER(SEARCH("Nabo",C758)),"Investment",IF(ISNUMBER(SEARCH("Paybill Online",C758)),"Pay Bill",IF(ISNUMBER(SEARCH("Pay Bill",C758)),"Pay Bill",IF(ISNUMBER(SEARCH("Spotify",C758)),"Pay Bill",IF(ISNUMBER(SEARCH("M-Shwari",C758)),"Mshwari",IF(ISNUMBER(SEARCH("Mshwari",C758)),"Mshwari",IF(ISNUMBER(SEARCH("Withdrawal charge",C758)),"Fees",IF(ISNUMBER(SEARCH("Customer Withdrawal",C758)),"Fees",IF(ISNUMBER(SEARCH("charge",C758)),"Fees","Other")))))))))))))))))))))))))</f>
        <v>Sent to Person</v>
      </c>
      <c r="R758" s="1" t="str">
        <f aca="false">TEXT(B758,"MMM YYYY")</f>
        <v>Apr 2026</v>
      </c>
    </row>
    <row r="759" customFormat="false" ht="13.8" hidden="false" customHeight="false" outlineLevel="0" collapsed="false">
      <c r="A759" s="4" t="s">
        <v>1588</v>
      </c>
      <c r="B759" s="4" t="s">
        <v>1589</v>
      </c>
      <c r="C759" s="4" t="s">
        <v>45</v>
      </c>
      <c r="D759" s="4" t="s">
        <v>18</v>
      </c>
      <c r="E759" s="4"/>
      <c r="F759" s="4" t="n">
        <v>60</v>
      </c>
      <c r="G759" s="4" t="n">
        <v>127.78</v>
      </c>
      <c r="L759" s="1" t="str">
        <f aca="false">IF(ISNUMBER(SEARCH("Bundle",C759)),"Bundles",IF(ISNUMBER(SEARCH("Airtime",C759)),"Bundles",IF(ISNUMBER(SEARCH("Merchant",C759)),"Merchant Payment",IF(ISNUMBER(SEARCH("Offnet C2B",C759)),"Merchant Payment",IF(ISNUMBER(SEARCH("Offnet B2C",C759)),"Merchant Payment",IF(ISNUMBER(SEARCH("Customer Payment to Small",C759)),"Merchant Payment",IF(ISNUMBER(SEARCH("Payment to Small Business",C759)),"Merchant Payment",IF(ISNUMBER(SEARCH("Sent to",C759)),"Sent to Person",IF(ISNUMBER(SEARCH("Customer Transfer to",C759)),"Sent to Person",IF(ISNUMBER(SEARCH("Business Payment",C759)),"Money In",IF(ISNUMBER(SEARCH("Funds Received",C759)),"Money In",IF(ISNUMBER(SEARCH("Receive International",C759)),"Money In",IF(ISNUMBER(SEARCH("Send Money Reversal",C759)),"Money In",IF(ISNUMBER(SEARCH("Pay Utility Reversal",C759)),"Money In",IF(ISNUMBER(SEARCH("Customer Transfer",C759)),"Money In",IF(ISNUMBER(SEARCH("Ziidi",C759)),"Investment",IF(ISNUMBER(SEARCH("Nabo",C759)),"Investment",IF(ISNUMBER(SEARCH("Paybill Online",C759)),"Pay Bill",IF(ISNUMBER(SEARCH("Pay Bill",C759)),"Pay Bill",IF(ISNUMBER(SEARCH("Spotify",C759)),"Pay Bill",IF(ISNUMBER(SEARCH("M-Shwari",C759)),"Mshwari",IF(ISNUMBER(SEARCH("Mshwari",C759)),"Mshwari",IF(ISNUMBER(SEARCH("Withdrawal charge",C759)),"Fees",IF(ISNUMBER(SEARCH("Customer Withdrawal",C759)),"Fees",IF(ISNUMBER(SEARCH("charge",C759)),"Fees","Other")))))))))))))))))))))))))</f>
        <v>Merchant Payment</v>
      </c>
      <c r="R759" s="1" t="str">
        <f aca="false">TEXT(B759,"MMM YYYY")</f>
        <v>Apr 2026</v>
      </c>
    </row>
    <row r="760" customFormat="false" ht="13.8" hidden="false" customHeight="false" outlineLevel="0" collapsed="false">
      <c r="A760" s="4" t="s">
        <v>1590</v>
      </c>
      <c r="B760" s="4" t="s">
        <v>1591</v>
      </c>
      <c r="C760" s="4" t="s">
        <v>192</v>
      </c>
      <c r="D760" s="4" t="s">
        <v>18</v>
      </c>
      <c r="E760" s="4" t="n">
        <v>300</v>
      </c>
      <c r="F760" s="4"/>
      <c r="G760" s="4" t="n">
        <v>427.78</v>
      </c>
      <c r="L760" s="1" t="str">
        <f aca="false">IF(ISNUMBER(SEARCH("Bundle",C760)),"Bundles",IF(ISNUMBER(SEARCH("Airtime",C760)),"Bundles",IF(ISNUMBER(SEARCH("Merchant",C760)),"Merchant Payment",IF(ISNUMBER(SEARCH("Offnet C2B",C760)),"Merchant Payment",IF(ISNUMBER(SEARCH("Offnet B2C",C760)),"Merchant Payment",IF(ISNUMBER(SEARCH("Customer Payment to Small",C760)),"Merchant Payment",IF(ISNUMBER(SEARCH("Payment to Small Business",C760)),"Merchant Payment",IF(ISNUMBER(SEARCH("Sent to",C760)),"Sent to Person",IF(ISNUMBER(SEARCH("Customer Transfer to",C760)),"Sent to Person",IF(ISNUMBER(SEARCH("Business Payment",C760)),"Money In",IF(ISNUMBER(SEARCH("Funds Received",C760)),"Money In",IF(ISNUMBER(SEARCH("Receive International",C760)),"Money In",IF(ISNUMBER(SEARCH("Send Money Reversal",C760)),"Money In",IF(ISNUMBER(SEARCH("Pay Utility Reversal",C760)),"Money In",IF(ISNUMBER(SEARCH("Customer Transfer",C760)),"Money In",IF(ISNUMBER(SEARCH("Ziidi",C760)),"Investment",IF(ISNUMBER(SEARCH("Nabo",C760)),"Investment",IF(ISNUMBER(SEARCH("Paybill Online",C760)),"Pay Bill",IF(ISNUMBER(SEARCH("Pay Bill",C760)),"Pay Bill",IF(ISNUMBER(SEARCH("Spotify",C760)),"Pay Bill",IF(ISNUMBER(SEARCH("M-Shwari",C760)),"Mshwari",IF(ISNUMBER(SEARCH("Mshwari",C760)),"Mshwari",IF(ISNUMBER(SEARCH("Withdrawal charge",C760)),"Fees",IF(ISNUMBER(SEARCH("Customer Withdrawal",C760)),"Fees",IF(ISNUMBER(SEARCH("charge",C760)),"Fees","Other")))))))))))))))))))))))))</f>
        <v>Mshwari</v>
      </c>
      <c r="R760" s="1" t="str">
        <f aca="false">TEXT(B760,"MMM YYYY")</f>
        <v>Apr 2026</v>
      </c>
    </row>
    <row r="761" customFormat="false" ht="13.8" hidden="false" customHeight="false" outlineLevel="0" collapsed="false">
      <c r="A761" s="4" t="s">
        <v>1592</v>
      </c>
      <c r="B761" s="4" t="s">
        <v>1593</v>
      </c>
      <c r="C761" s="4" t="s">
        <v>316</v>
      </c>
      <c r="D761" s="4" t="s">
        <v>18</v>
      </c>
      <c r="E761" s="4"/>
      <c r="F761" s="4" t="n">
        <v>270</v>
      </c>
      <c r="G761" s="4" t="n">
        <v>157.78</v>
      </c>
      <c r="L761" s="1" t="str">
        <f aca="false">IF(ISNUMBER(SEARCH("Bundle",C761)),"Bundles",IF(ISNUMBER(SEARCH("Airtime",C761)),"Bundles",IF(ISNUMBER(SEARCH("Merchant",C761)),"Merchant Payment",IF(ISNUMBER(SEARCH("Offnet C2B",C761)),"Merchant Payment",IF(ISNUMBER(SEARCH("Offnet B2C",C761)),"Merchant Payment",IF(ISNUMBER(SEARCH("Customer Payment to Small",C761)),"Merchant Payment",IF(ISNUMBER(SEARCH("Payment to Small Business",C761)),"Merchant Payment",IF(ISNUMBER(SEARCH("Sent to",C761)),"Sent to Person",IF(ISNUMBER(SEARCH("Customer Transfer to",C761)),"Sent to Person",IF(ISNUMBER(SEARCH("Business Payment",C761)),"Money In",IF(ISNUMBER(SEARCH("Funds Received",C761)),"Money In",IF(ISNUMBER(SEARCH("Receive International",C761)),"Money In",IF(ISNUMBER(SEARCH("Send Money Reversal",C761)),"Money In",IF(ISNUMBER(SEARCH("Pay Utility Reversal",C761)),"Money In",IF(ISNUMBER(SEARCH("Customer Transfer",C761)),"Money In",IF(ISNUMBER(SEARCH("Ziidi",C761)),"Investment",IF(ISNUMBER(SEARCH("Nabo",C761)),"Investment",IF(ISNUMBER(SEARCH("Paybill Online",C761)),"Pay Bill",IF(ISNUMBER(SEARCH("Pay Bill",C761)),"Pay Bill",IF(ISNUMBER(SEARCH("Spotify",C761)),"Pay Bill",IF(ISNUMBER(SEARCH("M-Shwari",C761)),"Mshwari",IF(ISNUMBER(SEARCH("Mshwari",C761)),"Mshwari",IF(ISNUMBER(SEARCH("Withdrawal charge",C761)),"Fees",IF(ISNUMBER(SEARCH("Customer Withdrawal",C761)),"Fees",IF(ISNUMBER(SEARCH("charge",C761)),"Fees","Other")))))))))))))))))))))))))</f>
        <v>Merchant Payment</v>
      </c>
      <c r="R761" s="1" t="str">
        <f aca="false">TEXT(B761,"MMM YYYY")</f>
        <v>Apr 2026</v>
      </c>
    </row>
    <row r="762" customFormat="false" ht="13.8" hidden="false" customHeight="false" outlineLevel="0" collapsed="false">
      <c r="A762" s="4" t="s">
        <v>1594</v>
      </c>
      <c r="B762" s="4" t="s">
        <v>1595</v>
      </c>
      <c r="C762" s="4" t="s">
        <v>29</v>
      </c>
      <c r="D762" s="4" t="s">
        <v>18</v>
      </c>
      <c r="E762" s="4"/>
      <c r="F762" s="4" t="n">
        <v>20</v>
      </c>
      <c r="G762" s="4" t="n">
        <v>137.78</v>
      </c>
      <c r="L762" s="1" t="str">
        <f aca="false">IF(ISNUMBER(SEARCH("Bundle",C762)),"Bundles",IF(ISNUMBER(SEARCH("Airtime",C762)),"Bundles",IF(ISNUMBER(SEARCH("Merchant",C762)),"Merchant Payment",IF(ISNUMBER(SEARCH("Offnet C2B",C762)),"Merchant Payment",IF(ISNUMBER(SEARCH("Offnet B2C",C762)),"Merchant Payment",IF(ISNUMBER(SEARCH("Customer Payment to Small",C762)),"Merchant Payment",IF(ISNUMBER(SEARCH("Payment to Small Business",C762)),"Merchant Payment",IF(ISNUMBER(SEARCH("Sent to",C762)),"Sent to Person",IF(ISNUMBER(SEARCH("Customer Transfer to",C762)),"Sent to Person",IF(ISNUMBER(SEARCH("Business Payment",C762)),"Money In",IF(ISNUMBER(SEARCH("Funds Received",C762)),"Money In",IF(ISNUMBER(SEARCH("Receive International",C762)),"Money In",IF(ISNUMBER(SEARCH("Send Money Reversal",C762)),"Money In",IF(ISNUMBER(SEARCH("Pay Utility Reversal",C762)),"Money In",IF(ISNUMBER(SEARCH("Customer Transfer",C762)),"Money In",IF(ISNUMBER(SEARCH("Ziidi",C762)),"Investment",IF(ISNUMBER(SEARCH("Nabo",C762)),"Investment",IF(ISNUMBER(SEARCH("Paybill Online",C762)),"Pay Bill",IF(ISNUMBER(SEARCH("Pay Bill",C762)),"Pay Bill",IF(ISNUMBER(SEARCH("Spotify",C762)),"Pay Bill",IF(ISNUMBER(SEARCH("M-Shwari",C762)),"Mshwari",IF(ISNUMBER(SEARCH("Mshwari",C762)),"Mshwari",IF(ISNUMBER(SEARCH("Withdrawal charge",C762)),"Fees",IF(ISNUMBER(SEARCH("Customer Withdrawal",C762)),"Fees",IF(ISNUMBER(SEARCH("charge",C762)),"Fees","Other")))))))))))))))))))))))))</f>
        <v>Bundles</v>
      </c>
      <c r="R762" s="1" t="str">
        <f aca="false">TEXT(B762,"MMM YYYY")</f>
        <v>Apr 2026</v>
      </c>
    </row>
    <row r="763" customFormat="false" ht="13.8" hidden="false" customHeight="false" outlineLevel="0" collapsed="false">
      <c r="A763" s="4" t="s">
        <v>1596</v>
      </c>
      <c r="B763" s="4" t="s">
        <v>1597</v>
      </c>
      <c r="C763" s="4" t="s">
        <v>1598</v>
      </c>
      <c r="D763" s="4" t="s">
        <v>18</v>
      </c>
      <c r="E763" s="4"/>
      <c r="F763" s="4" t="n">
        <v>50</v>
      </c>
      <c r="G763" s="4" t="n">
        <v>87.78</v>
      </c>
      <c r="L763" s="1" t="str">
        <f aca="false">IF(ISNUMBER(SEARCH("Bundle",C763)),"Bundles",IF(ISNUMBER(SEARCH("Airtime",C763)),"Bundles",IF(ISNUMBER(SEARCH("Merchant",C763)),"Merchant Payment",IF(ISNUMBER(SEARCH("Offnet C2B",C763)),"Merchant Payment",IF(ISNUMBER(SEARCH("Offnet B2C",C763)),"Merchant Payment",IF(ISNUMBER(SEARCH("Customer Payment to Small",C763)),"Merchant Payment",IF(ISNUMBER(SEARCH("Payment to Small Business",C763)),"Merchant Payment",IF(ISNUMBER(SEARCH("Sent to",C763)),"Sent to Person",IF(ISNUMBER(SEARCH("Customer Transfer to",C763)),"Sent to Person",IF(ISNUMBER(SEARCH("Business Payment",C763)),"Money In",IF(ISNUMBER(SEARCH("Funds Received",C763)),"Money In",IF(ISNUMBER(SEARCH("Receive International",C763)),"Money In",IF(ISNUMBER(SEARCH("Send Money Reversal",C763)),"Money In",IF(ISNUMBER(SEARCH("Pay Utility Reversal",C763)),"Money In",IF(ISNUMBER(SEARCH("Customer Transfer",C763)),"Money In",IF(ISNUMBER(SEARCH("Ziidi",C763)),"Investment",IF(ISNUMBER(SEARCH("Nabo",C763)),"Investment",IF(ISNUMBER(SEARCH("Paybill Online",C763)),"Pay Bill",IF(ISNUMBER(SEARCH("Pay Bill",C763)),"Pay Bill",IF(ISNUMBER(SEARCH("Spotify",C763)),"Pay Bill",IF(ISNUMBER(SEARCH("M-Shwari",C763)),"Mshwari",IF(ISNUMBER(SEARCH("Mshwari",C763)),"Mshwari",IF(ISNUMBER(SEARCH("Withdrawal charge",C763)),"Fees",IF(ISNUMBER(SEARCH("Customer Withdrawal",C763)),"Fees",IF(ISNUMBER(SEARCH("charge",C763)),"Fees","Other")))))))))))))))))))))))))</f>
        <v>Merchant Payment</v>
      </c>
      <c r="R763" s="1" t="str">
        <f aca="false">TEXT(B763,"MMM YYYY")</f>
        <v>Apr 2026</v>
      </c>
    </row>
    <row r="764" customFormat="false" ht="13.8" hidden="false" customHeight="false" outlineLevel="0" collapsed="false">
      <c r="A764" s="4" t="s">
        <v>1599</v>
      </c>
      <c r="B764" s="4" t="s">
        <v>1600</v>
      </c>
      <c r="C764" s="4" t="s">
        <v>1073</v>
      </c>
      <c r="D764" s="4" t="s">
        <v>18</v>
      </c>
      <c r="E764" s="4"/>
      <c r="F764" s="4" t="n">
        <v>60</v>
      </c>
      <c r="G764" s="4" t="n">
        <v>27.78</v>
      </c>
      <c r="L764" s="1" t="str">
        <f aca="false">IF(ISNUMBER(SEARCH("Bundle",C764)),"Bundles",IF(ISNUMBER(SEARCH("Airtime",C764)),"Bundles",IF(ISNUMBER(SEARCH("Merchant",C764)),"Merchant Payment",IF(ISNUMBER(SEARCH("Offnet C2B",C764)),"Merchant Payment",IF(ISNUMBER(SEARCH("Offnet B2C",C764)),"Merchant Payment",IF(ISNUMBER(SEARCH("Customer Payment to Small",C764)),"Merchant Payment",IF(ISNUMBER(SEARCH("Payment to Small Business",C764)),"Merchant Payment",IF(ISNUMBER(SEARCH("Sent to",C764)),"Sent to Person",IF(ISNUMBER(SEARCH("Customer Transfer to",C764)),"Sent to Person",IF(ISNUMBER(SEARCH("Business Payment",C764)),"Money In",IF(ISNUMBER(SEARCH("Funds Received",C764)),"Money In",IF(ISNUMBER(SEARCH("Receive International",C764)),"Money In",IF(ISNUMBER(SEARCH("Send Money Reversal",C764)),"Money In",IF(ISNUMBER(SEARCH("Pay Utility Reversal",C764)),"Money In",IF(ISNUMBER(SEARCH("Customer Transfer",C764)),"Money In",IF(ISNUMBER(SEARCH("Ziidi",C764)),"Investment",IF(ISNUMBER(SEARCH("Nabo",C764)),"Investment",IF(ISNUMBER(SEARCH("Paybill Online",C764)),"Pay Bill",IF(ISNUMBER(SEARCH("Pay Bill",C764)),"Pay Bill",IF(ISNUMBER(SEARCH("Spotify",C764)),"Pay Bill",IF(ISNUMBER(SEARCH("M-Shwari",C764)),"Mshwari",IF(ISNUMBER(SEARCH("Mshwari",C764)),"Mshwari",IF(ISNUMBER(SEARCH("Withdrawal charge",C764)),"Fees",IF(ISNUMBER(SEARCH("Customer Withdrawal",C764)),"Fees",IF(ISNUMBER(SEARCH("charge",C764)),"Fees","Other")))))))))))))))))))))))))</f>
        <v>Merchant Payment</v>
      </c>
      <c r="R764" s="1" t="str">
        <f aca="false">TEXT(B764,"MMM YYYY")</f>
        <v>Apr 2026</v>
      </c>
    </row>
    <row r="765" customFormat="false" ht="13.8" hidden="false" customHeight="false" outlineLevel="0" collapsed="false">
      <c r="A765" s="4" t="s">
        <v>1601</v>
      </c>
      <c r="B765" s="4" t="s">
        <v>1602</v>
      </c>
      <c r="C765" s="4" t="s">
        <v>192</v>
      </c>
      <c r="D765" s="4" t="s">
        <v>18</v>
      </c>
      <c r="E765" s="4" t="n">
        <v>100</v>
      </c>
      <c r="F765" s="4"/>
      <c r="G765" s="4" t="n">
        <v>127.78</v>
      </c>
      <c r="L765" s="1" t="str">
        <f aca="false">IF(ISNUMBER(SEARCH("Bundle",C765)),"Bundles",IF(ISNUMBER(SEARCH("Airtime",C765)),"Bundles",IF(ISNUMBER(SEARCH("Merchant",C765)),"Merchant Payment",IF(ISNUMBER(SEARCH("Offnet C2B",C765)),"Merchant Payment",IF(ISNUMBER(SEARCH("Offnet B2C",C765)),"Merchant Payment",IF(ISNUMBER(SEARCH("Customer Payment to Small",C765)),"Merchant Payment",IF(ISNUMBER(SEARCH("Payment to Small Business",C765)),"Merchant Payment",IF(ISNUMBER(SEARCH("Sent to",C765)),"Sent to Person",IF(ISNUMBER(SEARCH("Customer Transfer to",C765)),"Sent to Person",IF(ISNUMBER(SEARCH("Business Payment",C765)),"Money In",IF(ISNUMBER(SEARCH("Funds Received",C765)),"Money In",IF(ISNUMBER(SEARCH("Receive International",C765)),"Money In",IF(ISNUMBER(SEARCH("Send Money Reversal",C765)),"Money In",IF(ISNUMBER(SEARCH("Pay Utility Reversal",C765)),"Money In",IF(ISNUMBER(SEARCH("Customer Transfer",C765)),"Money In",IF(ISNUMBER(SEARCH("Ziidi",C765)),"Investment",IF(ISNUMBER(SEARCH("Nabo",C765)),"Investment",IF(ISNUMBER(SEARCH("Paybill Online",C765)),"Pay Bill",IF(ISNUMBER(SEARCH("Pay Bill",C765)),"Pay Bill",IF(ISNUMBER(SEARCH("Spotify",C765)),"Pay Bill",IF(ISNUMBER(SEARCH("M-Shwari",C765)),"Mshwari",IF(ISNUMBER(SEARCH("Mshwari",C765)),"Mshwari",IF(ISNUMBER(SEARCH("Withdrawal charge",C765)),"Fees",IF(ISNUMBER(SEARCH("Customer Withdrawal",C765)),"Fees",IF(ISNUMBER(SEARCH("charge",C765)),"Fees","Other")))))))))))))))))))))))))</f>
        <v>Mshwari</v>
      </c>
      <c r="R765" s="1" t="str">
        <f aca="false">TEXT(B765,"MMM YYYY")</f>
        <v>Apr 2026</v>
      </c>
    </row>
    <row r="766" customFormat="false" ht="13.8" hidden="false" customHeight="false" outlineLevel="0" collapsed="false">
      <c r="A766" s="4" t="s">
        <v>1603</v>
      </c>
      <c r="B766" s="4" t="s">
        <v>1604</v>
      </c>
      <c r="C766" s="4" t="s">
        <v>45</v>
      </c>
      <c r="D766" s="4" t="s">
        <v>18</v>
      </c>
      <c r="E766" s="4"/>
      <c r="F766" s="4" t="n">
        <v>60</v>
      </c>
      <c r="G766" s="4" t="n">
        <v>67.78</v>
      </c>
      <c r="L766" s="1" t="str">
        <f aca="false">IF(ISNUMBER(SEARCH("Bundle",C766)),"Bundles",IF(ISNUMBER(SEARCH("Airtime",C766)),"Bundles",IF(ISNUMBER(SEARCH("Merchant",C766)),"Merchant Payment",IF(ISNUMBER(SEARCH("Offnet C2B",C766)),"Merchant Payment",IF(ISNUMBER(SEARCH("Offnet B2C",C766)),"Merchant Payment",IF(ISNUMBER(SEARCH("Customer Payment to Small",C766)),"Merchant Payment",IF(ISNUMBER(SEARCH("Payment to Small Business",C766)),"Merchant Payment",IF(ISNUMBER(SEARCH("Sent to",C766)),"Sent to Person",IF(ISNUMBER(SEARCH("Customer Transfer to",C766)),"Sent to Person",IF(ISNUMBER(SEARCH("Business Payment",C766)),"Money In",IF(ISNUMBER(SEARCH("Funds Received",C766)),"Money In",IF(ISNUMBER(SEARCH("Receive International",C766)),"Money In",IF(ISNUMBER(SEARCH("Send Money Reversal",C766)),"Money In",IF(ISNUMBER(SEARCH("Pay Utility Reversal",C766)),"Money In",IF(ISNUMBER(SEARCH("Customer Transfer",C766)),"Money In",IF(ISNUMBER(SEARCH("Ziidi",C766)),"Investment",IF(ISNUMBER(SEARCH("Nabo",C766)),"Investment",IF(ISNUMBER(SEARCH("Paybill Online",C766)),"Pay Bill",IF(ISNUMBER(SEARCH("Pay Bill",C766)),"Pay Bill",IF(ISNUMBER(SEARCH("Spotify",C766)),"Pay Bill",IF(ISNUMBER(SEARCH("M-Shwari",C766)),"Mshwari",IF(ISNUMBER(SEARCH("Mshwari",C766)),"Mshwari",IF(ISNUMBER(SEARCH("Withdrawal charge",C766)),"Fees",IF(ISNUMBER(SEARCH("Customer Withdrawal",C766)),"Fees",IF(ISNUMBER(SEARCH("charge",C766)),"Fees","Other")))))))))))))))))))))))))</f>
        <v>Merchant Payment</v>
      </c>
      <c r="R766" s="1" t="str">
        <f aca="false">TEXT(B766,"MMM YYYY")</f>
        <v>Apr 2026</v>
      </c>
    </row>
    <row r="767" customFormat="false" ht="13.8" hidden="false" customHeight="false" outlineLevel="0" collapsed="false">
      <c r="A767" s="4" t="s">
        <v>1605</v>
      </c>
      <c r="B767" s="4" t="s">
        <v>1606</v>
      </c>
      <c r="C767" s="4" t="s">
        <v>29</v>
      </c>
      <c r="D767" s="4" t="s">
        <v>18</v>
      </c>
      <c r="E767" s="4"/>
      <c r="F767" s="4" t="n">
        <v>20</v>
      </c>
      <c r="G767" s="4" t="n">
        <v>47.78</v>
      </c>
      <c r="L767" s="1" t="str">
        <f aca="false">IF(ISNUMBER(SEARCH("Bundle",C767)),"Bundles",IF(ISNUMBER(SEARCH("Airtime",C767)),"Bundles",IF(ISNUMBER(SEARCH("Merchant",C767)),"Merchant Payment",IF(ISNUMBER(SEARCH("Offnet C2B",C767)),"Merchant Payment",IF(ISNUMBER(SEARCH("Offnet B2C",C767)),"Merchant Payment",IF(ISNUMBER(SEARCH("Customer Payment to Small",C767)),"Merchant Payment",IF(ISNUMBER(SEARCH("Payment to Small Business",C767)),"Merchant Payment",IF(ISNUMBER(SEARCH("Sent to",C767)),"Sent to Person",IF(ISNUMBER(SEARCH("Customer Transfer to",C767)),"Sent to Person",IF(ISNUMBER(SEARCH("Business Payment",C767)),"Money In",IF(ISNUMBER(SEARCH("Funds Received",C767)),"Money In",IF(ISNUMBER(SEARCH("Receive International",C767)),"Money In",IF(ISNUMBER(SEARCH("Send Money Reversal",C767)),"Money In",IF(ISNUMBER(SEARCH("Pay Utility Reversal",C767)),"Money In",IF(ISNUMBER(SEARCH("Customer Transfer",C767)),"Money In",IF(ISNUMBER(SEARCH("Ziidi",C767)),"Investment",IF(ISNUMBER(SEARCH("Nabo",C767)),"Investment",IF(ISNUMBER(SEARCH("Paybill Online",C767)),"Pay Bill",IF(ISNUMBER(SEARCH("Pay Bill",C767)),"Pay Bill",IF(ISNUMBER(SEARCH("Spotify",C767)),"Pay Bill",IF(ISNUMBER(SEARCH("M-Shwari",C767)),"Mshwari",IF(ISNUMBER(SEARCH("Mshwari",C767)),"Mshwari",IF(ISNUMBER(SEARCH("Withdrawal charge",C767)),"Fees",IF(ISNUMBER(SEARCH("Customer Withdrawal",C767)),"Fees",IF(ISNUMBER(SEARCH("charge",C767)),"Fees","Other")))))))))))))))))))))))))</f>
        <v>Bundles</v>
      </c>
      <c r="R767" s="1" t="str">
        <f aca="false">TEXT(B767,"MMM YYYY")</f>
        <v>Apr 2026</v>
      </c>
    </row>
    <row r="768" customFormat="false" ht="13.8" hidden="false" customHeight="false" outlineLevel="0" collapsed="false">
      <c r="A768" s="4" t="s">
        <v>1607</v>
      </c>
      <c r="B768" s="4" t="s">
        <v>1608</v>
      </c>
      <c r="C768" s="4" t="s">
        <v>29</v>
      </c>
      <c r="D768" s="4" t="s">
        <v>18</v>
      </c>
      <c r="E768" s="4"/>
      <c r="F768" s="4" t="n">
        <v>20</v>
      </c>
      <c r="G768" s="4" t="n">
        <v>27.78</v>
      </c>
      <c r="L768" s="1" t="str">
        <f aca="false">IF(ISNUMBER(SEARCH("Bundle",C768)),"Bundles",IF(ISNUMBER(SEARCH("Airtime",C768)),"Bundles",IF(ISNUMBER(SEARCH("Merchant",C768)),"Merchant Payment",IF(ISNUMBER(SEARCH("Offnet C2B",C768)),"Merchant Payment",IF(ISNUMBER(SEARCH("Offnet B2C",C768)),"Merchant Payment",IF(ISNUMBER(SEARCH("Customer Payment to Small",C768)),"Merchant Payment",IF(ISNUMBER(SEARCH("Payment to Small Business",C768)),"Merchant Payment",IF(ISNUMBER(SEARCH("Sent to",C768)),"Sent to Person",IF(ISNUMBER(SEARCH("Customer Transfer to",C768)),"Sent to Person",IF(ISNUMBER(SEARCH("Business Payment",C768)),"Money In",IF(ISNUMBER(SEARCH("Funds Received",C768)),"Money In",IF(ISNUMBER(SEARCH("Receive International",C768)),"Money In",IF(ISNUMBER(SEARCH("Send Money Reversal",C768)),"Money In",IF(ISNUMBER(SEARCH("Pay Utility Reversal",C768)),"Money In",IF(ISNUMBER(SEARCH("Customer Transfer",C768)),"Money In",IF(ISNUMBER(SEARCH("Ziidi",C768)),"Investment",IF(ISNUMBER(SEARCH("Nabo",C768)),"Investment",IF(ISNUMBER(SEARCH("Paybill Online",C768)),"Pay Bill",IF(ISNUMBER(SEARCH("Pay Bill",C768)),"Pay Bill",IF(ISNUMBER(SEARCH("Spotify",C768)),"Pay Bill",IF(ISNUMBER(SEARCH("M-Shwari",C768)),"Mshwari",IF(ISNUMBER(SEARCH("Mshwari",C768)),"Mshwari",IF(ISNUMBER(SEARCH("Withdrawal charge",C768)),"Fees",IF(ISNUMBER(SEARCH("Customer Withdrawal",C768)),"Fees",IF(ISNUMBER(SEARCH("charge",C768)),"Fees","Other")))))))))))))))))))))))))</f>
        <v>Bundles</v>
      </c>
      <c r="R768" s="1" t="str">
        <f aca="false">TEXT(B768,"MMM YYYY")</f>
        <v>Apr 2026</v>
      </c>
    </row>
    <row r="769" customFormat="false" ht="13.8" hidden="false" customHeight="false" outlineLevel="0" collapsed="false">
      <c r="A769" s="4" t="s">
        <v>1609</v>
      </c>
      <c r="B769" s="4" t="s">
        <v>1610</v>
      </c>
      <c r="C769" s="4" t="s">
        <v>192</v>
      </c>
      <c r="D769" s="4" t="s">
        <v>18</v>
      </c>
      <c r="E769" s="4" t="n">
        <v>500</v>
      </c>
      <c r="F769" s="4"/>
      <c r="G769" s="4" t="n">
        <v>527.78</v>
      </c>
      <c r="L769" s="1" t="str">
        <f aca="false">IF(ISNUMBER(SEARCH("Bundle",C769)),"Bundles",IF(ISNUMBER(SEARCH("Airtime",C769)),"Bundles",IF(ISNUMBER(SEARCH("Merchant",C769)),"Merchant Payment",IF(ISNUMBER(SEARCH("Offnet C2B",C769)),"Merchant Payment",IF(ISNUMBER(SEARCH("Offnet B2C",C769)),"Merchant Payment",IF(ISNUMBER(SEARCH("Customer Payment to Small",C769)),"Merchant Payment",IF(ISNUMBER(SEARCH("Payment to Small Business",C769)),"Merchant Payment",IF(ISNUMBER(SEARCH("Sent to",C769)),"Sent to Person",IF(ISNUMBER(SEARCH("Customer Transfer to",C769)),"Sent to Person",IF(ISNUMBER(SEARCH("Business Payment",C769)),"Money In",IF(ISNUMBER(SEARCH("Funds Received",C769)),"Money In",IF(ISNUMBER(SEARCH("Receive International",C769)),"Money In",IF(ISNUMBER(SEARCH("Send Money Reversal",C769)),"Money In",IF(ISNUMBER(SEARCH("Pay Utility Reversal",C769)),"Money In",IF(ISNUMBER(SEARCH("Customer Transfer",C769)),"Money In",IF(ISNUMBER(SEARCH("Ziidi",C769)),"Investment",IF(ISNUMBER(SEARCH("Nabo",C769)),"Investment",IF(ISNUMBER(SEARCH("Paybill Online",C769)),"Pay Bill",IF(ISNUMBER(SEARCH("Pay Bill",C769)),"Pay Bill",IF(ISNUMBER(SEARCH("Spotify",C769)),"Pay Bill",IF(ISNUMBER(SEARCH("M-Shwari",C769)),"Mshwari",IF(ISNUMBER(SEARCH("Mshwari",C769)),"Mshwari",IF(ISNUMBER(SEARCH("Withdrawal charge",C769)),"Fees",IF(ISNUMBER(SEARCH("Customer Withdrawal",C769)),"Fees",IF(ISNUMBER(SEARCH("charge",C769)),"Fees","Other")))))))))))))))))))))))))</f>
        <v>Mshwari</v>
      </c>
      <c r="R769" s="1" t="str">
        <f aca="false">TEXT(B769,"MMM YYYY")</f>
        <v>Apr 2026</v>
      </c>
    </row>
    <row r="770" customFormat="false" ht="13.8" hidden="false" customHeight="false" outlineLevel="0" collapsed="false">
      <c r="A770" s="4" t="s">
        <v>1611</v>
      </c>
      <c r="B770" s="4" t="s">
        <v>1612</v>
      </c>
      <c r="C770" s="4" t="s">
        <v>1613</v>
      </c>
      <c r="D770" s="4" t="s">
        <v>18</v>
      </c>
      <c r="E770" s="4"/>
      <c r="F770" s="4" t="n">
        <v>70</v>
      </c>
      <c r="G770" s="4" t="n">
        <v>457.78</v>
      </c>
      <c r="L770" s="1" t="str">
        <f aca="false">IF(ISNUMBER(SEARCH("Bundle",C770)),"Bundles",IF(ISNUMBER(SEARCH("Airtime",C770)),"Bundles",IF(ISNUMBER(SEARCH("Merchant",C770)),"Merchant Payment",IF(ISNUMBER(SEARCH("Offnet C2B",C770)),"Merchant Payment",IF(ISNUMBER(SEARCH("Offnet B2C",C770)),"Merchant Payment",IF(ISNUMBER(SEARCH("Customer Payment to Small",C770)),"Merchant Payment",IF(ISNUMBER(SEARCH("Payment to Small Business",C770)),"Merchant Payment",IF(ISNUMBER(SEARCH("Sent to",C770)),"Sent to Person",IF(ISNUMBER(SEARCH("Customer Transfer to",C770)),"Sent to Person",IF(ISNUMBER(SEARCH("Business Payment",C770)),"Money In",IF(ISNUMBER(SEARCH("Funds Received",C770)),"Money In",IF(ISNUMBER(SEARCH("Receive International",C770)),"Money In",IF(ISNUMBER(SEARCH("Send Money Reversal",C770)),"Money In",IF(ISNUMBER(SEARCH("Pay Utility Reversal",C770)),"Money In",IF(ISNUMBER(SEARCH("Customer Transfer",C770)),"Money In",IF(ISNUMBER(SEARCH("Ziidi",C770)),"Investment",IF(ISNUMBER(SEARCH("Nabo",C770)),"Investment",IF(ISNUMBER(SEARCH("Paybill Online",C770)),"Pay Bill",IF(ISNUMBER(SEARCH("Pay Bill",C770)),"Pay Bill",IF(ISNUMBER(SEARCH("Spotify",C770)),"Pay Bill",IF(ISNUMBER(SEARCH("M-Shwari",C770)),"Mshwari",IF(ISNUMBER(SEARCH("Mshwari",C770)),"Mshwari",IF(ISNUMBER(SEARCH("Withdrawal charge",C770)),"Fees",IF(ISNUMBER(SEARCH("Customer Withdrawal",C770)),"Fees",IF(ISNUMBER(SEARCH("charge",C770)),"Fees","Other")))))))))))))))))))))))))</f>
        <v>Sent to Person</v>
      </c>
      <c r="R770" s="1" t="str">
        <f aca="false">TEXT(B770,"MMM YYYY")</f>
        <v>Apr 2026</v>
      </c>
    </row>
    <row r="771" customFormat="false" ht="13.8" hidden="false" customHeight="false" outlineLevel="0" collapsed="false">
      <c r="A771" s="4" t="s">
        <v>1614</v>
      </c>
      <c r="B771" s="4" t="s">
        <v>1615</v>
      </c>
      <c r="C771" s="4" t="s">
        <v>857</v>
      </c>
      <c r="D771" s="4" t="s">
        <v>18</v>
      </c>
      <c r="E771" s="4"/>
      <c r="F771" s="4" t="n">
        <v>50</v>
      </c>
      <c r="G771" s="4" t="n">
        <v>407.78</v>
      </c>
      <c r="L771" s="1" t="str">
        <f aca="false">IF(ISNUMBER(SEARCH("Bundle",C771)),"Bundles",IF(ISNUMBER(SEARCH("Airtime",C771)),"Bundles",IF(ISNUMBER(SEARCH("Merchant",C771)),"Merchant Payment",IF(ISNUMBER(SEARCH("Offnet C2B",C771)),"Merchant Payment",IF(ISNUMBER(SEARCH("Offnet B2C",C771)),"Merchant Payment",IF(ISNUMBER(SEARCH("Customer Payment to Small",C771)),"Merchant Payment",IF(ISNUMBER(SEARCH("Payment to Small Business",C771)),"Merchant Payment",IF(ISNUMBER(SEARCH("Sent to",C771)),"Sent to Person",IF(ISNUMBER(SEARCH("Customer Transfer to",C771)),"Sent to Person",IF(ISNUMBER(SEARCH("Business Payment",C771)),"Money In",IF(ISNUMBER(SEARCH("Funds Received",C771)),"Money In",IF(ISNUMBER(SEARCH("Receive International",C771)),"Money In",IF(ISNUMBER(SEARCH("Send Money Reversal",C771)),"Money In",IF(ISNUMBER(SEARCH("Pay Utility Reversal",C771)),"Money In",IF(ISNUMBER(SEARCH("Customer Transfer",C771)),"Money In",IF(ISNUMBER(SEARCH("Ziidi",C771)),"Investment",IF(ISNUMBER(SEARCH("Nabo",C771)),"Investment",IF(ISNUMBER(SEARCH("Paybill Online",C771)),"Pay Bill",IF(ISNUMBER(SEARCH("Pay Bill",C771)),"Pay Bill",IF(ISNUMBER(SEARCH("Spotify",C771)),"Pay Bill",IF(ISNUMBER(SEARCH("M-Shwari",C771)),"Mshwari",IF(ISNUMBER(SEARCH("Mshwari",C771)),"Mshwari",IF(ISNUMBER(SEARCH("Withdrawal charge",C771)),"Fees",IF(ISNUMBER(SEARCH("Customer Withdrawal",C771)),"Fees",IF(ISNUMBER(SEARCH("charge",C771)),"Fees","Other")))))))))))))))))))))))))</f>
        <v>Merchant Payment</v>
      </c>
      <c r="R771" s="1" t="str">
        <f aca="false">TEXT(B771,"MMM YYYY")</f>
        <v>Apr 2026</v>
      </c>
    </row>
    <row r="772" customFormat="false" ht="13.8" hidden="false" customHeight="false" outlineLevel="0" collapsed="false">
      <c r="A772" s="4" t="s">
        <v>1616</v>
      </c>
      <c r="B772" s="4" t="s">
        <v>1617</v>
      </c>
      <c r="C772" s="4" t="s">
        <v>1086</v>
      </c>
      <c r="D772" s="4" t="s">
        <v>18</v>
      </c>
      <c r="E772" s="4"/>
      <c r="F772" s="4" t="n">
        <v>100</v>
      </c>
      <c r="G772" s="4" t="n">
        <v>307.78</v>
      </c>
      <c r="L772" s="1" t="str">
        <f aca="false">IF(ISNUMBER(SEARCH("Bundle",C772)),"Bundles",IF(ISNUMBER(SEARCH("Airtime",C772)),"Bundles",IF(ISNUMBER(SEARCH("Merchant",C772)),"Merchant Payment",IF(ISNUMBER(SEARCH("Offnet C2B",C772)),"Merchant Payment",IF(ISNUMBER(SEARCH("Offnet B2C",C772)),"Merchant Payment",IF(ISNUMBER(SEARCH("Customer Payment to Small",C772)),"Merchant Payment",IF(ISNUMBER(SEARCH("Payment to Small Business",C772)),"Merchant Payment",IF(ISNUMBER(SEARCH("Sent to",C772)),"Sent to Person",IF(ISNUMBER(SEARCH("Customer Transfer to",C772)),"Sent to Person",IF(ISNUMBER(SEARCH("Business Payment",C772)),"Money In",IF(ISNUMBER(SEARCH("Funds Received",C772)),"Money In",IF(ISNUMBER(SEARCH("Receive International",C772)),"Money In",IF(ISNUMBER(SEARCH("Send Money Reversal",C772)),"Money In",IF(ISNUMBER(SEARCH("Pay Utility Reversal",C772)),"Money In",IF(ISNUMBER(SEARCH("Customer Transfer",C772)),"Money In",IF(ISNUMBER(SEARCH("Ziidi",C772)),"Investment",IF(ISNUMBER(SEARCH("Nabo",C772)),"Investment",IF(ISNUMBER(SEARCH("Paybill Online",C772)),"Pay Bill",IF(ISNUMBER(SEARCH("Pay Bill",C772)),"Pay Bill",IF(ISNUMBER(SEARCH("Spotify",C772)),"Pay Bill",IF(ISNUMBER(SEARCH("M-Shwari",C772)),"Mshwari",IF(ISNUMBER(SEARCH("Mshwari",C772)),"Mshwari",IF(ISNUMBER(SEARCH("Withdrawal charge",C772)),"Fees",IF(ISNUMBER(SEARCH("Customer Withdrawal",C772)),"Fees",IF(ISNUMBER(SEARCH("charge",C772)),"Fees","Other")))))))))))))))))))))))))</f>
        <v>Sent to Person</v>
      </c>
      <c r="R772" s="1" t="str">
        <f aca="false">TEXT(B772,"MMM YYYY")</f>
        <v>Apr 2026</v>
      </c>
    </row>
    <row r="773" customFormat="false" ht="13.8" hidden="false" customHeight="false" outlineLevel="0" collapsed="false">
      <c r="A773" s="4" t="s">
        <v>1618</v>
      </c>
      <c r="B773" s="4" t="s">
        <v>1619</v>
      </c>
      <c r="C773" s="4" t="s">
        <v>1598</v>
      </c>
      <c r="D773" s="4" t="s">
        <v>18</v>
      </c>
      <c r="E773" s="4"/>
      <c r="F773" s="4" t="n">
        <v>50</v>
      </c>
      <c r="G773" s="4" t="n">
        <v>257.78</v>
      </c>
      <c r="L773" s="1" t="str">
        <f aca="false">IF(ISNUMBER(SEARCH("Bundle",C773)),"Bundles",IF(ISNUMBER(SEARCH("Airtime",C773)),"Bundles",IF(ISNUMBER(SEARCH("Merchant",C773)),"Merchant Payment",IF(ISNUMBER(SEARCH("Offnet C2B",C773)),"Merchant Payment",IF(ISNUMBER(SEARCH("Offnet B2C",C773)),"Merchant Payment",IF(ISNUMBER(SEARCH("Customer Payment to Small",C773)),"Merchant Payment",IF(ISNUMBER(SEARCH("Payment to Small Business",C773)),"Merchant Payment",IF(ISNUMBER(SEARCH("Sent to",C773)),"Sent to Person",IF(ISNUMBER(SEARCH("Customer Transfer to",C773)),"Sent to Person",IF(ISNUMBER(SEARCH("Business Payment",C773)),"Money In",IF(ISNUMBER(SEARCH("Funds Received",C773)),"Money In",IF(ISNUMBER(SEARCH("Receive International",C773)),"Money In",IF(ISNUMBER(SEARCH("Send Money Reversal",C773)),"Money In",IF(ISNUMBER(SEARCH("Pay Utility Reversal",C773)),"Money In",IF(ISNUMBER(SEARCH("Customer Transfer",C773)),"Money In",IF(ISNUMBER(SEARCH("Ziidi",C773)),"Investment",IF(ISNUMBER(SEARCH("Nabo",C773)),"Investment",IF(ISNUMBER(SEARCH("Paybill Online",C773)),"Pay Bill",IF(ISNUMBER(SEARCH("Pay Bill",C773)),"Pay Bill",IF(ISNUMBER(SEARCH("Spotify",C773)),"Pay Bill",IF(ISNUMBER(SEARCH("M-Shwari",C773)),"Mshwari",IF(ISNUMBER(SEARCH("Mshwari",C773)),"Mshwari",IF(ISNUMBER(SEARCH("Withdrawal charge",C773)),"Fees",IF(ISNUMBER(SEARCH("Customer Withdrawal",C773)),"Fees",IF(ISNUMBER(SEARCH("charge",C773)),"Fees","Other")))))))))))))))))))))))))</f>
        <v>Merchant Payment</v>
      </c>
      <c r="R773" s="1" t="str">
        <f aca="false">TEXT(B773,"MMM YYYY")</f>
        <v>Apr 2026</v>
      </c>
    </row>
    <row r="774" customFormat="false" ht="13.8" hidden="false" customHeight="false" outlineLevel="0" collapsed="false">
      <c r="A774" s="4" t="s">
        <v>1620</v>
      </c>
      <c r="B774" s="4" t="s">
        <v>1621</v>
      </c>
      <c r="C774" s="4" t="s">
        <v>1073</v>
      </c>
      <c r="D774" s="4" t="s">
        <v>18</v>
      </c>
      <c r="E774" s="4"/>
      <c r="F774" s="4" t="n">
        <v>30</v>
      </c>
      <c r="G774" s="4" t="n">
        <v>227.78</v>
      </c>
      <c r="L774" s="1" t="str">
        <f aca="false">IF(ISNUMBER(SEARCH("Bundle",C774)),"Bundles",IF(ISNUMBER(SEARCH("Airtime",C774)),"Bundles",IF(ISNUMBER(SEARCH("Merchant",C774)),"Merchant Payment",IF(ISNUMBER(SEARCH("Offnet C2B",C774)),"Merchant Payment",IF(ISNUMBER(SEARCH("Offnet B2C",C774)),"Merchant Payment",IF(ISNUMBER(SEARCH("Customer Payment to Small",C774)),"Merchant Payment",IF(ISNUMBER(SEARCH("Payment to Small Business",C774)),"Merchant Payment",IF(ISNUMBER(SEARCH("Sent to",C774)),"Sent to Person",IF(ISNUMBER(SEARCH("Customer Transfer to",C774)),"Sent to Person",IF(ISNUMBER(SEARCH("Business Payment",C774)),"Money In",IF(ISNUMBER(SEARCH("Funds Received",C774)),"Money In",IF(ISNUMBER(SEARCH("Receive International",C774)),"Money In",IF(ISNUMBER(SEARCH("Send Money Reversal",C774)),"Money In",IF(ISNUMBER(SEARCH("Pay Utility Reversal",C774)),"Money In",IF(ISNUMBER(SEARCH("Customer Transfer",C774)),"Money In",IF(ISNUMBER(SEARCH("Ziidi",C774)),"Investment",IF(ISNUMBER(SEARCH("Nabo",C774)),"Investment",IF(ISNUMBER(SEARCH("Paybill Online",C774)),"Pay Bill",IF(ISNUMBER(SEARCH("Pay Bill",C774)),"Pay Bill",IF(ISNUMBER(SEARCH("Spotify",C774)),"Pay Bill",IF(ISNUMBER(SEARCH("M-Shwari",C774)),"Mshwari",IF(ISNUMBER(SEARCH("Mshwari",C774)),"Mshwari",IF(ISNUMBER(SEARCH("Withdrawal charge",C774)),"Fees",IF(ISNUMBER(SEARCH("Customer Withdrawal",C774)),"Fees",IF(ISNUMBER(SEARCH("charge",C774)),"Fees","Other")))))))))))))))))))))))))</f>
        <v>Merchant Payment</v>
      </c>
      <c r="R774" s="1" t="str">
        <f aca="false">TEXT(B774,"MMM YYYY")</f>
        <v>Apr 2026</v>
      </c>
    </row>
    <row r="775" customFormat="false" ht="13.8" hidden="false" customHeight="false" outlineLevel="0" collapsed="false">
      <c r="A775" s="4" t="s">
        <v>1622</v>
      </c>
      <c r="B775" s="4" t="s">
        <v>1623</v>
      </c>
      <c r="C775" s="4" t="s">
        <v>45</v>
      </c>
      <c r="D775" s="4" t="s">
        <v>18</v>
      </c>
      <c r="E775" s="4"/>
      <c r="F775" s="4" t="n">
        <v>40</v>
      </c>
      <c r="G775" s="4" t="n">
        <v>187.78</v>
      </c>
      <c r="L775" s="1" t="str">
        <f aca="false">IF(ISNUMBER(SEARCH("Bundle",C775)),"Bundles",IF(ISNUMBER(SEARCH("Airtime",C775)),"Bundles",IF(ISNUMBER(SEARCH("Merchant",C775)),"Merchant Payment",IF(ISNUMBER(SEARCH("Offnet C2B",C775)),"Merchant Payment",IF(ISNUMBER(SEARCH("Offnet B2C",C775)),"Merchant Payment",IF(ISNUMBER(SEARCH("Customer Payment to Small",C775)),"Merchant Payment",IF(ISNUMBER(SEARCH("Payment to Small Business",C775)),"Merchant Payment",IF(ISNUMBER(SEARCH("Sent to",C775)),"Sent to Person",IF(ISNUMBER(SEARCH("Customer Transfer to",C775)),"Sent to Person",IF(ISNUMBER(SEARCH("Business Payment",C775)),"Money In",IF(ISNUMBER(SEARCH("Funds Received",C775)),"Money In",IF(ISNUMBER(SEARCH("Receive International",C775)),"Money In",IF(ISNUMBER(SEARCH("Send Money Reversal",C775)),"Money In",IF(ISNUMBER(SEARCH("Pay Utility Reversal",C775)),"Money In",IF(ISNUMBER(SEARCH("Customer Transfer",C775)),"Money In",IF(ISNUMBER(SEARCH("Ziidi",C775)),"Investment",IF(ISNUMBER(SEARCH("Nabo",C775)),"Investment",IF(ISNUMBER(SEARCH("Paybill Online",C775)),"Pay Bill",IF(ISNUMBER(SEARCH("Pay Bill",C775)),"Pay Bill",IF(ISNUMBER(SEARCH("Spotify",C775)),"Pay Bill",IF(ISNUMBER(SEARCH("M-Shwari",C775)),"Mshwari",IF(ISNUMBER(SEARCH("Mshwari",C775)),"Mshwari",IF(ISNUMBER(SEARCH("Withdrawal charge",C775)),"Fees",IF(ISNUMBER(SEARCH("Customer Withdrawal",C775)),"Fees",IF(ISNUMBER(SEARCH("charge",C775)),"Fees","Other")))))))))))))))))))))))))</f>
        <v>Merchant Payment</v>
      </c>
      <c r="R775" s="1" t="str">
        <f aca="false">TEXT(B775,"MMM YYYY")</f>
        <v>Apr 2026</v>
      </c>
    </row>
    <row r="776" customFormat="false" ht="13.8" hidden="false" customHeight="false" outlineLevel="0" collapsed="false">
      <c r="A776" s="4" t="s">
        <v>1624</v>
      </c>
      <c r="B776" s="4" t="s">
        <v>1625</v>
      </c>
      <c r="C776" s="4" t="s">
        <v>29</v>
      </c>
      <c r="D776" s="4" t="s">
        <v>18</v>
      </c>
      <c r="E776" s="4"/>
      <c r="F776" s="4" t="n">
        <v>20</v>
      </c>
      <c r="G776" s="4" t="n">
        <v>167.78</v>
      </c>
      <c r="L776" s="1" t="str">
        <f aca="false">IF(ISNUMBER(SEARCH("Bundle",C776)),"Bundles",IF(ISNUMBER(SEARCH("Airtime",C776)),"Bundles",IF(ISNUMBER(SEARCH("Merchant",C776)),"Merchant Payment",IF(ISNUMBER(SEARCH("Offnet C2B",C776)),"Merchant Payment",IF(ISNUMBER(SEARCH("Offnet B2C",C776)),"Merchant Payment",IF(ISNUMBER(SEARCH("Customer Payment to Small",C776)),"Merchant Payment",IF(ISNUMBER(SEARCH("Payment to Small Business",C776)),"Merchant Payment",IF(ISNUMBER(SEARCH("Sent to",C776)),"Sent to Person",IF(ISNUMBER(SEARCH("Customer Transfer to",C776)),"Sent to Person",IF(ISNUMBER(SEARCH("Business Payment",C776)),"Money In",IF(ISNUMBER(SEARCH("Funds Received",C776)),"Money In",IF(ISNUMBER(SEARCH("Receive International",C776)),"Money In",IF(ISNUMBER(SEARCH("Send Money Reversal",C776)),"Money In",IF(ISNUMBER(SEARCH("Pay Utility Reversal",C776)),"Money In",IF(ISNUMBER(SEARCH("Customer Transfer",C776)),"Money In",IF(ISNUMBER(SEARCH("Ziidi",C776)),"Investment",IF(ISNUMBER(SEARCH("Nabo",C776)),"Investment",IF(ISNUMBER(SEARCH("Paybill Online",C776)),"Pay Bill",IF(ISNUMBER(SEARCH("Pay Bill",C776)),"Pay Bill",IF(ISNUMBER(SEARCH("Spotify",C776)),"Pay Bill",IF(ISNUMBER(SEARCH("M-Shwari",C776)),"Mshwari",IF(ISNUMBER(SEARCH("Mshwari",C776)),"Mshwari",IF(ISNUMBER(SEARCH("Withdrawal charge",C776)),"Fees",IF(ISNUMBER(SEARCH("Customer Withdrawal",C776)),"Fees",IF(ISNUMBER(SEARCH("charge",C776)),"Fees","Other")))))))))))))))))))))))))</f>
        <v>Bundles</v>
      </c>
      <c r="R776" s="1" t="str">
        <f aca="false">TEXT(B776,"MMM YYYY")</f>
        <v>Apr 2026</v>
      </c>
    </row>
    <row r="777" customFormat="false" ht="13.8" hidden="false" customHeight="false" outlineLevel="0" collapsed="false">
      <c r="A777" s="4" t="s">
        <v>1626</v>
      </c>
      <c r="B777" s="4" t="s">
        <v>1627</v>
      </c>
      <c r="C777" s="4" t="s">
        <v>29</v>
      </c>
      <c r="D777" s="4" t="s">
        <v>18</v>
      </c>
      <c r="E777" s="4"/>
      <c r="F777" s="4" t="n">
        <v>10</v>
      </c>
      <c r="G777" s="4" t="n">
        <v>157.78</v>
      </c>
      <c r="L777" s="1" t="str">
        <f aca="false">IF(ISNUMBER(SEARCH("Bundle",C777)),"Bundles",IF(ISNUMBER(SEARCH("Airtime",C777)),"Bundles",IF(ISNUMBER(SEARCH("Merchant",C777)),"Merchant Payment",IF(ISNUMBER(SEARCH("Offnet C2B",C777)),"Merchant Payment",IF(ISNUMBER(SEARCH("Offnet B2C",C777)),"Merchant Payment",IF(ISNUMBER(SEARCH("Customer Payment to Small",C777)),"Merchant Payment",IF(ISNUMBER(SEARCH("Payment to Small Business",C777)),"Merchant Payment",IF(ISNUMBER(SEARCH("Sent to",C777)),"Sent to Person",IF(ISNUMBER(SEARCH("Customer Transfer to",C777)),"Sent to Person",IF(ISNUMBER(SEARCH("Business Payment",C777)),"Money In",IF(ISNUMBER(SEARCH("Funds Received",C777)),"Money In",IF(ISNUMBER(SEARCH("Receive International",C777)),"Money In",IF(ISNUMBER(SEARCH("Send Money Reversal",C777)),"Money In",IF(ISNUMBER(SEARCH("Pay Utility Reversal",C777)),"Money In",IF(ISNUMBER(SEARCH("Customer Transfer",C777)),"Money In",IF(ISNUMBER(SEARCH("Ziidi",C777)),"Investment",IF(ISNUMBER(SEARCH("Nabo",C777)),"Investment",IF(ISNUMBER(SEARCH("Paybill Online",C777)),"Pay Bill",IF(ISNUMBER(SEARCH("Pay Bill",C777)),"Pay Bill",IF(ISNUMBER(SEARCH("Spotify",C777)),"Pay Bill",IF(ISNUMBER(SEARCH("M-Shwari",C777)),"Mshwari",IF(ISNUMBER(SEARCH("Mshwari",C777)),"Mshwari",IF(ISNUMBER(SEARCH("Withdrawal charge",C777)),"Fees",IF(ISNUMBER(SEARCH("Customer Withdrawal",C777)),"Fees",IF(ISNUMBER(SEARCH("charge",C777)),"Fees","Other")))))))))))))))))))))))))</f>
        <v>Bundles</v>
      </c>
      <c r="R777" s="1" t="str">
        <f aca="false">TEXT(B777,"MMM YYYY")</f>
        <v>Apr 2026</v>
      </c>
    </row>
    <row r="778" customFormat="false" ht="13.8" hidden="false" customHeight="false" outlineLevel="0" collapsed="false">
      <c r="A778" s="4" t="s">
        <v>1628</v>
      </c>
      <c r="B778" s="4" t="s">
        <v>1629</v>
      </c>
      <c r="C778" s="4" t="s">
        <v>49</v>
      </c>
      <c r="D778" s="4" t="s">
        <v>18</v>
      </c>
      <c r="E778" s="4"/>
      <c r="F778" s="4" t="n">
        <v>100</v>
      </c>
      <c r="G778" s="4" t="n">
        <v>57.78</v>
      </c>
      <c r="L778" s="1" t="str">
        <f aca="false">IF(ISNUMBER(SEARCH("Bundle",C778)),"Bundles",IF(ISNUMBER(SEARCH("Airtime",C778)),"Bundles",IF(ISNUMBER(SEARCH("Merchant",C778)),"Merchant Payment",IF(ISNUMBER(SEARCH("Offnet C2B",C778)),"Merchant Payment",IF(ISNUMBER(SEARCH("Offnet B2C",C778)),"Merchant Payment",IF(ISNUMBER(SEARCH("Customer Payment to Small",C778)),"Merchant Payment",IF(ISNUMBER(SEARCH("Payment to Small Business",C778)),"Merchant Payment",IF(ISNUMBER(SEARCH("Sent to",C778)),"Sent to Person",IF(ISNUMBER(SEARCH("Customer Transfer to",C778)),"Sent to Person",IF(ISNUMBER(SEARCH("Business Payment",C778)),"Money In",IF(ISNUMBER(SEARCH("Funds Received",C778)),"Money In",IF(ISNUMBER(SEARCH("Receive International",C778)),"Money In",IF(ISNUMBER(SEARCH("Send Money Reversal",C778)),"Money In",IF(ISNUMBER(SEARCH("Pay Utility Reversal",C778)),"Money In",IF(ISNUMBER(SEARCH("Customer Transfer",C778)),"Money In",IF(ISNUMBER(SEARCH("Ziidi",C778)),"Investment",IF(ISNUMBER(SEARCH("Nabo",C778)),"Investment",IF(ISNUMBER(SEARCH("Paybill Online",C778)),"Pay Bill",IF(ISNUMBER(SEARCH("Pay Bill",C778)),"Pay Bill",IF(ISNUMBER(SEARCH("Spotify",C778)),"Pay Bill",IF(ISNUMBER(SEARCH("M-Shwari",C778)),"Mshwari",IF(ISNUMBER(SEARCH("Mshwari",C778)),"Mshwari",IF(ISNUMBER(SEARCH("Withdrawal charge",C778)),"Fees",IF(ISNUMBER(SEARCH("Customer Withdrawal",C778)),"Fees",IF(ISNUMBER(SEARCH("charge",C778)),"Fees","Other")))))))))))))))))))))))))</f>
        <v>Merchant Payment</v>
      </c>
      <c r="R778" s="1" t="str">
        <f aca="false">TEXT(B778,"MMM YYYY")</f>
        <v>Apr 2026</v>
      </c>
    </row>
    <row r="779" customFormat="false" ht="13.8" hidden="false" customHeight="false" outlineLevel="0" collapsed="false">
      <c r="A779" s="4" t="s">
        <v>1630</v>
      </c>
      <c r="B779" s="4" t="s">
        <v>1631</v>
      </c>
      <c r="C779" s="4" t="s">
        <v>192</v>
      </c>
      <c r="D779" s="4" t="s">
        <v>18</v>
      </c>
      <c r="E779" s="4" t="n">
        <v>1030</v>
      </c>
      <c r="F779" s="4"/>
      <c r="G779" s="4" t="n">
        <v>1087.78</v>
      </c>
      <c r="L779" s="1" t="str">
        <f aca="false">IF(ISNUMBER(SEARCH("Bundle",C779)),"Bundles",IF(ISNUMBER(SEARCH("Airtime",C779)),"Bundles",IF(ISNUMBER(SEARCH("Merchant",C779)),"Merchant Payment",IF(ISNUMBER(SEARCH("Offnet C2B",C779)),"Merchant Payment",IF(ISNUMBER(SEARCH("Offnet B2C",C779)),"Merchant Payment",IF(ISNUMBER(SEARCH("Customer Payment to Small",C779)),"Merchant Payment",IF(ISNUMBER(SEARCH("Payment to Small Business",C779)),"Merchant Payment",IF(ISNUMBER(SEARCH("Sent to",C779)),"Sent to Person",IF(ISNUMBER(SEARCH("Customer Transfer to",C779)),"Sent to Person",IF(ISNUMBER(SEARCH("Business Payment",C779)),"Money In",IF(ISNUMBER(SEARCH("Funds Received",C779)),"Money In",IF(ISNUMBER(SEARCH("Receive International",C779)),"Money In",IF(ISNUMBER(SEARCH("Send Money Reversal",C779)),"Money In",IF(ISNUMBER(SEARCH("Pay Utility Reversal",C779)),"Money In",IF(ISNUMBER(SEARCH("Customer Transfer",C779)),"Money In",IF(ISNUMBER(SEARCH("Ziidi",C779)),"Investment",IF(ISNUMBER(SEARCH("Nabo",C779)),"Investment",IF(ISNUMBER(SEARCH("Paybill Online",C779)),"Pay Bill",IF(ISNUMBER(SEARCH("Pay Bill",C779)),"Pay Bill",IF(ISNUMBER(SEARCH("Spotify",C779)),"Pay Bill",IF(ISNUMBER(SEARCH("M-Shwari",C779)),"Mshwari",IF(ISNUMBER(SEARCH("Mshwari",C779)),"Mshwari",IF(ISNUMBER(SEARCH("Withdrawal charge",C779)),"Fees",IF(ISNUMBER(SEARCH("Customer Withdrawal",C779)),"Fees",IF(ISNUMBER(SEARCH("charge",C779)),"Fees","Other")))))))))))))))))))))))))</f>
        <v>Mshwari</v>
      </c>
      <c r="R779" s="1" t="str">
        <f aca="false">TEXT(B779,"MMM YYYY")</f>
        <v>Apr 2026</v>
      </c>
    </row>
    <row r="780" customFormat="false" ht="13.8" hidden="false" customHeight="false" outlineLevel="0" collapsed="false">
      <c r="A780" s="4" t="s">
        <v>1632</v>
      </c>
      <c r="B780" s="4" t="s">
        <v>1633</v>
      </c>
      <c r="C780" s="4" t="s">
        <v>1533</v>
      </c>
      <c r="D780" s="4" t="s">
        <v>18</v>
      </c>
      <c r="E780" s="4"/>
      <c r="F780" s="4" t="n">
        <v>29</v>
      </c>
      <c r="G780" s="4" t="n">
        <v>58.78</v>
      </c>
      <c r="L780" s="1" t="str">
        <f aca="false">IF(ISNUMBER(SEARCH("Bundle",C780)),"Bundles",IF(ISNUMBER(SEARCH("Airtime",C780)),"Bundles",IF(ISNUMBER(SEARCH("Merchant",C780)),"Merchant Payment",IF(ISNUMBER(SEARCH("Offnet C2B",C780)),"Merchant Payment",IF(ISNUMBER(SEARCH("Offnet B2C",C780)),"Merchant Payment",IF(ISNUMBER(SEARCH("Customer Payment to Small",C780)),"Merchant Payment",IF(ISNUMBER(SEARCH("Payment to Small Business",C780)),"Merchant Payment",IF(ISNUMBER(SEARCH("Sent to",C780)),"Sent to Person",IF(ISNUMBER(SEARCH("Customer Transfer to",C780)),"Sent to Person",IF(ISNUMBER(SEARCH("Business Payment",C780)),"Money In",IF(ISNUMBER(SEARCH("Funds Received",C780)),"Money In",IF(ISNUMBER(SEARCH("Receive International",C780)),"Money In",IF(ISNUMBER(SEARCH("Send Money Reversal",C780)),"Money In",IF(ISNUMBER(SEARCH("Pay Utility Reversal",C780)),"Money In",IF(ISNUMBER(SEARCH("Customer Transfer",C780)),"Money In",IF(ISNUMBER(SEARCH("Ziidi",C780)),"Investment",IF(ISNUMBER(SEARCH("Nabo",C780)),"Investment",IF(ISNUMBER(SEARCH("Paybill Online",C780)),"Pay Bill",IF(ISNUMBER(SEARCH("Pay Bill",C780)),"Pay Bill",IF(ISNUMBER(SEARCH("Spotify",C780)),"Pay Bill",IF(ISNUMBER(SEARCH("M-Shwari",C780)),"Mshwari",IF(ISNUMBER(SEARCH("Mshwari",C780)),"Mshwari",IF(ISNUMBER(SEARCH("Withdrawal charge",C780)),"Fees",IF(ISNUMBER(SEARCH("Customer Withdrawal",C780)),"Fees",IF(ISNUMBER(SEARCH("charge",C780)),"Fees","Other")))))))))))))))))))))))))</f>
        <v>Fees</v>
      </c>
      <c r="R780" s="1" t="str">
        <f aca="false">TEXT(B780,"MMM YYYY")</f>
        <v>Apr 2026</v>
      </c>
    </row>
    <row r="781" customFormat="false" ht="13.8" hidden="false" customHeight="false" outlineLevel="0" collapsed="false">
      <c r="A781" s="4" t="s">
        <v>1632</v>
      </c>
      <c r="B781" s="4" t="s">
        <v>1633</v>
      </c>
      <c r="C781" s="4" t="s">
        <v>1634</v>
      </c>
      <c r="D781" s="4" t="s">
        <v>18</v>
      </c>
      <c r="E781" s="4"/>
      <c r="F781" s="4" t="n">
        <v>1000</v>
      </c>
      <c r="G781" s="4" t="n">
        <v>87.78</v>
      </c>
      <c r="L781" s="1" t="str">
        <f aca="false">IF(ISNUMBER(SEARCH("Bundle",C781)),"Bundles",IF(ISNUMBER(SEARCH("Airtime",C781)),"Bundles",IF(ISNUMBER(SEARCH("Merchant",C781)),"Merchant Payment",IF(ISNUMBER(SEARCH("Offnet C2B",C781)),"Merchant Payment",IF(ISNUMBER(SEARCH("Offnet B2C",C781)),"Merchant Payment",IF(ISNUMBER(SEARCH("Customer Payment to Small",C781)),"Merchant Payment",IF(ISNUMBER(SEARCH("Payment to Small Business",C781)),"Merchant Payment",IF(ISNUMBER(SEARCH("Sent to",C781)),"Sent to Person",IF(ISNUMBER(SEARCH("Customer Transfer to",C781)),"Sent to Person",IF(ISNUMBER(SEARCH("Business Payment",C781)),"Money In",IF(ISNUMBER(SEARCH("Funds Received",C781)),"Money In",IF(ISNUMBER(SEARCH("Receive International",C781)),"Money In",IF(ISNUMBER(SEARCH("Send Money Reversal",C781)),"Money In",IF(ISNUMBER(SEARCH("Pay Utility Reversal",C781)),"Money In",IF(ISNUMBER(SEARCH("Customer Transfer",C781)),"Money In",IF(ISNUMBER(SEARCH("Ziidi",C781)),"Investment",IF(ISNUMBER(SEARCH("Nabo",C781)),"Investment",IF(ISNUMBER(SEARCH("Paybill Online",C781)),"Pay Bill",IF(ISNUMBER(SEARCH("Pay Bill",C781)),"Pay Bill",IF(ISNUMBER(SEARCH("Spotify",C781)),"Pay Bill",IF(ISNUMBER(SEARCH("M-Shwari",C781)),"Mshwari",IF(ISNUMBER(SEARCH("Mshwari",C781)),"Mshwari",IF(ISNUMBER(SEARCH("Withdrawal charge",C781)),"Fees",IF(ISNUMBER(SEARCH("Customer Withdrawal",C781)),"Fees",IF(ISNUMBER(SEARCH("charge",C781)),"Fees","Other")))))))))))))))))))))))))</f>
        <v>Fees</v>
      </c>
      <c r="R781" s="1" t="str">
        <f aca="false">TEXT(B781,"MMM YYYY")</f>
        <v>Apr 2026</v>
      </c>
    </row>
    <row r="782" customFormat="false" ht="13.8" hidden="false" customHeight="false" outlineLevel="0" collapsed="false">
      <c r="A782" s="4" t="s">
        <v>1635</v>
      </c>
      <c r="B782" s="4" t="s">
        <v>1636</v>
      </c>
      <c r="C782" s="4" t="s">
        <v>29</v>
      </c>
      <c r="D782" s="4" t="s">
        <v>18</v>
      </c>
      <c r="E782" s="4"/>
      <c r="F782" s="4" t="n">
        <v>20</v>
      </c>
      <c r="G782" s="4" t="n">
        <v>38.78</v>
      </c>
      <c r="L782" s="1" t="str">
        <f aca="false">IF(ISNUMBER(SEARCH("Bundle",C782)),"Bundles",IF(ISNUMBER(SEARCH("Airtime",C782)),"Bundles",IF(ISNUMBER(SEARCH("Merchant",C782)),"Merchant Payment",IF(ISNUMBER(SEARCH("Offnet C2B",C782)),"Merchant Payment",IF(ISNUMBER(SEARCH("Offnet B2C",C782)),"Merchant Payment",IF(ISNUMBER(SEARCH("Customer Payment to Small",C782)),"Merchant Payment",IF(ISNUMBER(SEARCH("Payment to Small Business",C782)),"Merchant Payment",IF(ISNUMBER(SEARCH("Sent to",C782)),"Sent to Person",IF(ISNUMBER(SEARCH("Customer Transfer to",C782)),"Sent to Person",IF(ISNUMBER(SEARCH("Business Payment",C782)),"Money In",IF(ISNUMBER(SEARCH("Funds Received",C782)),"Money In",IF(ISNUMBER(SEARCH("Receive International",C782)),"Money In",IF(ISNUMBER(SEARCH("Send Money Reversal",C782)),"Money In",IF(ISNUMBER(SEARCH("Pay Utility Reversal",C782)),"Money In",IF(ISNUMBER(SEARCH("Customer Transfer",C782)),"Money In",IF(ISNUMBER(SEARCH("Ziidi",C782)),"Investment",IF(ISNUMBER(SEARCH("Nabo",C782)),"Investment",IF(ISNUMBER(SEARCH("Paybill Online",C782)),"Pay Bill",IF(ISNUMBER(SEARCH("Pay Bill",C782)),"Pay Bill",IF(ISNUMBER(SEARCH("Spotify",C782)),"Pay Bill",IF(ISNUMBER(SEARCH("M-Shwari",C782)),"Mshwari",IF(ISNUMBER(SEARCH("Mshwari",C782)),"Mshwari",IF(ISNUMBER(SEARCH("Withdrawal charge",C782)),"Fees",IF(ISNUMBER(SEARCH("Customer Withdrawal",C782)),"Fees",IF(ISNUMBER(SEARCH("charge",C782)),"Fees","Other")))))))))))))))))))))))))</f>
        <v>Bundles</v>
      </c>
      <c r="R782" s="1" t="str">
        <f aca="false">TEXT(B782,"MMM YYYY")</f>
        <v>Apr 2026</v>
      </c>
    </row>
    <row r="783" customFormat="false" ht="13.8" hidden="false" customHeight="false" outlineLevel="0" collapsed="false">
      <c r="A783" s="4" t="s">
        <v>1637</v>
      </c>
      <c r="B783" s="4" t="s">
        <v>1638</v>
      </c>
      <c r="C783" s="4" t="s">
        <v>29</v>
      </c>
      <c r="D783" s="4" t="s">
        <v>18</v>
      </c>
      <c r="E783" s="4"/>
      <c r="F783" s="4" t="n">
        <v>20</v>
      </c>
      <c r="G783" s="4" t="n">
        <v>18.78</v>
      </c>
      <c r="L783" s="1" t="str">
        <f aca="false">IF(ISNUMBER(SEARCH("Bundle",C783)),"Bundles",IF(ISNUMBER(SEARCH("Airtime",C783)),"Bundles",IF(ISNUMBER(SEARCH("Merchant",C783)),"Merchant Payment",IF(ISNUMBER(SEARCH("Offnet C2B",C783)),"Merchant Payment",IF(ISNUMBER(SEARCH("Offnet B2C",C783)),"Merchant Payment",IF(ISNUMBER(SEARCH("Customer Payment to Small",C783)),"Merchant Payment",IF(ISNUMBER(SEARCH("Payment to Small Business",C783)),"Merchant Payment",IF(ISNUMBER(SEARCH("Sent to",C783)),"Sent to Person",IF(ISNUMBER(SEARCH("Customer Transfer to",C783)),"Sent to Person",IF(ISNUMBER(SEARCH("Business Payment",C783)),"Money In",IF(ISNUMBER(SEARCH("Funds Received",C783)),"Money In",IF(ISNUMBER(SEARCH("Receive International",C783)),"Money In",IF(ISNUMBER(SEARCH("Send Money Reversal",C783)),"Money In",IF(ISNUMBER(SEARCH("Pay Utility Reversal",C783)),"Money In",IF(ISNUMBER(SEARCH("Customer Transfer",C783)),"Money In",IF(ISNUMBER(SEARCH("Ziidi",C783)),"Investment",IF(ISNUMBER(SEARCH("Nabo",C783)),"Investment",IF(ISNUMBER(SEARCH("Paybill Online",C783)),"Pay Bill",IF(ISNUMBER(SEARCH("Pay Bill",C783)),"Pay Bill",IF(ISNUMBER(SEARCH("Spotify",C783)),"Pay Bill",IF(ISNUMBER(SEARCH("M-Shwari",C783)),"Mshwari",IF(ISNUMBER(SEARCH("Mshwari",C783)),"Mshwari",IF(ISNUMBER(SEARCH("Withdrawal charge",C783)),"Fees",IF(ISNUMBER(SEARCH("Customer Withdrawal",C783)),"Fees",IF(ISNUMBER(SEARCH("charge",C783)),"Fees","Other")))))))))))))))))))))))))</f>
        <v>Bundles</v>
      </c>
      <c r="R783" s="1" t="str">
        <f aca="false">TEXT(B783,"MMM YYYY")</f>
        <v>Apr 2026</v>
      </c>
    </row>
    <row r="784" customFormat="false" ht="13.8" hidden="false" customHeight="false" outlineLevel="0" collapsed="false">
      <c r="A784" s="4" t="s">
        <v>1639</v>
      </c>
      <c r="B784" s="4" t="s">
        <v>1640</v>
      </c>
      <c r="C784" s="4" t="s">
        <v>192</v>
      </c>
      <c r="D784" s="4" t="s">
        <v>18</v>
      </c>
      <c r="E784" s="4" t="n">
        <v>400</v>
      </c>
      <c r="F784" s="4"/>
      <c r="G784" s="4" t="n">
        <v>418.78</v>
      </c>
      <c r="L784" s="1" t="str">
        <f aca="false">IF(ISNUMBER(SEARCH("Bundle",C784)),"Bundles",IF(ISNUMBER(SEARCH("Airtime",C784)),"Bundles",IF(ISNUMBER(SEARCH("Merchant",C784)),"Merchant Payment",IF(ISNUMBER(SEARCH("Offnet C2B",C784)),"Merchant Payment",IF(ISNUMBER(SEARCH("Offnet B2C",C784)),"Merchant Payment",IF(ISNUMBER(SEARCH("Customer Payment to Small",C784)),"Merchant Payment",IF(ISNUMBER(SEARCH("Payment to Small Business",C784)),"Merchant Payment",IF(ISNUMBER(SEARCH("Sent to",C784)),"Sent to Person",IF(ISNUMBER(SEARCH("Customer Transfer to",C784)),"Sent to Person",IF(ISNUMBER(SEARCH("Business Payment",C784)),"Money In",IF(ISNUMBER(SEARCH("Funds Received",C784)),"Money In",IF(ISNUMBER(SEARCH("Receive International",C784)),"Money In",IF(ISNUMBER(SEARCH("Send Money Reversal",C784)),"Money In",IF(ISNUMBER(SEARCH("Pay Utility Reversal",C784)),"Money In",IF(ISNUMBER(SEARCH("Customer Transfer",C784)),"Money In",IF(ISNUMBER(SEARCH("Ziidi",C784)),"Investment",IF(ISNUMBER(SEARCH("Nabo",C784)),"Investment",IF(ISNUMBER(SEARCH("Paybill Online",C784)),"Pay Bill",IF(ISNUMBER(SEARCH("Pay Bill",C784)),"Pay Bill",IF(ISNUMBER(SEARCH("Spotify",C784)),"Pay Bill",IF(ISNUMBER(SEARCH("M-Shwari",C784)),"Mshwari",IF(ISNUMBER(SEARCH("Mshwari",C784)),"Mshwari",IF(ISNUMBER(SEARCH("Withdrawal charge",C784)),"Fees",IF(ISNUMBER(SEARCH("Customer Withdrawal",C784)),"Fees",IF(ISNUMBER(SEARCH("charge",C784)),"Fees","Other")))))))))))))))))))))))))</f>
        <v>Mshwari</v>
      </c>
      <c r="R784" s="1" t="str">
        <f aca="false">TEXT(B784,"MMM YYYY")</f>
        <v>Apr 2026</v>
      </c>
    </row>
    <row r="785" customFormat="false" ht="13.8" hidden="false" customHeight="false" outlineLevel="0" collapsed="false">
      <c r="A785" s="4" t="s">
        <v>1641</v>
      </c>
      <c r="B785" s="4" t="s">
        <v>1642</v>
      </c>
      <c r="C785" s="4" t="s">
        <v>239</v>
      </c>
      <c r="D785" s="4" t="s">
        <v>18</v>
      </c>
      <c r="E785" s="4"/>
      <c r="F785" s="4" t="n">
        <v>7</v>
      </c>
      <c r="G785" s="4" t="n">
        <v>111.78</v>
      </c>
      <c r="L785" s="1" t="str">
        <f aca="false">IF(ISNUMBER(SEARCH("Bundle",C785)),"Bundles",IF(ISNUMBER(SEARCH("Airtime",C785)),"Bundles",IF(ISNUMBER(SEARCH("Merchant",C785)),"Merchant Payment",IF(ISNUMBER(SEARCH("Offnet C2B",C785)),"Merchant Payment",IF(ISNUMBER(SEARCH("Offnet B2C",C785)),"Merchant Payment",IF(ISNUMBER(SEARCH("Customer Payment to Small",C785)),"Merchant Payment",IF(ISNUMBER(SEARCH("Payment to Small Business",C785)),"Merchant Payment",IF(ISNUMBER(SEARCH("Sent to",C785)),"Sent to Person",IF(ISNUMBER(SEARCH("Customer Transfer to",C785)),"Sent to Person",IF(ISNUMBER(SEARCH("Business Payment",C785)),"Money In",IF(ISNUMBER(SEARCH("Funds Received",C785)),"Money In",IF(ISNUMBER(SEARCH("Receive International",C785)),"Money In",IF(ISNUMBER(SEARCH("Send Money Reversal",C785)),"Money In",IF(ISNUMBER(SEARCH("Pay Utility Reversal",C785)),"Money In",IF(ISNUMBER(SEARCH("Customer Transfer",C785)),"Money In",IF(ISNUMBER(SEARCH("Ziidi",C785)),"Investment",IF(ISNUMBER(SEARCH("Nabo",C785)),"Investment",IF(ISNUMBER(SEARCH("Paybill Online",C785)),"Pay Bill",IF(ISNUMBER(SEARCH("Pay Bill",C785)),"Pay Bill",IF(ISNUMBER(SEARCH("Spotify",C785)),"Pay Bill",IF(ISNUMBER(SEARCH("M-Shwari",C785)),"Mshwari",IF(ISNUMBER(SEARCH("Mshwari",C785)),"Mshwari",IF(ISNUMBER(SEARCH("Withdrawal charge",C785)),"Fees",IF(ISNUMBER(SEARCH("Customer Withdrawal",C785)),"Fees",IF(ISNUMBER(SEARCH("charge",C785)),"Fees","Other")))))))))))))))))))))))))</f>
        <v>Money In</v>
      </c>
      <c r="R785" s="1" t="str">
        <f aca="false">TEXT(B785,"MMM YYYY")</f>
        <v>Apr 2026</v>
      </c>
    </row>
    <row r="786" customFormat="false" ht="13.8" hidden="false" customHeight="false" outlineLevel="0" collapsed="false">
      <c r="A786" s="4" t="s">
        <v>1641</v>
      </c>
      <c r="B786" s="4" t="s">
        <v>1642</v>
      </c>
      <c r="C786" s="4" t="s">
        <v>541</v>
      </c>
      <c r="D786" s="4" t="s">
        <v>18</v>
      </c>
      <c r="E786" s="4"/>
      <c r="F786" s="4" t="n">
        <v>300</v>
      </c>
      <c r="G786" s="4" t="n">
        <v>118.78</v>
      </c>
      <c r="L786" s="1" t="str">
        <f aca="false">IF(ISNUMBER(SEARCH("Bundle",C786)),"Bundles",IF(ISNUMBER(SEARCH("Airtime",C786)),"Bundles",IF(ISNUMBER(SEARCH("Merchant",C786)),"Merchant Payment",IF(ISNUMBER(SEARCH("Offnet C2B",C786)),"Merchant Payment",IF(ISNUMBER(SEARCH("Offnet B2C",C786)),"Merchant Payment",IF(ISNUMBER(SEARCH("Customer Payment to Small",C786)),"Merchant Payment",IF(ISNUMBER(SEARCH("Payment to Small Business",C786)),"Merchant Payment",IF(ISNUMBER(SEARCH("Sent to",C786)),"Sent to Person",IF(ISNUMBER(SEARCH("Customer Transfer to",C786)),"Sent to Person",IF(ISNUMBER(SEARCH("Business Payment",C786)),"Money In",IF(ISNUMBER(SEARCH("Funds Received",C786)),"Money In",IF(ISNUMBER(SEARCH("Receive International",C786)),"Money In",IF(ISNUMBER(SEARCH("Send Money Reversal",C786)),"Money In",IF(ISNUMBER(SEARCH("Pay Utility Reversal",C786)),"Money In",IF(ISNUMBER(SEARCH("Customer Transfer",C786)),"Money In",IF(ISNUMBER(SEARCH("Ziidi",C786)),"Investment",IF(ISNUMBER(SEARCH("Nabo",C786)),"Investment",IF(ISNUMBER(SEARCH("Paybill Online",C786)),"Pay Bill",IF(ISNUMBER(SEARCH("Pay Bill",C786)),"Pay Bill",IF(ISNUMBER(SEARCH("Spotify",C786)),"Pay Bill",IF(ISNUMBER(SEARCH("M-Shwari",C786)),"Mshwari",IF(ISNUMBER(SEARCH("Mshwari",C786)),"Mshwari",IF(ISNUMBER(SEARCH("Withdrawal charge",C786)),"Fees",IF(ISNUMBER(SEARCH("Customer Withdrawal",C786)),"Fees",IF(ISNUMBER(SEARCH("charge",C786)),"Fees","Other")))))))))))))))))))))))))</f>
        <v>Sent to Person</v>
      </c>
      <c r="R786" s="1" t="str">
        <f aca="false">TEXT(B786,"MMM YYYY")</f>
        <v>Apr 2026</v>
      </c>
    </row>
    <row r="787" customFormat="false" ht="13.8" hidden="false" customHeight="false" outlineLevel="0" collapsed="false">
      <c r="A787" s="4" t="s">
        <v>1643</v>
      </c>
      <c r="B787" s="4" t="s">
        <v>1644</v>
      </c>
      <c r="C787" s="4" t="s">
        <v>29</v>
      </c>
      <c r="D787" s="4" t="s">
        <v>18</v>
      </c>
      <c r="E787" s="4"/>
      <c r="F787" s="4" t="n">
        <v>10</v>
      </c>
      <c r="G787" s="4" t="n">
        <v>101.78</v>
      </c>
      <c r="L787" s="1" t="str">
        <f aca="false">IF(ISNUMBER(SEARCH("Bundle",C787)),"Bundles",IF(ISNUMBER(SEARCH("Airtime",C787)),"Bundles",IF(ISNUMBER(SEARCH("Merchant",C787)),"Merchant Payment",IF(ISNUMBER(SEARCH("Offnet C2B",C787)),"Merchant Payment",IF(ISNUMBER(SEARCH("Offnet B2C",C787)),"Merchant Payment",IF(ISNUMBER(SEARCH("Customer Payment to Small",C787)),"Merchant Payment",IF(ISNUMBER(SEARCH("Payment to Small Business",C787)),"Merchant Payment",IF(ISNUMBER(SEARCH("Sent to",C787)),"Sent to Person",IF(ISNUMBER(SEARCH("Customer Transfer to",C787)),"Sent to Person",IF(ISNUMBER(SEARCH("Business Payment",C787)),"Money In",IF(ISNUMBER(SEARCH("Funds Received",C787)),"Money In",IF(ISNUMBER(SEARCH("Receive International",C787)),"Money In",IF(ISNUMBER(SEARCH("Send Money Reversal",C787)),"Money In",IF(ISNUMBER(SEARCH("Pay Utility Reversal",C787)),"Money In",IF(ISNUMBER(SEARCH("Customer Transfer",C787)),"Money In",IF(ISNUMBER(SEARCH("Ziidi",C787)),"Investment",IF(ISNUMBER(SEARCH("Nabo",C787)),"Investment",IF(ISNUMBER(SEARCH("Paybill Online",C787)),"Pay Bill",IF(ISNUMBER(SEARCH("Pay Bill",C787)),"Pay Bill",IF(ISNUMBER(SEARCH("Spotify",C787)),"Pay Bill",IF(ISNUMBER(SEARCH("M-Shwari",C787)),"Mshwari",IF(ISNUMBER(SEARCH("Mshwari",C787)),"Mshwari",IF(ISNUMBER(SEARCH("Withdrawal charge",C787)),"Fees",IF(ISNUMBER(SEARCH("Customer Withdrawal",C787)),"Fees",IF(ISNUMBER(SEARCH("charge",C787)),"Fees","Other")))))))))))))))))))))))))</f>
        <v>Bundles</v>
      </c>
      <c r="R787" s="1" t="str">
        <f aca="false">TEXT(B787,"MMM YYYY")</f>
        <v>Apr 2026</v>
      </c>
    </row>
    <row r="788" customFormat="false" ht="13.8" hidden="false" customHeight="false" outlineLevel="0" collapsed="false">
      <c r="A788" s="4" t="s">
        <v>1645</v>
      </c>
      <c r="B788" s="4" t="s">
        <v>1646</v>
      </c>
      <c r="C788" s="4" t="s">
        <v>29</v>
      </c>
      <c r="D788" s="4" t="s">
        <v>18</v>
      </c>
      <c r="E788" s="4"/>
      <c r="F788" s="4" t="n">
        <v>10</v>
      </c>
      <c r="G788" s="4" t="n">
        <v>91.78</v>
      </c>
      <c r="L788" s="1" t="str">
        <f aca="false">IF(ISNUMBER(SEARCH("Bundle",C788)),"Bundles",IF(ISNUMBER(SEARCH("Airtime",C788)),"Bundles",IF(ISNUMBER(SEARCH("Merchant",C788)),"Merchant Payment",IF(ISNUMBER(SEARCH("Offnet C2B",C788)),"Merchant Payment",IF(ISNUMBER(SEARCH("Offnet B2C",C788)),"Merchant Payment",IF(ISNUMBER(SEARCH("Customer Payment to Small",C788)),"Merchant Payment",IF(ISNUMBER(SEARCH("Payment to Small Business",C788)),"Merchant Payment",IF(ISNUMBER(SEARCH("Sent to",C788)),"Sent to Person",IF(ISNUMBER(SEARCH("Customer Transfer to",C788)),"Sent to Person",IF(ISNUMBER(SEARCH("Business Payment",C788)),"Money In",IF(ISNUMBER(SEARCH("Funds Received",C788)),"Money In",IF(ISNUMBER(SEARCH("Receive International",C788)),"Money In",IF(ISNUMBER(SEARCH("Send Money Reversal",C788)),"Money In",IF(ISNUMBER(SEARCH("Pay Utility Reversal",C788)),"Money In",IF(ISNUMBER(SEARCH("Customer Transfer",C788)),"Money In",IF(ISNUMBER(SEARCH("Ziidi",C788)),"Investment",IF(ISNUMBER(SEARCH("Nabo",C788)),"Investment",IF(ISNUMBER(SEARCH("Paybill Online",C788)),"Pay Bill",IF(ISNUMBER(SEARCH("Pay Bill",C788)),"Pay Bill",IF(ISNUMBER(SEARCH("Spotify",C788)),"Pay Bill",IF(ISNUMBER(SEARCH("M-Shwari",C788)),"Mshwari",IF(ISNUMBER(SEARCH("Mshwari",C788)),"Mshwari",IF(ISNUMBER(SEARCH("Withdrawal charge",C788)),"Fees",IF(ISNUMBER(SEARCH("Customer Withdrawal",C788)),"Fees",IF(ISNUMBER(SEARCH("charge",C788)),"Fees","Other")))))))))))))))))))))))))</f>
        <v>Bundles</v>
      </c>
      <c r="R788" s="1" t="str">
        <f aca="false">TEXT(B788,"MMM YYYY")</f>
        <v>Apr 2026</v>
      </c>
    </row>
    <row r="789" customFormat="false" ht="13.8" hidden="false" customHeight="false" outlineLevel="0" collapsed="false">
      <c r="A789" s="4" t="s">
        <v>1647</v>
      </c>
      <c r="B789" s="4" t="s">
        <v>1648</v>
      </c>
      <c r="C789" s="4" t="s">
        <v>192</v>
      </c>
      <c r="D789" s="4" t="s">
        <v>18</v>
      </c>
      <c r="E789" s="4" t="n">
        <v>300</v>
      </c>
      <c r="F789" s="4"/>
      <c r="G789" s="4" t="n">
        <v>391.78</v>
      </c>
      <c r="L789" s="1" t="str">
        <f aca="false">IF(ISNUMBER(SEARCH("Bundle",C789)),"Bundles",IF(ISNUMBER(SEARCH("Airtime",C789)),"Bundles",IF(ISNUMBER(SEARCH("Merchant",C789)),"Merchant Payment",IF(ISNUMBER(SEARCH("Offnet C2B",C789)),"Merchant Payment",IF(ISNUMBER(SEARCH("Offnet B2C",C789)),"Merchant Payment",IF(ISNUMBER(SEARCH("Customer Payment to Small",C789)),"Merchant Payment",IF(ISNUMBER(SEARCH("Payment to Small Business",C789)),"Merchant Payment",IF(ISNUMBER(SEARCH("Sent to",C789)),"Sent to Person",IF(ISNUMBER(SEARCH("Customer Transfer to",C789)),"Sent to Person",IF(ISNUMBER(SEARCH("Business Payment",C789)),"Money In",IF(ISNUMBER(SEARCH("Funds Received",C789)),"Money In",IF(ISNUMBER(SEARCH("Receive International",C789)),"Money In",IF(ISNUMBER(SEARCH("Send Money Reversal",C789)),"Money In",IF(ISNUMBER(SEARCH("Pay Utility Reversal",C789)),"Money In",IF(ISNUMBER(SEARCH("Customer Transfer",C789)),"Money In",IF(ISNUMBER(SEARCH("Ziidi",C789)),"Investment",IF(ISNUMBER(SEARCH("Nabo",C789)),"Investment",IF(ISNUMBER(SEARCH("Paybill Online",C789)),"Pay Bill",IF(ISNUMBER(SEARCH("Pay Bill",C789)),"Pay Bill",IF(ISNUMBER(SEARCH("Spotify",C789)),"Pay Bill",IF(ISNUMBER(SEARCH("M-Shwari",C789)),"Mshwari",IF(ISNUMBER(SEARCH("Mshwari",C789)),"Mshwari",IF(ISNUMBER(SEARCH("Withdrawal charge",C789)),"Fees",IF(ISNUMBER(SEARCH("Customer Withdrawal",C789)),"Fees",IF(ISNUMBER(SEARCH("charge",C789)),"Fees","Other")))))))))))))))))))))))))</f>
        <v>Mshwari</v>
      </c>
      <c r="R789" s="1" t="str">
        <f aca="false">TEXT(B789,"MMM YYYY")</f>
        <v>Apr 2026</v>
      </c>
    </row>
    <row r="790" customFormat="false" ht="13.8" hidden="false" customHeight="false" outlineLevel="0" collapsed="false">
      <c r="A790" s="4" t="s">
        <v>1649</v>
      </c>
      <c r="B790" s="4" t="s">
        <v>1650</v>
      </c>
      <c r="C790" s="4" t="s">
        <v>1598</v>
      </c>
      <c r="D790" s="4" t="s">
        <v>18</v>
      </c>
      <c r="E790" s="4"/>
      <c r="F790" s="4" t="n">
        <v>50</v>
      </c>
      <c r="G790" s="4" t="n">
        <v>341.78</v>
      </c>
      <c r="L790" s="1" t="str">
        <f aca="false">IF(ISNUMBER(SEARCH("Bundle",C790)),"Bundles",IF(ISNUMBER(SEARCH("Airtime",C790)),"Bundles",IF(ISNUMBER(SEARCH("Merchant",C790)),"Merchant Payment",IF(ISNUMBER(SEARCH("Offnet C2B",C790)),"Merchant Payment",IF(ISNUMBER(SEARCH("Offnet B2C",C790)),"Merchant Payment",IF(ISNUMBER(SEARCH("Customer Payment to Small",C790)),"Merchant Payment",IF(ISNUMBER(SEARCH("Payment to Small Business",C790)),"Merchant Payment",IF(ISNUMBER(SEARCH("Sent to",C790)),"Sent to Person",IF(ISNUMBER(SEARCH("Customer Transfer to",C790)),"Sent to Person",IF(ISNUMBER(SEARCH("Business Payment",C790)),"Money In",IF(ISNUMBER(SEARCH("Funds Received",C790)),"Money In",IF(ISNUMBER(SEARCH("Receive International",C790)),"Money In",IF(ISNUMBER(SEARCH("Send Money Reversal",C790)),"Money In",IF(ISNUMBER(SEARCH("Pay Utility Reversal",C790)),"Money In",IF(ISNUMBER(SEARCH("Customer Transfer",C790)),"Money In",IF(ISNUMBER(SEARCH("Ziidi",C790)),"Investment",IF(ISNUMBER(SEARCH("Nabo",C790)),"Investment",IF(ISNUMBER(SEARCH("Paybill Online",C790)),"Pay Bill",IF(ISNUMBER(SEARCH("Pay Bill",C790)),"Pay Bill",IF(ISNUMBER(SEARCH("Spotify",C790)),"Pay Bill",IF(ISNUMBER(SEARCH("M-Shwari",C790)),"Mshwari",IF(ISNUMBER(SEARCH("Mshwari",C790)),"Mshwari",IF(ISNUMBER(SEARCH("Withdrawal charge",C790)),"Fees",IF(ISNUMBER(SEARCH("Customer Withdrawal",C790)),"Fees",IF(ISNUMBER(SEARCH("charge",C790)),"Fees","Other")))))))))))))))))))))))))</f>
        <v>Merchant Payment</v>
      </c>
      <c r="R790" s="1" t="str">
        <f aca="false">TEXT(B790,"MMM YYYY")</f>
        <v>Apr 2026</v>
      </c>
    </row>
    <row r="791" customFormat="false" ht="13.8" hidden="false" customHeight="false" outlineLevel="0" collapsed="false">
      <c r="A791" s="4" t="s">
        <v>1651</v>
      </c>
      <c r="B791" s="4" t="s">
        <v>1652</v>
      </c>
      <c r="C791" s="4" t="s">
        <v>1073</v>
      </c>
      <c r="D791" s="4" t="s">
        <v>18</v>
      </c>
      <c r="E791" s="4"/>
      <c r="F791" s="4" t="n">
        <v>40</v>
      </c>
      <c r="G791" s="4" t="n">
        <v>301.78</v>
      </c>
      <c r="L791" s="1" t="str">
        <f aca="false">IF(ISNUMBER(SEARCH("Bundle",C791)),"Bundles",IF(ISNUMBER(SEARCH("Airtime",C791)),"Bundles",IF(ISNUMBER(SEARCH("Merchant",C791)),"Merchant Payment",IF(ISNUMBER(SEARCH("Offnet C2B",C791)),"Merchant Payment",IF(ISNUMBER(SEARCH("Offnet B2C",C791)),"Merchant Payment",IF(ISNUMBER(SEARCH("Customer Payment to Small",C791)),"Merchant Payment",IF(ISNUMBER(SEARCH("Payment to Small Business",C791)),"Merchant Payment",IF(ISNUMBER(SEARCH("Sent to",C791)),"Sent to Person",IF(ISNUMBER(SEARCH("Customer Transfer to",C791)),"Sent to Person",IF(ISNUMBER(SEARCH("Business Payment",C791)),"Money In",IF(ISNUMBER(SEARCH("Funds Received",C791)),"Money In",IF(ISNUMBER(SEARCH("Receive International",C791)),"Money In",IF(ISNUMBER(SEARCH("Send Money Reversal",C791)),"Money In",IF(ISNUMBER(SEARCH("Pay Utility Reversal",C791)),"Money In",IF(ISNUMBER(SEARCH("Customer Transfer",C791)),"Money In",IF(ISNUMBER(SEARCH("Ziidi",C791)),"Investment",IF(ISNUMBER(SEARCH("Nabo",C791)),"Investment",IF(ISNUMBER(SEARCH("Paybill Online",C791)),"Pay Bill",IF(ISNUMBER(SEARCH("Pay Bill",C791)),"Pay Bill",IF(ISNUMBER(SEARCH("Spotify",C791)),"Pay Bill",IF(ISNUMBER(SEARCH("M-Shwari",C791)),"Mshwari",IF(ISNUMBER(SEARCH("Mshwari",C791)),"Mshwari",IF(ISNUMBER(SEARCH("Withdrawal charge",C791)),"Fees",IF(ISNUMBER(SEARCH("Customer Withdrawal",C791)),"Fees",IF(ISNUMBER(SEARCH("charge",C791)),"Fees","Other")))))))))))))))))))))))))</f>
        <v>Merchant Payment</v>
      </c>
      <c r="R791" s="1" t="str">
        <f aca="false">TEXT(B791,"MMM YYYY")</f>
        <v>Apr 2026</v>
      </c>
    </row>
    <row r="792" customFormat="false" ht="13.8" hidden="false" customHeight="false" outlineLevel="0" collapsed="false">
      <c r="A792" s="4" t="s">
        <v>1653</v>
      </c>
      <c r="B792" s="4" t="s">
        <v>1654</v>
      </c>
      <c r="C792" s="4" t="s">
        <v>1583</v>
      </c>
      <c r="D792" s="4" t="s">
        <v>18</v>
      </c>
      <c r="E792" s="4"/>
      <c r="F792" s="4" t="n">
        <v>50</v>
      </c>
      <c r="G792" s="4" t="n">
        <v>251.78</v>
      </c>
      <c r="L792" s="1" t="str">
        <f aca="false">IF(ISNUMBER(SEARCH("Bundle",C792)),"Bundles",IF(ISNUMBER(SEARCH("Airtime",C792)),"Bundles",IF(ISNUMBER(SEARCH("Merchant",C792)),"Merchant Payment",IF(ISNUMBER(SEARCH("Offnet C2B",C792)),"Merchant Payment",IF(ISNUMBER(SEARCH("Offnet B2C",C792)),"Merchant Payment",IF(ISNUMBER(SEARCH("Customer Payment to Small",C792)),"Merchant Payment",IF(ISNUMBER(SEARCH("Payment to Small Business",C792)),"Merchant Payment",IF(ISNUMBER(SEARCH("Sent to",C792)),"Sent to Person",IF(ISNUMBER(SEARCH("Customer Transfer to",C792)),"Sent to Person",IF(ISNUMBER(SEARCH("Business Payment",C792)),"Money In",IF(ISNUMBER(SEARCH("Funds Received",C792)),"Money In",IF(ISNUMBER(SEARCH("Receive International",C792)),"Money In",IF(ISNUMBER(SEARCH("Send Money Reversal",C792)),"Money In",IF(ISNUMBER(SEARCH("Pay Utility Reversal",C792)),"Money In",IF(ISNUMBER(SEARCH("Customer Transfer",C792)),"Money In",IF(ISNUMBER(SEARCH("Ziidi",C792)),"Investment",IF(ISNUMBER(SEARCH("Nabo",C792)),"Investment",IF(ISNUMBER(SEARCH("Paybill Online",C792)),"Pay Bill",IF(ISNUMBER(SEARCH("Pay Bill",C792)),"Pay Bill",IF(ISNUMBER(SEARCH("Spotify",C792)),"Pay Bill",IF(ISNUMBER(SEARCH("M-Shwari",C792)),"Mshwari",IF(ISNUMBER(SEARCH("Mshwari",C792)),"Mshwari",IF(ISNUMBER(SEARCH("Withdrawal charge",C792)),"Fees",IF(ISNUMBER(SEARCH("Customer Withdrawal",C792)),"Fees",IF(ISNUMBER(SEARCH("charge",C792)),"Fees","Other")))))))))))))))))))))))))</f>
        <v>Merchant Payment</v>
      </c>
      <c r="R792" s="1" t="str">
        <f aca="false">TEXT(B792,"MMM YYYY")</f>
        <v>Apr 2026</v>
      </c>
    </row>
    <row r="793" customFormat="false" ht="13.8" hidden="false" customHeight="false" outlineLevel="0" collapsed="false">
      <c r="A793" s="4" t="s">
        <v>1655</v>
      </c>
      <c r="B793" s="4" t="s">
        <v>1656</v>
      </c>
      <c r="C793" s="4" t="s">
        <v>29</v>
      </c>
      <c r="D793" s="4" t="s">
        <v>18</v>
      </c>
      <c r="E793" s="4"/>
      <c r="F793" s="4" t="n">
        <v>20</v>
      </c>
      <c r="G793" s="4" t="n">
        <v>231.78</v>
      </c>
      <c r="L793" s="1" t="str">
        <f aca="false">IF(ISNUMBER(SEARCH("Bundle",C793)),"Bundles",IF(ISNUMBER(SEARCH("Airtime",C793)),"Bundles",IF(ISNUMBER(SEARCH("Merchant",C793)),"Merchant Payment",IF(ISNUMBER(SEARCH("Offnet C2B",C793)),"Merchant Payment",IF(ISNUMBER(SEARCH("Offnet B2C",C793)),"Merchant Payment",IF(ISNUMBER(SEARCH("Customer Payment to Small",C793)),"Merchant Payment",IF(ISNUMBER(SEARCH("Payment to Small Business",C793)),"Merchant Payment",IF(ISNUMBER(SEARCH("Sent to",C793)),"Sent to Person",IF(ISNUMBER(SEARCH("Customer Transfer to",C793)),"Sent to Person",IF(ISNUMBER(SEARCH("Business Payment",C793)),"Money In",IF(ISNUMBER(SEARCH("Funds Received",C793)),"Money In",IF(ISNUMBER(SEARCH("Receive International",C793)),"Money In",IF(ISNUMBER(SEARCH("Send Money Reversal",C793)),"Money In",IF(ISNUMBER(SEARCH("Pay Utility Reversal",C793)),"Money In",IF(ISNUMBER(SEARCH("Customer Transfer",C793)),"Money In",IF(ISNUMBER(SEARCH("Ziidi",C793)),"Investment",IF(ISNUMBER(SEARCH("Nabo",C793)),"Investment",IF(ISNUMBER(SEARCH("Paybill Online",C793)),"Pay Bill",IF(ISNUMBER(SEARCH("Pay Bill",C793)),"Pay Bill",IF(ISNUMBER(SEARCH("Spotify",C793)),"Pay Bill",IF(ISNUMBER(SEARCH("M-Shwari",C793)),"Mshwari",IF(ISNUMBER(SEARCH("Mshwari",C793)),"Mshwari",IF(ISNUMBER(SEARCH("Withdrawal charge",C793)),"Fees",IF(ISNUMBER(SEARCH("Customer Withdrawal",C793)),"Fees",IF(ISNUMBER(SEARCH("charge",C793)),"Fees","Other")))))))))))))))))))))))))</f>
        <v>Bundles</v>
      </c>
      <c r="R793" s="1" t="str">
        <f aca="false">TEXT(B793,"MMM YYYY")</f>
        <v>Apr 2026</v>
      </c>
    </row>
    <row r="794" customFormat="false" ht="13.8" hidden="false" customHeight="false" outlineLevel="0" collapsed="false">
      <c r="A794" s="4" t="s">
        <v>1657</v>
      </c>
      <c r="B794" s="4" t="s">
        <v>1658</v>
      </c>
      <c r="C794" s="4" t="s">
        <v>29</v>
      </c>
      <c r="D794" s="4" t="s">
        <v>18</v>
      </c>
      <c r="E794" s="4"/>
      <c r="F794" s="4" t="n">
        <v>10</v>
      </c>
      <c r="G794" s="4" t="n">
        <v>221.78</v>
      </c>
      <c r="L794" s="1" t="str">
        <f aca="false">IF(ISNUMBER(SEARCH("Bundle",C794)),"Bundles",IF(ISNUMBER(SEARCH("Airtime",C794)),"Bundles",IF(ISNUMBER(SEARCH("Merchant",C794)),"Merchant Payment",IF(ISNUMBER(SEARCH("Offnet C2B",C794)),"Merchant Payment",IF(ISNUMBER(SEARCH("Offnet B2C",C794)),"Merchant Payment",IF(ISNUMBER(SEARCH("Customer Payment to Small",C794)),"Merchant Payment",IF(ISNUMBER(SEARCH("Payment to Small Business",C794)),"Merchant Payment",IF(ISNUMBER(SEARCH("Sent to",C794)),"Sent to Person",IF(ISNUMBER(SEARCH("Customer Transfer to",C794)),"Sent to Person",IF(ISNUMBER(SEARCH("Business Payment",C794)),"Money In",IF(ISNUMBER(SEARCH("Funds Received",C794)),"Money In",IF(ISNUMBER(SEARCH("Receive International",C794)),"Money In",IF(ISNUMBER(SEARCH("Send Money Reversal",C794)),"Money In",IF(ISNUMBER(SEARCH("Pay Utility Reversal",C794)),"Money In",IF(ISNUMBER(SEARCH("Customer Transfer",C794)),"Money In",IF(ISNUMBER(SEARCH("Ziidi",C794)),"Investment",IF(ISNUMBER(SEARCH("Nabo",C794)),"Investment",IF(ISNUMBER(SEARCH("Paybill Online",C794)),"Pay Bill",IF(ISNUMBER(SEARCH("Pay Bill",C794)),"Pay Bill",IF(ISNUMBER(SEARCH("Spotify",C794)),"Pay Bill",IF(ISNUMBER(SEARCH("M-Shwari",C794)),"Mshwari",IF(ISNUMBER(SEARCH("Mshwari",C794)),"Mshwari",IF(ISNUMBER(SEARCH("Withdrawal charge",C794)),"Fees",IF(ISNUMBER(SEARCH("Customer Withdrawal",C794)),"Fees",IF(ISNUMBER(SEARCH("charge",C794)),"Fees","Other")))))))))))))))))))))))))</f>
        <v>Bundles</v>
      </c>
      <c r="R794" s="1" t="str">
        <f aca="false">TEXT(B794,"MMM YYYY")</f>
        <v>Apr 2026</v>
      </c>
    </row>
    <row r="795" customFormat="false" ht="13.8" hidden="false" customHeight="false" outlineLevel="0" collapsed="false">
      <c r="A795" s="4" t="s">
        <v>1659</v>
      </c>
      <c r="B795" s="4" t="s">
        <v>1660</v>
      </c>
      <c r="C795" s="4" t="s">
        <v>1376</v>
      </c>
      <c r="D795" s="4" t="s">
        <v>18</v>
      </c>
      <c r="E795" s="4"/>
      <c r="F795" s="4" t="n">
        <v>10</v>
      </c>
      <c r="G795" s="4" t="n">
        <v>211.78</v>
      </c>
      <c r="L795" s="1" t="str">
        <f aca="false">IF(ISNUMBER(SEARCH("Bundle",C795)),"Bundles",IF(ISNUMBER(SEARCH("Airtime",C795)),"Bundles",IF(ISNUMBER(SEARCH("Merchant",C795)),"Merchant Payment",IF(ISNUMBER(SEARCH("Offnet C2B",C795)),"Merchant Payment",IF(ISNUMBER(SEARCH("Offnet B2C",C795)),"Merchant Payment",IF(ISNUMBER(SEARCH("Customer Payment to Small",C795)),"Merchant Payment",IF(ISNUMBER(SEARCH("Payment to Small Business",C795)),"Merchant Payment",IF(ISNUMBER(SEARCH("Sent to",C795)),"Sent to Person",IF(ISNUMBER(SEARCH("Customer Transfer to",C795)),"Sent to Person",IF(ISNUMBER(SEARCH("Business Payment",C795)),"Money In",IF(ISNUMBER(SEARCH("Funds Received",C795)),"Money In",IF(ISNUMBER(SEARCH("Receive International",C795)),"Money In",IF(ISNUMBER(SEARCH("Send Money Reversal",C795)),"Money In",IF(ISNUMBER(SEARCH("Pay Utility Reversal",C795)),"Money In",IF(ISNUMBER(SEARCH("Customer Transfer",C795)),"Money In",IF(ISNUMBER(SEARCH("Ziidi",C795)),"Investment",IF(ISNUMBER(SEARCH("Nabo",C795)),"Investment",IF(ISNUMBER(SEARCH("Paybill Online",C795)),"Pay Bill",IF(ISNUMBER(SEARCH("Pay Bill",C795)),"Pay Bill",IF(ISNUMBER(SEARCH("Spotify",C795)),"Pay Bill",IF(ISNUMBER(SEARCH("M-Shwari",C795)),"Mshwari",IF(ISNUMBER(SEARCH("Mshwari",C795)),"Mshwari",IF(ISNUMBER(SEARCH("Withdrawal charge",C795)),"Fees",IF(ISNUMBER(SEARCH("Customer Withdrawal",C795)),"Fees",IF(ISNUMBER(SEARCH("charge",C795)),"Fees","Other")))))))))))))))))))))))))</f>
        <v>Merchant Payment</v>
      </c>
      <c r="R795" s="1" t="str">
        <f aca="false">TEXT(B795,"MMM YYYY")</f>
        <v>Apr 2026</v>
      </c>
    </row>
    <row r="796" customFormat="false" ht="13.8" hidden="false" customHeight="false" outlineLevel="0" collapsed="false">
      <c r="A796" s="4" t="s">
        <v>1661</v>
      </c>
      <c r="B796" s="4" t="s">
        <v>1662</v>
      </c>
      <c r="C796" s="4" t="s">
        <v>1663</v>
      </c>
      <c r="D796" s="4" t="s">
        <v>18</v>
      </c>
      <c r="E796" s="4"/>
      <c r="F796" s="4" t="n">
        <v>10</v>
      </c>
      <c r="G796" s="4" t="n">
        <v>201.78</v>
      </c>
      <c r="L796" s="1" t="str">
        <f aca="false">IF(ISNUMBER(SEARCH("Bundle",C796)),"Bundles",IF(ISNUMBER(SEARCH("Airtime",C796)),"Bundles",IF(ISNUMBER(SEARCH("Merchant",C796)),"Merchant Payment",IF(ISNUMBER(SEARCH("Offnet C2B",C796)),"Merchant Payment",IF(ISNUMBER(SEARCH("Offnet B2C",C796)),"Merchant Payment",IF(ISNUMBER(SEARCH("Customer Payment to Small",C796)),"Merchant Payment",IF(ISNUMBER(SEARCH("Payment to Small Business",C796)),"Merchant Payment",IF(ISNUMBER(SEARCH("Sent to",C796)),"Sent to Person",IF(ISNUMBER(SEARCH("Customer Transfer to",C796)),"Sent to Person",IF(ISNUMBER(SEARCH("Business Payment",C796)),"Money In",IF(ISNUMBER(SEARCH("Funds Received",C796)),"Money In",IF(ISNUMBER(SEARCH("Receive International",C796)),"Money In",IF(ISNUMBER(SEARCH("Send Money Reversal",C796)),"Money In",IF(ISNUMBER(SEARCH("Pay Utility Reversal",C796)),"Money In",IF(ISNUMBER(SEARCH("Customer Transfer",C796)),"Money In",IF(ISNUMBER(SEARCH("Ziidi",C796)),"Investment",IF(ISNUMBER(SEARCH("Nabo",C796)),"Investment",IF(ISNUMBER(SEARCH("Paybill Online",C796)),"Pay Bill",IF(ISNUMBER(SEARCH("Pay Bill",C796)),"Pay Bill",IF(ISNUMBER(SEARCH("Spotify",C796)),"Pay Bill",IF(ISNUMBER(SEARCH("M-Shwari",C796)),"Mshwari",IF(ISNUMBER(SEARCH("Mshwari",C796)),"Mshwari",IF(ISNUMBER(SEARCH("Withdrawal charge",C796)),"Fees",IF(ISNUMBER(SEARCH("Customer Withdrawal",C796)),"Fees",IF(ISNUMBER(SEARCH("charge",C796)),"Fees","Other")))))))))))))))))))))))))</f>
        <v>Merchant Payment</v>
      </c>
      <c r="R796" s="1" t="str">
        <f aca="false">TEXT(B796,"MMM YYYY")</f>
        <v>Apr 2026</v>
      </c>
    </row>
    <row r="797" customFormat="false" ht="13.8" hidden="false" customHeight="false" outlineLevel="0" collapsed="false">
      <c r="A797" s="4" t="s">
        <v>1664</v>
      </c>
      <c r="B797" s="4" t="s">
        <v>1665</v>
      </c>
      <c r="C797" s="4" t="s">
        <v>29</v>
      </c>
      <c r="D797" s="4" t="s">
        <v>18</v>
      </c>
      <c r="E797" s="4"/>
      <c r="F797" s="4" t="n">
        <v>10</v>
      </c>
      <c r="G797" s="4" t="n">
        <v>191.78</v>
      </c>
      <c r="L797" s="1" t="str">
        <f aca="false">IF(ISNUMBER(SEARCH("Bundle",C797)),"Bundles",IF(ISNUMBER(SEARCH("Airtime",C797)),"Bundles",IF(ISNUMBER(SEARCH("Merchant",C797)),"Merchant Payment",IF(ISNUMBER(SEARCH("Offnet C2B",C797)),"Merchant Payment",IF(ISNUMBER(SEARCH("Offnet B2C",C797)),"Merchant Payment",IF(ISNUMBER(SEARCH("Customer Payment to Small",C797)),"Merchant Payment",IF(ISNUMBER(SEARCH("Payment to Small Business",C797)),"Merchant Payment",IF(ISNUMBER(SEARCH("Sent to",C797)),"Sent to Person",IF(ISNUMBER(SEARCH("Customer Transfer to",C797)),"Sent to Person",IF(ISNUMBER(SEARCH("Business Payment",C797)),"Money In",IF(ISNUMBER(SEARCH("Funds Received",C797)),"Money In",IF(ISNUMBER(SEARCH("Receive International",C797)),"Money In",IF(ISNUMBER(SEARCH("Send Money Reversal",C797)),"Money In",IF(ISNUMBER(SEARCH("Pay Utility Reversal",C797)),"Money In",IF(ISNUMBER(SEARCH("Customer Transfer",C797)),"Money In",IF(ISNUMBER(SEARCH("Ziidi",C797)),"Investment",IF(ISNUMBER(SEARCH("Nabo",C797)),"Investment",IF(ISNUMBER(SEARCH("Paybill Online",C797)),"Pay Bill",IF(ISNUMBER(SEARCH("Pay Bill",C797)),"Pay Bill",IF(ISNUMBER(SEARCH("Spotify",C797)),"Pay Bill",IF(ISNUMBER(SEARCH("M-Shwari",C797)),"Mshwari",IF(ISNUMBER(SEARCH("Mshwari",C797)),"Mshwari",IF(ISNUMBER(SEARCH("Withdrawal charge",C797)),"Fees",IF(ISNUMBER(SEARCH("Customer Withdrawal",C797)),"Fees",IF(ISNUMBER(SEARCH("charge",C797)),"Fees","Other")))))))))))))))))))))))))</f>
        <v>Bundles</v>
      </c>
      <c r="R797" s="1" t="str">
        <f aca="false">TEXT(B797,"MMM YYYY")</f>
        <v>Apr 2026</v>
      </c>
    </row>
    <row r="798" customFormat="false" ht="13.8" hidden="false" customHeight="false" outlineLevel="0" collapsed="false">
      <c r="A798" s="4" t="s">
        <v>1666</v>
      </c>
      <c r="B798" s="4" t="s">
        <v>1667</v>
      </c>
      <c r="C798" s="4" t="s">
        <v>243</v>
      </c>
      <c r="D798" s="4" t="s">
        <v>18</v>
      </c>
      <c r="E798" s="4"/>
      <c r="F798" s="4" t="n">
        <v>70</v>
      </c>
      <c r="G798" s="4" t="n">
        <v>121.78</v>
      </c>
      <c r="L798" s="1" t="str">
        <f aca="false">IF(ISNUMBER(SEARCH("Bundle",C798)),"Bundles",IF(ISNUMBER(SEARCH("Airtime",C798)),"Bundles",IF(ISNUMBER(SEARCH("Merchant",C798)),"Merchant Payment",IF(ISNUMBER(SEARCH("Offnet C2B",C798)),"Merchant Payment",IF(ISNUMBER(SEARCH("Offnet B2C",C798)),"Merchant Payment",IF(ISNUMBER(SEARCH("Customer Payment to Small",C798)),"Merchant Payment",IF(ISNUMBER(SEARCH("Payment to Small Business",C798)),"Merchant Payment",IF(ISNUMBER(SEARCH("Sent to",C798)),"Sent to Person",IF(ISNUMBER(SEARCH("Customer Transfer to",C798)),"Sent to Person",IF(ISNUMBER(SEARCH("Business Payment",C798)),"Money In",IF(ISNUMBER(SEARCH("Funds Received",C798)),"Money In",IF(ISNUMBER(SEARCH("Receive International",C798)),"Money In",IF(ISNUMBER(SEARCH("Send Money Reversal",C798)),"Money In",IF(ISNUMBER(SEARCH("Pay Utility Reversal",C798)),"Money In",IF(ISNUMBER(SEARCH("Customer Transfer",C798)),"Money In",IF(ISNUMBER(SEARCH("Ziidi",C798)),"Investment",IF(ISNUMBER(SEARCH("Nabo",C798)),"Investment",IF(ISNUMBER(SEARCH("Paybill Online",C798)),"Pay Bill",IF(ISNUMBER(SEARCH("Pay Bill",C798)),"Pay Bill",IF(ISNUMBER(SEARCH("Spotify",C798)),"Pay Bill",IF(ISNUMBER(SEARCH("M-Shwari",C798)),"Mshwari",IF(ISNUMBER(SEARCH("Mshwari",C798)),"Mshwari",IF(ISNUMBER(SEARCH("Withdrawal charge",C798)),"Fees",IF(ISNUMBER(SEARCH("Customer Withdrawal",C798)),"Fees",IF(ISNUMBER(SEARCH("charge",C798)),"Fees","Other")))))))))))))))))))))))))</f>
        <v>Merchant Payment</v>
      </c>
      <c r="R798" s="1" t="str">
        <f aca="false">TEXT(B798,"MMM YYYY")</f>
        <v>Apr 2026</v>
      </c>
    </row>
    <row r="799" customFormat="false" ht="13.8" hidden="false" customHeight="false" outlineLevel="0" collapsed="false">
      <c r="A799" s="4" t="s">
        <v>1668</v>
      </c>
      <c r="B799" s="4" t="s">
        <v>1669</v>
      </c>
      <c r="C799" s="4" t="s">
        <v>1670</v>
      </c>
      <c r="D799" s="4" t="s">
        <v>18</v>
      </c>
      <c r="E799" s="4"/>
      <c r="F799" s="4" t="n">
        <v>50</v>
      </c>
      <c r="G799" s="4" t="n">
        <v>71.78</v>
      </c>
      <c r="L799" s="1" t="str">
        <f aca="false">IF(ISNUMBER(SEARCH("Bundle",C799)),"Bundles",IF(ISNUMBER(SEARCH("Airtime",C799)),"Bundles",IF(ISNUMBER(SEARCH("Merchant",C799)),"Merchant Payment",IF(ISNUMBER(SEARCH("Offnet C2B",C799)),"Merchant Payment",IF(ISNUMBER(SEARCH("Offnet B2C",C799)),"Merchant Payment",IF(ISNUMBER(SEARCH("Customer Payment to Small",C799)),"Merchant Payment",IF(ISNUMBER(SEARCH("Payment to Small Business",C799)),"Merchant Payment",IF(ISNUMBER(SEARCH("Sent to",C799)),"Sent to Person",IF(ISNUMBER(SEARCH("Customer Transfer to",C799)),"Sent to Person",IF(ISNUMBER(SEARCH("Business Payment",C799)),"Money In",IF(ISNUMBER(SEARCH("Funds Received",C799)),"Money In",IF(ISNUMBER(SEARCH("Receive International",C799)),"Money In",IF(ISNUMBER(SEARCH("Send Money Reversal",C799)),"Money In",IF(ISNUMBER(SEARCH("Pay Utility Reversal",C799)),"Money In",IF(ISNUMBER(SEARCH("Customer Transfer",C799)),"Money In",IF(ISNUMBER(SEARCH("Ziidi",C799)),"Investment",IF(ISNUMBER(SEARCH("Nabo",C799)),"Investment",IF(ISNUMBER(SEARCH("Paybill Online",C799)),"Pay Bill",IF(ISNUMBER(SEARCH("Pay Bill",C799)),"Pay Bill",IF(ISNUMBER(SEARCH("Spotify",C799)),"Pay Bill",IF(ISNUMBER(SEARCH("M-Shwari",C799)),"Mshwari",IF(ISNUMBER(SEARCH("Mshwari",C799)),"Mshwari",IF(ISNUMBER(SEARCH("Withdrawal charge",C799)),"Fees",IF(ISNUMBER(SEARCH("Customer Withdrawal",C799)),"Fees",IF(ISNUMBER(SEARCH("charge",C799)),"Fees","Other")))))))))))))))))))))))))</f>
        <v>Merchant Payment</v>
      </c>
      <c r="R799" s="1" t="str">
        <f aca="false">TEXT(B799,"MMM YYYY")</f>
        <v>Apr 2026</v>
      </c>
    </row>
    <row r="800" customFormat="false" ht="13.8" hidden="false" customHeight="false" outlineLevel="0" collapsed="false">
      <c r="A800" s="4" t="s">
        <v>1671</v>
      </c>
      <c r="B800" s="4" t="s">
        <v>1672</v>
      </c>
      <c r="C800" s="4" t="s">
        <v>29</v>
      </c>
      <c r="D800" s="4" t="s">
        <v>18</v>
      </c>
      <c r="E800" s="4"/>
      <c r="F800" s="4" t="n">
        <v>20</v>
      </c>
      <c r="G800" s="4" t="n">
        <v>51.78</v>
      </c>
      <c r="L800" s="1" t="str">
        <f aca="false">IF(ISNUMBER(SEARCH("Bundle",C800)),"Bundles",IF(ISNUMBER(SEARCH("Airtime",C800)),"Bundles",IF(ISNUMBER(SEARCH("Merchant",C800)),"Merchant Payment",IF(ISNUMBER(SEARCH("Offnet C2B",C800)),"Merchant Payment",IF(ISNUMBER(SEARCH("Offnet B2C",C800)),"Merchant Payment",IF(ISNUMBER(SEARCH("Customer Payment to Small",C800)),"Merchant Payment",IF(ISNUMBER(SEARCH("Payment to Small Business",C800)),"Merchant Payment",IF(ISNUMBER(SEARCH("Sent to",C800)),"Sent to Person",IF(ISNUMBER(SEARCH("Customer Transfer to",C800)),"Sent to Person",IF(ISNUMBER(SEARCH("Business Payment",C800)),"Money In",IF(ISNUMBER(SEARCH("Funds Received",C800)),"Money In",IF(ISNUMBER(SEARCH("Receive International",C800)),"Money In",IF(ISNUMBER(SEARCH("Send Money Reversal",C800)),"Money In",IF(ISNUMBER(SEARCH("Pay Utility Reversal",C800)),"Money In",IF(ISNUMBER(SEARCH("Customer Transfer",C800)),"Money In",IF(ISNUMBER(SEARCH("Ziidi",C800)),"Investment",IF(ISNUMBER(SEARCH("Nabo",C800)),"Investment",IF(ISNUMBER(SEARCH("Paybill Online",C800)),"Pay Bill",IF(ISNUMBER(SEARCH("Pay Bill",C800)),"Pay Bill",IF(ISNUMBER(SEARCH("Spotify",C800)),"Pay Bill",IF(ISNUMBER(SEARCH("M-Shwari",C800)),"Mshwari",IF(ISNUMBER(SEARCH("Mshwari",C800)),"Mshwari",IF(ISNUMBER(SEARCH("Withdrawal charge",C800)),"Fees",IF(ISNUMBER(SEARCH("Customer Withdrawal",C800)),"Fees",IF(ISNUMBER(SEARCH("charge",C800)),"Fees","Other")))))))))))))))))))))))))</f>
        <v>Bundles</v>
      </c>
      <c r="R800" s="1" t="str">
        <f aca="false">TEXT(B800,"MMM YYYY")</f>
        <v>Apr 2026</v>
      </c>
    </row>
    <row r="801" customFormat="false" ht="13.8" hidden="false" customHeight="false" outlineLevel="0" collapsed="false">
      <c r="A801" s="4" t="s">
        <v>1673</v>
      </c>
      <c r="B801" s="4" t="s">
        <v>1674</v>
      </c>
      <c r="C801" s="4" t="s">
        <v>29</v>
      </c>
      <c r="D801" s="4" t="s">
        <v>18</v>
      </c>
      <c r="E801" s="4"/>
      <c r="F801" s="4" t="n">
        <v>20</v>
      </c>
      <c r="G801" s="4" t="n">
        <v>31.78</v>
      </c>
      <c r="L801" s="1" t="str">
        <f aca="false">IF(ISNUMBER(SEARCH("Bundle",C801)),"Bundles",IF(ISNUMBER(SEARCH("Airtime",C801)),"Bundles",IF(ISNUMBER(SEARCH("Merchant",C801)),"Merchant Payment",IF(ISNUMBER(SEARCH("Offnet C2B",C801)),"Merchant Payment",IF(ISNUMBER(SEARCH("Offnet B2C",C801)),"Merchant Payment",IF(ISNUMBER(SEARCH("Customer Payment to Small",C801)),"Merchant Payment",IF(ISNUMBER(SEARCH("Payment to Small Business",C801)),"Merchant Payment",IF(ISNUMBER(SEARCH("Sent to",C801)),"Sent to Person",IF(ISNUMBER(SEARCH("Customer Transfer to",C801)),"Sent to Person",IF(ISNUMBER(SEARCH("Business Payment",C801)),"Money In",IF(ISNUMBER(SEARCH("Funds Received",C801)),"Money In",IF(ISNUMBER(SEARCH("Receive International",C801)),"Money In",IF(ISNUMBER(SEARCH("Send Money Reversal",C801)),"Money In",IF(ISNUMBER(SEARCH("Pay Utility Reversal",C801)),"Money In",IF(ISNUMBER(SEARCH("Customer Transfer",C801)),"Money In",IF(ISNUMBER(SEARCH("Ziidi",C801)),"Investment",IF(ISNUMBER(SEARCH("Nabo",C801)),"Investment",IF(ISNUMBER(SEARCH("Paybill Online",C801)),"Pay Bill",IF(ISNUMBER(SEARCH("Pay Bill",C801)),"Pay Bill",IF(ISNUMBER(SEARCH("Spotify",C801)),"Pay Bill",IF(ISNUMBER(SEARCH("M-Shwari",C801)),"Mshwari",IF(ISNUMBER(SEARCH("Mshwari",C801)),"Mshwari",IF(ISNUMBER(SEARCH("Withdrawal charge",C801)),"Fees",IF(ISNUMBER(SEARCH("Customer Withdrawal",C801)),"Fees",IF(ISNUMBER(SEARCH("charge",C801)),"Fees","Other")))))))))))))))))))))))))</f>
        <v>Bundles</v>
      </c>
      <c r="R801" s="1" t="str">
        <f aca="false">TEXT(B801,"MMM YYYY")</f>
        <v>Apr 2026</v>
      </c>
    </row>
    <row r="802" customFormat="false" ht="13.8" hidden="false" customHeight="false" outlineLevel="0" collapsed="false">
      <c r="A802" s="4" t="s">
        <v>1675</v>
      </c>
      <c r="B802" s="4" t="s">
        <v>1676</v>
      </c>
      <c r="C802" s="4" t="s">
        <v>192</v>
      </c>
      <c r="D802" s="4" t="s">
        <v>18</v>
      </c>
      <c r="E802" s="4" t="n">
        <v>300</v>
      </c>
      <c r="F802" s="4"/>
      <c r="G802" s="4" t="n">
        <v>331.78</v>
      </c>
      <c r="L802" s="1" t="str">
        <f aca="false">IF(ISNUMBER(SEARCH("Bundle",C802)),"Bundles",IF(ISNUMBER(SEARCH("Airtime",C802)),"Bundles",IF(ISNUMBER(SEARCH("Merchant",C802)),"Merchant Payment",IF(ISNUMBER(SEARCH("Offnet C2B",C802)),"Merchant Payment",IF(ISNUMBER(SEARCH("Offnet B2C",C802)),"Merchant Payment",IF(ISNUMBER(SEARCH("Customer Payment to Small",C802)),"Merchant Payment",IF(ISNUMBER(SEARCH("Payment to Small Business",C802)),"Merchant Payment",IF(ISNUMBER(SEARCH("Sent to",C802)),"Sent to Person",IF(ISNUMBER(SEARCH("Customer Transfer to",C802)),"Sent to Person",IF(ISNUMBER(SEARCH("Business Payment",C802)),"Money In",IF(ISNUMBER(SEARCH("Funds Received",C802)),"Money In",IF(ISNUMBER(SEARCH("Receive International",C802)),"Money In",IF(ISNUMBER(SEARCH("Send Money Reversal",C802)),"Money In",IF(ISNUMBER(SEARCH("Pay Utility Reversal",C802)),"Money In",IF(ISNUMBER(SEARCH("Customer Transfer",C802)),"Money In",IF(ISNUMBER(SEARCH("Ziidi",C802)),"Investment",IF(ISNUMBER(SEARCH("Nabo",C802)),"Investment",IF(ISNUMBER(SEARCH("Paybill Online",C802)),"Pay Bill",IF(ISNUMBER(SEARCH("Pay Bill",C802)),"Pay Bill",IF(ISNUMBER(SEARCH("Spotify",C802)),"Pay Bill",IF(ISNUMBER(SEARCH("M-Shwari",C802)),"Mshwari",IF(ISNUMBER(SEARCH("Mshwari",C802)),"Mshwari",IF(ISNUMBER(SEARCH("Withdrawal charge",C802)),"Fees",IF(ISNUMBER(SEARCH("Customer Withdrawal",C802)),"Fees",IF(ISNUMBER(SEARCH("charge",C802)),"Fees","Other")))))))))))))))))))))))))</f>
        <v>Mshwari</v>
      </c>
      <c r="R802" s="1" t="str">
        <f aca="false">TEXT(B802,"MMM YYYY")</f>
        <v>Apr 2026</v>
      </c>
    </row>
    <row r="803" customFormat="false" ht="13.8" hidden="false" customHeight="false" outlineLevel="0" collapsed="false">
      <c r="A803" s="4" t="s">
        <v>1677</v>
      </c>
      <c r="B803" s="4" t="s">
        <v>1678</v>
      </c>
      <c r="C803" s="4" t="s">
        <v>239</v>
      </c>
      <c r="D803" s="4" t="s">
        <v>18</v>
      </c>
      <c r="E803" s="4"/>
      <c r="F803" s="4" t="n">
        <v>7</v>
      </c>
      <c r="G803" s="4" t="n">
        <v>174.78</v>
      </c>
      <c r="L803" s="1" t="str">
        <f aca="false">IF(ISNUMBER(SEARCH("Bundle",C803)),"Bundles",IF(ISNUMBER(SEARCH("Airtime",C803)),"Bundles",IF(ISNUMBER(SEARCH("Merchant",C803)),"Merchant Payment",IF(ISNUMBER(SEARCH("Offnet C2B",C803)),"Merchant Payment",IF(ISNUMBER(SEARCH("Offnet B2C",C803)),"Merchant Payment",IF(ISNUMBER(SEARCH("Customer Payment to Small",C803)),"Merchant Payment",IF(ISNUMBER(SEARCH("Payment to Small Business",C803)),"Merchant Payment",IF(ISNUMBER(SEARCH("Sent to",C803)),"Sent to Person",IF(ISNUMBER(SEARCH("Customer Transfer to",C803)),"Sent to Person",IF(ISNUMBER(SEARCH("Business Payment",C803)),"Money In",IF(ISNUMBER(SEARCH("Funds Received",C803)),"Money In",IF(ISNUMBER(SEARCH("Receive International",C803)),"Money In",IF(ISNUMBER(SEARCH("Send Money Reversal",C803)),"Money In",IF(ISNUMBER(SEARCH("Pay Utility Reversal",C803)),"Money In",IF(ISNUMBER(SEARCH("Customer Transfer",C803)),"Money In",IF(ISNUMBER(SEARCH("Ziidi",C803)),"Investment",IF(ISNUMBER(SEARCH("Nabo",C803)),"Investment",IF(ISNUMBER(SEARCH("Paybill Online",C803)),"Pay Bill",IF(ISNUMBER(SEARCH("Pay Bill",C803)),"Pay Bill",IF(ISNUMBER(SEARCH("Spotify",C803)),"Pay Bill",IF(ISNUMBER(SEARCH("M-Shwari",C803)),"Mshwari",IF(ISNUMBER(SEARCH("Mshwari",C803)),"Mshwari",IF(ISNUMBER(SEARCH("Withdrawal charge",C803)),"Fees",IF(ISNUMBER(SEARCH("Customer Withdrawal",C803)),"Fees",IF(ISNUMBER(SEARCH("charge",C803)),"Fees","Other")))))))))))))))))))))))))</f>
        <v>Money In</v>
      </c>
      <c r="R803" s="1" t="str">
        <f aca="false">TEXT(B803,"MMM YYYY")</f>
        <v>Apr 2026</v>
      </c>
    </row>
    <row r="804" customFormat="false" ht="13.8" hidden="false" customHeight="false" outlineLevel="0" collapsed="false">
      <c r="A804" s="4" t="s">
        <v>1677</v>
      </c>
      <c r="B804" s="4" t="s">
        <v>1678</v>
      </c>
      <c r="C804" s="4" t="s">
        <v>1679</v>
      </c>
      <c r="D804" s="4" t="s">
        <v>18</v>
      </c>
      <c r="E804" s="4"/>
      <c r="F804" s="4" t="n">
        <v>150</v>
      </c>
      <c r="G804" s="4" t="n">
        <v>181.78</v>
      </c>
      <c r="L804" s="1" t="str">
        <f aca="false">IF(ISNUMBER(SEARCH("Bundle",C804)),"Bundles",IF(ISNUMBER(SEARCH("Airtime",C804)),"Bundles",IF(ISNUMBER(SEARCH("Merchant",C804)),"Merchant Payment",IF(ISNUMBER(SEARCH("Offnet C2B",C804)),"Merchant Payment",IF(ISNUMBER(SEARCH("Offnet B2C",C804)),"Merchant Payment",IF(ISNUMBER(SEARCH("Customer Payment to Small",C804)),"Merchant Payment",IF(ISNUMBER(SEARCH("Payment to Small Business",C804)),"Merchant Payment",IF(ISNUMBER(SEARCH("Sent to",C804)),"Sent to Person",IF(ISNUMBER(SEARCH("Customer Transfer to",C804)),"Sent to Person",IF(ISNUMBER(SEARCH("Business Payment",C804)),"Money In",IF(ISNUMBER(SEARCH("Funds Received",C804)),"Money In",IF(ISNUMBER(SEARCH("Receive International",C804)),"Money In",IF(ISNUMBER(SEARCH("Send Money Reversal",C804)),"Money In",IF(ISNUMBER(SEARCH("Pay Utility Reversal",C804)),"Money In",IF(ISNUMBER(SEARCH("Customer Transfer",C804)),"Money In",IF(ISNUMBER(SEARCH("Ziidi",C804)),"Investment",IF(ISNUMBER(SEARCH("Nabo",C804)),"Investment",IF(ISNUMBER(SEARCH("Paybill Online",C804)),"Pay Bill",IF(ISNUMBER(SEARCH("Pay Bill",C804)),"Pay Bill",IF(ISNUMBER(SEARCH("Spotify",C804)),"Pay Bill",IF(ISNUMBER(SEARCH("M-Shwari",C804)),"Mshwari",IF(ISNUMBER(SEARCH("Mshwari",C804)),"Mshwari",IF(ISNUMBER(SEARCH("Withdrawal charge",C804)),"Fees",IF(ISNUMBER(SEARCH("Customer Withdrawal",C804)),"Fees",IF(ISNUMBER(SEARCH("charge",C804)),"Fees","Other")))))))))))))))))))))))))</f>
        <v>Sent to Person</v>
      </c>
      <c r="R804" s="1" t="str">
        <f aca="false">TEXT(B804,"MMM YYYY")</f>
        <v>Apr 2026</v>
      </c>
    </row>
    <row r="805" customFormat="false" ht="13.8" hidden="false" customHeight="false" outlineLevel="0" collapsed="false">
      <c r="A805" s="4" t="s">
        <v>1680</v>
      </c>
      <c r="B805" s="4" t="s">
        <v>1681</v>
      </c>
      <c r="C805" s="4" t="s">
        <v>1073</v>
      </c>
      <c r="D805" s="4" t="s">
        <v>18</v>
      </c>
      <c r="E805" s="4"/>
      <c r="F805" s="4" t="n">
        <v>30</v>
      </c>
      <c r="G805" s="4" t="n">
        <v>144.78</v>
      </c>
      <c r="L805" s="1" t="str">
        <f aca="false">IF(ISNUMBER(SEARCH("Bundle",C805)),"Bundles",IF(ISNUMBER(SEARCH("Airtime",C805)),"Bundles",IF(ISNUMBER(SEARCH("Merchant",C805)),"Merchant Payment",IF(ISNUMBER(SEARCH("Offnet C2B",C805)),"Merchant Payment",IF(ISNUMBER(SEARCH("Offnet B2C",C805)),"Merchant Payment",IF(ISNUMBER(SEARCH("Customer Payment to Small",C805)),"Merchant Payment",IF(ISNUMBER(SEARCH("Payment to Small Business",C805)),"Merchant Payment",IF(ISNUMBER(SEARCH("Sent to",C805)),"Sent to Person",IF(ISNUMBER(SEARCH("Customer Transfer to",C805)),"Sent to Person",IF(ISNUMBER(SEARCH("Business Payment",C805)),"Money In",IF(ISNUMBER(SEARCH("Funds Received",C805)),"Money In",IF(ISNUMBER(SEARCH("Receive International",C805)),"Money In",IF(ISNUMBER(SEARCH("Send Money Reversal",C805)),"Money In",IF(ISNUMBER(SEARCH("Pay Utility Reversal",C805)),"Money In",IF(ISNUMBER(SEARCH("Customer Transfer",C805)),"Money In",IF(ISNUMBER(SEARCH("Ziidi",C805)),"Investment",IF(ISNUMBER(SEARCH("Nabo",C805)),"Investment",IF(ISNUMBER(SEARCH("Paybill Online",C805)),"Pay Bill",IF(ISNUMBER(SEARCH("Pay Bill",C805)),"Pay Bill",IF(ISNUMBER(SEARCH("Spotify",C805)),"Pay Bill",IF(ISNUMBER(SEARCH("M-Shwari",C805)),"Mshwari",IF(ISNUMBER(SEARCH("Mshwari",C805)),"Mshwari",IF(ISNUMBER(SEARCH("Withdrawal charge",C805)),"Fees",IF(ISNUMBER(SEARCH("Customer Withdrawal",C805)),"Fees",IF(ISNUMBER(SEARCH("charge",C805)),"Fees","Other")))))))))))))))))))))))))</f>
        <v>Merchant Payment</v>
      </c>
      <c r="R805" s="1" t="str">
        <f aca="false">TEXT(B805,"MMM YYYY")</f>
        <v>Apr 2026</v>
      </c>
    </row>
    <row r="806" customFormat="false" ht="13.8" hidden="false" customHeight="false" outlineLevel="0" collapsed="false">
      <c r="A806" s="4" t="s">
        <v>1682</v>
      </c>
      <c r="B806" s="4" t="s">
        <v>1683</v>
      </c>
      <c r="C806" s="4" t="s">
        <v>29</v>
      </c>
      <c r="D806" s="4" t="s">
        <v>18</v>
      </c>
      <c r="E806" s="4"/>
      <c r="F806" s="4" t="n">
        <v>10</v>
      </c>
      <c r="G806" s="4" t="n">
        <v>134.78</v>
      </c>
      <c r="L806" s="1" t="str">
        <f aca="false">IF(ISNUMBER(SEARCH("Bundle",C806)),"Bundles",IF(ISNUMBER(SEARCH("Airtime",C806)),"Bundles",IF(ISNUMBER(SEARCH("Merchant",C806)),"Merchant Payment",IF(ISNUMBER(SEARCH("Offnet C2B",C806)),"Merchant Payment",IF(ISNUMBER(SEARCH("Offnet B2C",C806)),"Merchant Payment",IF(ISNUMBER(SEARCH("Customer Payment to Small",C806)),"Merchant Payment",IF(ISNUMBER(SEARCH("Payment to Small Business",C806)),"Merchant Payment",IF(ISNUMBER(SEARCH("Sent to",C806)),"Sent to Person",IF(ISNUMBER(SEARCH("Customer Transfer to",C806)),"Sent to Person",IF(ISNUMBER(SEARCH("Business Payment",C806)),"Money In",IF(ISNUMBER(SEARCH("Funds Received",C806)),"Money In",IF(ISNUMBER(SEARCH("Receive International",C806)),"Money In",IF(ISNUMBER(SEARCH("Send Money Reversal",C806)),"Money In",IF(ISNUMBER(SEARCH("Pay Utility Reversal",C806)),"Money In",IF(ISNUMBER(SEARCH("Customer Transfer",C806)),"Money In",IF(ISNUMBER(SEARCH("Ziidi",C806)),"Investment",IF(ISNUMBER(SEARCH("Nabo",C806)),"Investment",IF(ISNUMBER(SEARCH("Paybill Online",C806)),"Pay Bill",IF(ISNUMBER(SEARCH("Pay Bill",C806)),"Pay Bill",IF(ISNUMBER(SEARCH("Spotify",C806)),"Pay Bill",IF(ISNUMBER(SEARCH("M-Shwari",C806)),"Mshwari",IF(ISNUMBER(SEARCH("Mshwari",C806)),"Mshwari",IF(ISNUMBER(SEARCH("Withdrawal charge",C806)),"Fees",IF(ISNUMBER(SEARCH("Customer Withdrawal",C806)),"Fees",IF(ISNUMBER(SEARCH("charge",C806)),"Fees","Other")))))))))))))))))))))))))</f>
        <v>Bundles</v>
      </c>
      <c r="R806" s="1" t="str">
        <f aca="false">TEXT(B806,"MMM YYYY")</f>
        <v>Apr 2026</v>
      </c>
    </row>
    <row r="807" customFormat="false" ht="13.8" hidden="false" customHeight="false" outlineLevel="0" collapsed="false">
      <c r="A807" s="4" t="s">
        <v>1684</v>
      </c>
      <c r="B807" s="4" t="s">
        <v>1685</v>
      </c>
      <c r="C807" s="4" t="s">
        <v>29</v>
      </c>
      <c r="D807" s="4" t="s">
        <v>18</v>
      </c>
      <c r="E807" s="4"/>
      <c r="F807" s="4" t="n">
        <v>10</v>
      </c>
      <c r="G807" s="4" t="n">
        <v>124.78</v>
      </c>
      <c r="L807" s="1" t="str">
        <f aca="false">IF(ISNUMBER(SEARCH("Bundle",C807)),"Bundles",IF(ISNUMBER(SEARCH("Airtime",C807)),"Bundles",IF(ISNUMBER(SEARCH("Merchant",C807)),"Merchant Payment",IF(ISNUMBER(SEARCH("Offnet C2B",C807)),"Merchant Payment",IF(ISNUMBER(SEARCH("Offnet B2C",C807)),"Merchant Payment",IF(ISNUMBER(SEARCH("Customer Payment to Small",C807)),"Merchant Payment",IF(ISNUMBER(SEARCH("Payment to Small Business",C807)),"Merchant Payment",IF(ISNUMBER(SEARCH("Sent to",C807)),"Sent to Person",IF(ISNUMBER(SEARCH("Customer Transfer to",C807)),"Sent to Person",IF(ISNUMBER(SEARCH("Business Payment",C807)),"Money In",IF(ISNUMBER(SEARCH("Funds Received",C807)),"Money In",IF(ISNUMBER(SEARCH("Receive International",C807)),"Money In",IF(ISNUMBER(SEARCH("Send Money Reversal",C807)),"Money In",IF(ISNUMBER(SEARCH("Pay Utility Reversal",C807)),"Money In",IF(ISNUMBER(SEARCH("Customer Transfer",C807)),"Money In",IF(ISNUMBER(SEARCH("Ziidi",C807)),"Investment",IF(ISNUMBER(SEARCH("Nabo",C807)),"Investment",IF(ISNUMBER(SEARCH("Paybill Online",C807)),"Pay Bill",IF(ISNUMBER(SEARCH("Pay Bill",C807)),"Pay Bill",IF(ISNUMBER(SEARCH("Spotify",C807)),"Pay Bill",IF(ISNUMBER(SEARCH("M-Shwari",C807)),"Mshwari",IF(ISNUMBER(SEARCH("Mshwari",C807)),"Mshwari",IF(ISNUMBER(SEARCH("Withdrawal charge",C807)),"Fees",IF(ISNUMBER(SEARCH("Customer Withdrawal",C807)),"Fees",IF(ISNUMBER(SEARCH("charge",C807)),"Fees","Other")))))))))))))))))))))))))</f>
        <v>Bundles</v>
      </c>
      <c r="R807" s="1" t="str">
        <f aca="false">TEXT(B807,"MMM YYYY")</f>
        <v>Apr 2026</v>
      </c>
    </row>
    <row r="808" customFormat="false" ht="13.8" hidden="false" customHeight="false" outlineLevel="0" collapsed="false">
      <c r="A808" s="4" t="s">
        <v>1686</v>
      </c>
      <c r="B808" s="4" t="s">
        <v>1687</v>
      </c>
      <c r="C808" s="4" t="s">
        <v>192</v>
      </c>
      <c r="D808" s="4" t="s">
        <v>18</v>
      </c>
      <c r="E808" s="4" t="n">
        <v>1500</v>
      </c>
      <c r="F808" s="4"/>
      <c r="G808" s="4" t="n">
        <v>1624.78</v>
      </c>
      <c r="L808" s="1" t="str">
        <f aca="false">IF(ISNUMBER(SEARCH("Bundle",C808)),"Bundles",IF(ISNUMBER(SEARCH("Airtime",C808)),"Bundles",IF(ISNUMBER(SEARCH("Merchant",C808)),"Merchant Payment",IF(ISNUMBER(SEARCH("Offnet C2B",C808)),"Merchant Payment",IF(ISNUMBER(SEARCH("Offnet B2C",C808)),"Merchant Payment",IF(ISNUMBER(SEARCH("Customer Payment to Small",C808)),"Merchant Payment",IF(ISNUMBER(SEARCH("Payment to Small Business",C808)),"Merchant Payment",IF(ISNUMBER(SEARCH("Sent to",C808)),"Sent to Person",IF(ISNUMBER(SEARCH("Customer Transfer to",C808)),"Sent to Person",IF(ISNUMBER(SEARCH("Business Payment",C808)),"Money In",IF(ISNUMBER(SEARCH("Funds Received",C808)),"Money In",IF(ISNUMBER(SEARCH("Receive International",C808)),"Money In",IF(ISNUMBER(SEARCH("Send Money Reversal",C808)),"Money In",IF(ISNUMBER(SEARCH("Pay Utility Reversal",C808)),"Money In",IF(ISNUMBER(SEARCH("Customer Transfer",C808)),"Money In",IF(ISNUMBER(SEARCH("Ziidi",C808)),"Investment",IF(ISNUMBER(SEARCH("Nabo",C808)),"Investment",IF(ISNUMBER(SEARCH("Paybill Online",C808)),"Pay Bill",IF(ISNUMBER(SEARCH("Pay Bill",C808)),"Pay Bill",IF(ISNUMBER(SEARCH("Spotify",C808)),"Pay Bill",IF(ISNUMBER(SEARCH("M-Shwari",C808)),"Mshwari",IF(ISNUMBER(SEARCH("Mshwari",C808)),"Mshwari",IF(ISNUMBER(SEARCH("Withdrawal charge",C808)),"Fees",IF(ISNUMBER(SEARCH("Customer Withdrawal",C808)),"Fees",IF(ISNUMBER(SEARCH("charge",C808)),"Fees","Other")))))))))))))))))))))))))</f>
        <v>Mshwari</v>
      </c>
      <c r="R808" s="1" t="str">
        <f aca="false">TEXT(B808,"MMM YYYY")</f>
        <v>Apr 2026</v>
      </c>
    </row>
    <row r="809" customFormat="false" ht="13.8" hidden="false" customHeight="false" outlineLevel="0" collapsed="false">
      <c r="A809" s="4" t="s">
        <v>1688</v>
      </c>
      <c r="B809" s="4" t="s">
        <v>1689</v>
      </c>
      <c r="C809" s="4" t="s">
        <v>239</v>
      </c>
      <c r="D809" s="4" t="s">
        <v>18</v>
      </c>
      <c r="E809" s="4"/>
      <c r="F809" s="4" t="n">
        <v>23</v>
      </c>
      <c r="G809" s="4" t="n">
        <v>101.78</v>
      </c>
      <c r="L809" s="1" t="str">
        <f aca="false">IF(ISNUMBER(SEARCH("Bundle",C809)),"Bundles",IF(ISNUMBER(SEARCH("Airtime",C809)),"Bundles",IF(ISNUMBER(SEARCH("Merchant",C809)),"Merchant Payment",IF(ISNUMBER(SEARCH("Offnet C2B",C809)),"Merchant Payment",IF(ISNUMBER(SEARCH("Offnet B2C",C809)),"Merchant Payment",IF(ISNUMBER(SEARCH("Customer Payment to Small",C809)),"Merchant Payment",IF(ISNUMBER(SEARCH("Payment to Small Business",C809)),"Merchant Payment",IF(ISNUMBER(SEARCH("Sent to",C809)),"Sent to Person",IF(ISNUMBER(SEARCH("Customer Transfer to",C809)),"Sent to Person",IF(ISNUMBER(SEARCH("Business Payment",C809)),"Money In",IF(ISNUMBER(SEARCH("Funds Received",C809)),"Money In",IF(ISNUMBER(SEARCH("Receive International",C809)),"Money In",IF(ISNUMBER(SEARCH("Send Money Reversal",C809)),"Money In",IF(ISNUMBER(SEARCH("Pay Utility Reversal",C809)),"Money In",IF(ISNUMBER(SEARCH("Customer Transfer",C809)),"Money In",IF(ISNUMBER(SEARCH("Ziidi",C809)),"Investment",IF(ISNUMBER(SEARCH("Nabo",C809)),"Investment",IF(ISNUMBER(SEARCH("Paybill Online",C809)),"Pay Bill",IF(ISNUMBER(SEARCH("Pay Bill",C809)),"Pay Bill",IF(ISNUMBER(SEARCH("Spotify",C809)),"Pay Bill",IF(ISNUMBER(SEARCH("M-Shwari",C809)),"Mshwari",IF(ISNUMBER(SEARCH("Mshwari",C809)),"Mshwari",IF(ISNUMBER(SEARCH("Withdrawal charge",C809)),"Fees",IF(ISNUMBER(SEARCH("Customer Withdrawal",C809)),"Fees",IF(ISNUMBER(SEARCH("charge",C809)),"Fees","Other")))))))))))))))))))))))))</f>
        <v>Money In</v>
      </c>
      <c r="R809" s="1" t="str">
        <f aca="false">TEXT(B809,"MMM YYYY")</f>
        <v>Apr 2026</v>
      </c>
    </row>
    <row r="810" customFormat="false" ht="13.8" hidden="false" customHeight="false" outlineLevel="0" collapsed="false">
      <c r="A810" s="4" t="s">
        <v>1688</v>
      </c>
      <c r="B810" s="4" t="s">
        <v>1689</v>
      </c>
      <c r="C810" s="4" t="s">
        <v>323</v>
      </c>
      <c r="D810" s="4" t="s">
        <v>18</v>
      </c>
      <c r="E810" s="4"/>
      <c r="F810" s="4" t="n">
        <v>1500</v>
      </c>
      <c r="G810" s="4" t="n">
        <v>124.78</v>
      </c>
      <c r="L810" s="1" t="str">
        <f aca="false">IF(ISNUMBER(SEARCH("Bundle",C810)),"Bundles",IF(ISNUMBER(SEARCH("Airtime",C810)),"Bundles",IF(ISNUMBER(SEARCH("Merchant",C810)),"Merchant Payment",IF(ISNUMBER(SEARCH("Offnet C2B",C810)),"Merchant Payment",IF(ISNUMBER(SEARCH("Offnet B2C",C810)),"Merchant Payment",IF(ISNUMBER(SEARCH("Customer Payment to Small",C810)),"Merchant Payment",IF(ISNUMBER(SEARCH("Payment to Small Business",C810)),"Merchant Payment",IF(ISNUMBER(SEARCH("Sent to",C810)),"Sent to Person",IF(ISNUMBER(SEARCH("Customer Transfer to",C810)),"Sent to Person",IF(ISNUMBER(SEARCH("Business Payment",C810)),"Money In",IF(ISNUMBER(SEARCH("Funds Received",C810)),"Money In",IF(ISNUMBER(SEARCH("Receive International",C810)),"Money In",IF(ISNUMBER(SEARCH("Send Money Reversal",C810)),"Money In",IF(ISNUMBER(SEARCH("Pay Utility Reversal",C810)),"Money In",IF(ISNUMBER(SEARCH("Customer Transfer",C810)),"Money In",IF(ISNUMBER(SEARCH("Ziidi",C810)),"Investment",IF(ISNUMBER(SEARCH("Nabo",C810)),"Investment",IF(ISNUMBER(SEARCH("Paybill Online",C810)),"Pay Bill",IF(ISNUMBER(SEARCH("Pay Bill",C810)),"Pay Bill",IF(ISNUMBER(SEARCH("Spotify",C810)),"Pay Bill",IF(ISNUMBER(SEARCH("M-Shwari",C810)),"Mshwari",IF(ISNUMBER(SEARCH("Mshwari",C810)),"Mshwari",IF(ISNUMBER(SEARCH("Withdrawal charge",C810)),"Fees",IF(ISNUMBER(SEARCH("Customer Withdrawal",C810)),"Fees",IF(ISNUMBER(SEARCH("charge",C810)),"Fees","Other")))))))))))))))))))))))))</f>
        <v>Sent to Person</v>
      </c>
      <c r="R810" s="1" t="str">
        <f aca="false">TEXT(B810,"MMM YYYY")</f>
        <v>Apr 2026</v>
      </c>
    </row>
    <row r="811" customFormat="false" ht="13.8" hidden="false" customHeight="false" outlineLevel="0" collapsed="false">
      <c r="A811" s="4" t="s">
        <v>1690</v>
      </c>
      <c r="B811" s="4" t="s">
        <v>1691</v>
      </c>
      <c r="C811" s="4" t="s">
        <v>323</v>
      </c>
      <c r="D811" s="4" t="s">
        <v>18</v>
      </c>
      <c r="E811" s="4"/>
      <c r="F811" s="4" t="n">
        <v>80</v>
      </c>
      <c r="G811" s="4" t="n">
        <v>21.78</v>
      </c>
      <c r="L811" s="1" t="str">
        <f aca="false">IF(ISNUMBER(SEARCH("Bundle",C811)),"Bundles",IF(ISNUMBER(SEARCH("Airtime",C811)),"Bundles",IF(ISNUMBER(SEARCH("Merchant",C811)),"Merchant Payment",IF(ISNUMBER(SEARCH("Offnet C2B",C811)),"Merchant Payment",IF(ISNUMBER(SEARCH("Offnet B2C",C811)),"Merchant Payment",IF(ISNUMBER(SEARCH("Customer Payment to Small",C811)),"Merchant Payment",IF(ISNUMBER(SEARCH("Payment to Small Business",C811)),"Merchant Payment",IF(ISNUMBER(SEARCH("Sent to",C811)),"Sent to Person",IF(ISNUMBER(SEARCH("Customer Transfer to",C811)),"Sent to Person",IF(ISNUMBER(SEARCH("Business Payment",C811)),"Money In",IF(ISNUMBER(SEARCH("Funds Received",C811)),"Money In",IF(ISNUMBER(SEARCH("Receive International",C811)),"Money In",IF(ISNUMBER(SEARCH("Send Money Reversal",C811)),"Money In",IF(ISNUMBER(SEARCH("Pay Utility Reversal",C811)),"Money In",IF(ISNUMBER(SEARCH("Customer Transfer",C811)),"Money In",IF(ISNUMBER(SEARCH("Ziidi",C811)),"Investment",IF(ISNUMBER(SEARCH("Nabo",C811)),"Investment",IF(ISNUMBER(SEARCH("Paybill Online",C811)),"Pay Bill",IF(ISNUMBER(SEARCH("Pay Bill",C811)),"Pay Bill",IF(ISNUMBER(SEARCH("Spotify",C811)),"Pay Bill",IF(ISNUMBER(SEARCH("M-Shwari",C811)),"Mshwari",IF(ISNUMBER(SEARCH("Mshwari",C811)),"Mshwari",IF(ISNUMBER(SEARCH("Withdrawal charge",C811)),"Fees",IF(ISNUMBER(SEARCH("Customer Withdrawal",C811)),"Fees",IF(ISNUMBER(SEARCH("charge",C811)),"Fees","Other")))))))))))))))))))))))))</f>
        <v>Sent to Person</v>
      </c>
      <c r="R811" s="1" t="str">
        <f aca="false">TEXT(B811,"MMM YYYY")</f>
        <v>Apr 2026</v>
      </c>
    </row>
    <row r="812" customFormat="false" ht="13.8" hidden="false" customHeight="false" outlineLevel="0" collapsed="false">
      <c r="A812" s="4" t="s">
        <v>1692</v>
      </c>
      <c r="B812" s="4" t="s">
        <v>1693</v>
      </c>
      <c r="C812" s="4" t="s">
        <v>192</v>
      </c>
      <c r="D812" s="4" t="s">
        <v>18</v>
      </c>
      <c r="E812" s="4" t="n">
        <v>1500</v>
      </c>
      <c r="F812" s="4"/>
      <c r="G812" s="4" t="n">
        <v>1521.78</v>
      </c>
      <c r="L812" s="1" t="str">
        <f aca="false">IF(ISNUMBER(SEARCH("Bundle",C812)),"Bundles",IF(ISNUMBER(SEARCH("Airtime",C812)),"Bundles",IF(ISNUMBER(SEARCH("Merchant",C812)),"Merchant Payment",IF(ISNUMBER(SEARCH("Offnet C2B",C812)),"Merchant Payment",IF(ISNUMBER(SEARCH("Offnet B2C",C812)),"Merchant Payment",IF(ISNUMBER(SEARCH("Customer Payment to Small",C812)),"Merchant Payment",IF(ISNUMBER(SEARCH("Payment to Small Business",C812)),"Merchant Payment",IF(ISNUMBER(SEARCH("Sent to",C812)),"Sent to Person",IF(ISNUMBER(SEARCH("Customer Transfer to",C812)),"Sent to Person",IF(ISNUMBER(SEARCH("Business Payment",C812)),"Money In",IF(ISNUMBER(SEARCH("Funds Received",C812)),"Money In",IF(ISNUMBER(SEARCH("Receive International",C812)),"Money In",IF(ISNUMBER(SEARCH("Send Money Reversal",C812)),"Money In",IF(ISNUMBER(SEARCH("Pay Utility Reversal",C812)),"Money In",IF(ISNUMBER(SEARCH("Customer Transfer",C812)),"Money In",IF(ISNUMBER(SEARCH("Ziidi",C812)),"Investment",IF(ISNUMBER(SEARCH("Nabo",C812)),"Investment",IF(ISNUMBER(SEARCH("Paybill Online",C812)),"Pay Bill",IF(ISNUMBER(SEARCH("Pay Bill",C812)),"Pay Bill",IF(ISNUMBER(SEARCH("Spotify",C812)),"Pay Bill",IF(ISNUMBER(SEARCH("M-Shwari",C812)),"Mshwari",IF(ISNUMBER(SEARCH("Mshwari",C812)),"Mshwari",IF(ISNUMBER(SEARCH("Withdrawal charge",C812)),"Fees",IF(ISNUMBER(SEARCH("Customer Withdrawal",C812)),"Fees",IF(ISNUMBER(SEARCH("charge",C812)),"Fees","Other")))))))))))))))))))))))))</f>
        <v>Mshwari</v>
      </c>
      <c r="R812" s="1" t="str">
        <f aca="false">TEXT(B812,"MMM YYYY")</f>
        <v>Apr 2026</v>
      </c>
    </row>
    <row r="813" customFormat="false" ht="13.8" hidden="false" customHeight="false" outlineLevel="0" collapsed="false">
      <c r="A813" s="4" t="s">
        <v>1694</v>
      </c>
      <c r="B813" s="4" t="s">
        <v>1695</v>
      </c>
      <c r="C813" s="4" t="s">
        <v>818</v>
      </c>
      <c r="D813" s="4" t="s">
        <v>18</v>
      </c>
      <c r="E813" s="4"/>
      <c r="F813" s="4" t="n">
        <v>500</v>
      </c>
      <c r="G813" s="4" t="n">
        <v>1021.78</v>
      </c>
      <c r="L813" s="1" t="str">
        <f aca="false">IF(ISNUMBER(SEARCH("Bundle",C813)),"Bundles",IF(ISNUMBER(SEARCH("Airtime",C813)),"Bundles",IF(ISNUMBER(SEARCH("Merchant",C813)),"Merchant Payment",IF(ISNUMBER(SEARCH("Offnet C2B",C813)),"Merchant Payment",IF(ISNUMBER(SEARCH("Offnet B2C",C813)),"Merchant Payment",IF(ISNUMBER(SEARCH("Customer Payment to Small",C813)),"Merchant Payment",IF(ISNUMBER(SEARCH("Payment to Small Business",C813)),"Merchant Payment",IF(ISNUMBER(SEARCH("Sent to",C813)),"Sent to Person",IF(ISNUMBER(SEARCH("Customer Transfer to",C813)),"Sent to Person",IF(ISNUMBER(SEARCH("Business Payment",C813)),"Money In",IF(ISNUMBER(SEARCH("Funds Received",C813)),"Money In",IF(ISNUMBER(SEARCH("Receive International",C813)),"Money In",IF(ISNUMBER(SEARCH("Send Money Reversal",C813)),"Money In",IF(ISNUMBER(SEARCH("Pay Utility Reversal",C813)),"Money In",IF(ISNUMBER(SEARCH("Customer Transfer",C813)),"Money In",IF(ISNUMBER(SEARCH("Ziidi",C813)),"Investment",IF(ISNUMBER(SEARCH("Nabo",C813)),"Investment",IF(ISNUMBER(SEARCH("Paybill Online",C813)),"Pay Bill",IF(ISNUMBER(SEARCH("Pay Bill",C813)),"Pay Bill",IF(ISNUMBER(SEARCH("Spotify",C813)),"Pay Bill",IF(ISNUMBER(SEARCH("M-Shwari",C813)),"Mshwari",IF(ISNUMBER(SEARCH("Mshwari",C813)),"Mshwari",IF(ISNUMBER(SEARCH("Withdrawal charge",C813)),"Fees",IF(ISNUMBER(SEARCH("Customer Withdrawal",C813)),"Fees",IF(ISNUMBER(SEARCH("charge",C813)),"Fees","Other")))))))))))))))))))))))))</f>
        <v>Merchant Payment</v>
      </c>
      <c r="R813" s="1" t="str">
        <f aca="false">TEXT(B813,"MMM YYYY")</f>
        <v>Apr 2026</v>
      </c>
    </row>
    <row r="814" customFormat="false" ht="13.8" hidden="false" customHeight="false" outlineLevel="0" collapsed="false">
      <c r="A814" s="4" t="s">
        <v>1696</v>
      </c>
      <c r="B814" s="4" t="s">
        <v>1697</v>
      </c>
      <c r="C814" s="4" t="s">
        <v>1073</v>
      </c>
      <c r="D814" s="4" t="s">
        <v>18</v>
      </c>
      <c r="E814" s="4"/>
      <c r="F814" s="4" t="n">
        <v>30</v>
      </c>
      <c r="G814" s="4" t="n">
        <v>991.78</v>
      </c>
      <c r="L814" s="1" t="str">
        <f aca="false">IF(ISNUMBER(SEARCH("Bundle",C814)),"Bundles",IF(ISNUMBER(SEARCH("Airtime",C814)),"Bundles",IF(ISNUMBER(SEARCH("Merchant",C814)),"Merchant Payment",IF(ISNUMBER(SEARCH("Offnet C2B",C814)),"Merchant Payment",IF(ISNUMBER(SEARCH("Offnet B2C",C814)),"Merchant Payment",IF(ISNUMBER(SEARCH("Customer Payment to Small",C814)),"Merchant Payment",IF(ISNUMBER(SEARCH("Payment to Small Business",C814)),"Merchant Payment",IF(ISNUMBER(SEARCH("Sent to",C814)),"Sent to Person",IF(ISNUMBER(SEARCH("Customer Transfer to",C814)),"Sent to Person",IF(ISNUMBER(SEARCH("Business Payment",C814)),"Money In",IF(ISNUMBER(SEARCH("Funds Received",C814)),"Money In",IF(ISNUMBER(SEARCH("Receive International",C814)),"Money In",IF(ISNUMBER(SEARCH("Send Money Reversal",C814)),"Money In",IF(ISNUMBER(SEARCH("Pay Utility Reversal",C814)),"Money In",IF(ISNUMBER(SEARCH("Customer Transfer",C814)),"Money In",IF(ISNUMBER(SEARCH("Ziidi",C814)),"Investment",IF(ISNUMBER(SEARCH("Nabo",C814)),"Investment",IF(ISNUMBER(SEARCH("Paybill Online",C814)),"Pay Bill",IF(ISNUMBER(SEARCH("Pay Bill",C814)),"Pay Bill",IF(ISNUMBER(SEARCH("Spotify",C814)),"Pay Bill",IF(ISNUMBER(SEARCH("M-Shwari",C814)),"Mshwari",IF(ISNUMBER(SEARCH("Mshwari",C814)),"Mshwari",IF(ISNUMBER(SEARCH("Withdrawal charge",C814)),"Fees",IF(ISNUMBER(SEARCH("Customer Withdrawal",C814)),"Fees",IF(ISNUMBER(SEARCH("charge",C814)),"Fees","Other")))))))))))))))))))))))))</f>
        <v>Merchant Payment</v>
      </c>
      <c r="R814" s="1" t="str">
        <f aca="false">TEXT(B814,"MMM YYYY")</f>
        <v>Apr 2026</v>
      </c>
    </row>
    <row r="815" customFormat="false" ht="13.8" hidden="false" customHeight="false" outlineLevel="0" collapsed="false">
      <c r="A815" s="4" t="s">
        <v>1698</v>
      </c>
      <c r="B815" s="4" t="s">
        <v>1699</v>
      </c>
      <c r="C815" s="4" t="s">
        <v>1700</v>
      </c>
      <c r="D815" s="4" t="s">
        <v>18</v>
      </c>
      <c r="E815" s="4"/>
      <c r="F815" s="4" t="n">
        <v>100</v>
      </c>
      <c r="G815" s="4" t="n">
        <v>891.78</v>
      </c>
      <c r="L815" s="1" t="str">
        <f aca="false">IF(ISNUMBER(SEARCH("Bundle",C815)),"Bundles",IF(ISNUMBER(SEARCH("Airtime",C815)),"Bundles",IF(ISNUMBER(SEARCH("Merchant",C815)),"Merchant Payment",IF(ISNUMBER(SEARCH("Offnet C2B",C815)),"Merchant Payment",IF(ISNUMBER(SEARCH("Offnet B2C",C815)),"Merchant Payment",IF(ISNUMBER(SEARCH("Customer Payment to Small",C815)),"Merchant Payment",IF(ISNUMBER(SEARCH("Payment to Small Business",C815)),"Merchant Payment",IF(ISNUMBER(SEARCH("Sent to",C815)),"Sent to Person",IF(ISNUMBER(SEARCH("Customer Transfer to",C815)),"Sent to Person",IF(ISNUMBER(SEARCH("Business Payment",C815)),"Money In",IF(ISNUMBER(SEARCH("Funds Received",C815)),"Money In",IF(ISNUMBER(SEARCH("Receive International",C815)),"Money In",IF(ISNUMBER(SEARCH("Send Money Reversal",C815)),"Money In",IF(ISNUMBER(SEARCH("Pay Utility Reversal",C815)),"Money In",IF(ISNUMBER(SEARCH("Customer Transfer",C815)),"Money In",IF(ISNUMBER(SEARCH("Ziidi",C815)),"Investment",IF(ISNUMBER(SEARCH("Nabo",C815)),"Investment",IF(ISNUMBER(SEARCH("Paybill Online",C815)),"Pay Bill",IF(ISNUMBER(SEARCH("Pay Bill",C815)),"Pay Bill",IF(ISNUMBER(SEARCH("Spotify",C815)),"Pay Bill",IF(ISNUMBER(SEARCH("M-Shwari",C815)),"Mshwari",IF(ISNUMBER(SEARCH("Mshwari",C815)),"Mshwari",IF(ISNUMBER(SEARCH("Withdrawal charge",C815)),"Fees",IF(ISNUMBER(SEARCH("Customer Withdrawal",C815)),"Fees",IF(ISNUMBER(SEARCH("charge",C815)),"Fees","Other")))))))))))))))))))))))))</f>
        <v>Sent to Person</v>
      </c>
      <c r="R815" s="1" t="str">
        <f aca="false">TEXT(B815,"MMM YYYY")</f>
        <v>Apr 2026</v>
      </c>
    </row>
    <row r="816" customFormat="false" ht="13.8" hidden="false" customHeight="false" outlineLevel="0" collapsed="false">
      <c r="A816" s="4" t="s">
        <v>1701</v>
      </c>
      <c r="B816" s="4" t="s">
        <v>1702</v>
      </c>
      <c r="C816" s="4" t="s">
        <v>316</v>
      </c>
      <c r="D816" s="4" t="s">
        <v>18</v>
      </c>
      <c r="E816" s="4"/>
      <c r="F816" s="4" t="n">
        <v>360</v>
      </c>
      <c r="G816" s="4" t="n">
        <v>531.78</v>
      </c>
      <c r="L816" s="1" t="str">
        <f aca="false">IF(ISNUMBER(SEARCH("Bundle",C816)),"Bundles",IF(ISNUMBER(SEARCH("Airtime",C816)),"Bundles",IF(ISNUMBER(SEARCH("Merchant",C816)),"Merchant Payment",IF(ISNUMBER(SEARCH("Offnet C2B",C816)),"Merchant Payment",IF(ISNUMBER(SEARCH("Offnet B2C",C816)),"Merchant Payment",IF(ISNUMBER(SEARCH("Customer Payment to Small",C816)),"Merchant Payment",IF(ISNUMBER(SEARCH("Payment to Small Business",C816)),"Merchant Payment",IF(ISNUMBER(SEARCH("Sent to",C816)),"Sent to Person",IF(ISNUMBER(SEARCH("Customer Transfer to",C816)),"Sent to Person",IF(ISNUMBER(SEARCH("Business Payment",C816)),"Money In",IF(ISNUMBER(SEARCH("Funds Received",C816)),"Money In",IF(ISNUMBER(SEARCH("Receive International",C816)),"Money In",IF(ISNUMBER(SEARCH("Send Money Reversal",C816)),"Money In",IF(ISNUMBER(SEARCH("Pay Utility Reversal",C816)),"Money In",IF(ISNUMBER(SEARCH("Customer Transfer",C816)),"Money In",IF(ISNUMBER(SEARCH("Ziidi",C816)),"Investment",IF(ISNUMBER(SEARCH("Nabo",C816)),"Investment",IF(ISNUMBER(SEARCH("Paybill Online",C816)),"Pay Bill",IF(ISNUMBER(SEARCH("Pay Bill",C816)),"Pay Bill",IF(ISNUMBER(SEARCH("Spotify",C816)),"Pay Bill",IF(ISNUMBER(SEARCH("M-Shwari",C816)),"Mshwari",IF(ISNUMBER(SEARCH("Mshwari",C816)),"Mshwari",IF(ISNUMBER(SEARCH("Withdrawal charge",C816)),"Fees",IF(ISNUMBER(SEARCH("Customer Withdrawal",C816)),"Fees",IF(ISNUMBER(SEARCH("charge",C816)),"Fees","Other")))))))))))))))))))))))))</f>
        <v>Merchant Payment</v>
      </c>
      <c r="R816" s="1" t="str">
        <f aca="false">TEXT(B816,"MMM YYYY")</f>
        <v>Apr 2026</v>
      </c>
    </row>
    <row r="817" customFormat="false" ht="13.8" hidden="false" customHeight="false" outlineLevel="0" collapsed="false">
      <c r="A817" s="4" t="s">
        <v>1703</v>
      </c>
      <c r="B817" s="4" t="s">
        <v>1704</v>
      </c>
      <c r="C817" s="4" t="s">
        <v>459</v>
      </c>
      <c r="D817" s="4" t="s">
        <v>18</v>
      </c>
      <c r="E817" s="4"/>
      <c r="F817" s="4" t="n">
        <v>100</v>
      </c>
      <c r="G817" s="4" t="n">
        <v>431.78</v>
      </c>
      <c r="L817" s="1" t="str">
        <f aca="false">IF(ISNUMBER(SEARCH("Bundle",C817)),"Bundles",IF(ISNUMBER(SEARCH("Airtime",C817)),"Bundles",IF(ISNUMBER(SEARCH("Merchant",C817)),"Merchant Payment",IF(ISNUMBER(SEARCH("Offnet C2B",C817)),"Merchant Payment",IF(ISNUMBER(SEARCH("Offnet B2C",C817)),"Merchant Payment",IF(ISNUMBER(SEARCH("Customer Payment to Small",C817)),"Merchant Payment",IF(ISNUMBER(SEARCH("Payment to Small Business",C817)),"Merchant Payment",IF(ISNUMBER(SEARCH("Sent to",C817)),"Sent to Person",IF(ISNUMBER(SEARCH("Customer Transfer to",C817)),"Sent to Person",IF(ISNUMBER(SEARCH("Business Payment",C817)),"Money In",IF(ISNUMBER(SEARCH("Funds Received",C817)),"Money In",IF(ISNUMBER(SEARCH("Receive International",C817)),"Money In",IF(ISNUMBER(SEARCH("Send Money Reversal",C817)),"Money In",IF(ISNUMBER(SEARCH("Pay Utility Reversal",C817)),"Money In",IF(ISNUMBER(SEARCH("Customer Transfer",C817)),"Money In",IF(ISNUMBER(SEARCH("Ziidi",C817)),"Investment",IF(ISNUMBER(SEARCH("Nabo",C817)),"Investment",IF(ISNUMBER(SEARCH("Paybill Online",C817)),"Pay Bill",IF(ISNUMBER(SEARCH("Pay Bill",C817)),"Pay Bill",IF(ISNUMBER(SEARCH("Spotify",C817)),"Pay Bill",IF(ISNUMBER(SEARCH("M-Shwari",C817)),"Mshwari",IF(ISNUMBER(SEARCH("Mshwari",C817)),"Mshwari",IF(ISNUMBER(SEARCH("Withdrawal charge",C817)),"Fees",IF(ISNUMBER(SEARCH("Customer Withdrawal",C817)),"Fees",IF(ISNUMBER(SEARCH("charge",C817)),"Fees","Other")))))))))))))))))))))))))</f>
        <v>Merchant Payment</v>
      </c>
      <c r="R817" s="1" t="str">
        <f aca="false">TEXT(B817,"MMM YYYY")</f>
        <v>Apr 2026</v>
      </c>
    </row>
    <row r="818" customFormat="false" ht="13.8" hidden="false" customHeight="false" outlineLevel="0" collapsed="false">
      <c r="A818" s="4" t="s">
        <v>1705</v>
      </c>
      <c r="B818" s="4" t="s">
        <v>1706</v>
      </c>
      <c r="C818" s="4" t="s">
        <v>1583</v>
      </c>
      <c r="D818" s="4" t="s">
        <v>18</v>
      </c>
      <c r="E818" s="4"/>
      <c r="F818" s="4" t="n">
        <v>100</v>
      </c>
      <c r="G818" s="4" t="n">
        <v>331.78</v>
      </c>
      <c r="L818" s="1" t="str">
        <f aca="false">IF(ISNUMBER(SEARCH("Bundle",C818)),"Bundles",IF(ISNUMBER(SEARCH("Airtime",C818)),"Bundles",IF(ISNUMBER(SEARCH("Merchant",C818)),"Merchant Payment",IF(ISNUMBER(SEARCH("Offnet C2B",C818)),"Merchant Payment",IF(ISNUMBER(SEARCH("Offnet B2C",C818)),"Merchant Payment",IF(ISNUMBER(SEARCH("Customer Payment to Small",C818)),"Merchant Payment",IF(ISNUMBER(SEARCH("Payment to Small Business",C818)),"Merchant Payment",IF(ISNUMBER(SEARCH("Sent to",C818)),"Sent to Person",IF(ISNUMBER(SEARCH("Customer Transfer to",C818)),"Sent to Person",IF(ISNUMBER(SEARCH("Business Payment",C818)),"Money In",IF(ISNUMBER(SEARCH("Funds Received",C818)),"Money In",IF(ISNUMBER(SEARCH("Receive International",C818)),"Money In",IF(ISNUMBER(SEARCH("Send Money Reversal",C818)),"Money In",IF(ISNUMBER(SEARCH("Pay Utility Reversal",C818)),"Money In",IF(ISNUMBER(SEARCH("Customer Transfer",C818)),"Money In",IF(ISNUMBER(SEARCH("Ziidi",C818)),"Investment",IF(ISNUMBER(SEARCH("Nabo",C818)),"Investment",IF(ISNUMBER(SEARCH("Paybill Online",C818)),"Pay Bill",IF(ISNUMBER(SEARCH("Pay Bill",C818)),"Pay Bill",IF(ISNUMBER(SEARCH("Spotify",C818)),"Pay Bill",IF(ISNUMBER(SEARCH("M-Shwari",C818)),"Mshwari",IF(ISNUMBER(SEARCH("Mshwari",C818)),"Mshwari",IF(ISNUMBER(SEARCH("Withdrawal charge",C818)),"Fees",IF(ISNUMBER(SEARCH("Customer Withdrawal",C818)),"Fees",IF(ISNUMBER(SEARCH("charge",C818)),"Fees","Other")))))))))))))))))))))))))</f>
        <v>Merchant Payment</v>
      </c>
      <c r="R818" s="1" t="str">
        <f aca="false">TEXT(B818,"MMM YYYY")</f>
        <v>Apr 2026</v>
      </c>
    </row>
    <row r="819" customFormat="false" ht="13.8" hidden="false" customHeight="false" outlineLevel="0" collapsed="false">
      <c r="A819" s="4" t="s">
        <v>1707</v>
      </c>
      <c r="B819" s="4" t="s">
        <v>1708</v>
      </c>
      <c r="C819" s="4" t="s">
        <v>17</v>
      </c>
      <c r="D819" s="4" t="s">
        <v>18</v>
      </c>
      <c r="E819" s="4"/>
      <c r="F819" s="4" t="n">
        <v>20</v>
      </c>
      <c r="G819" s="4" t="n">
        <v>311.78</v>
      </c>
      <c r="L819" s="1" t="str">
        <f aca="false">IF(ISNUMBER(SEARCH("Bundle",C819)),"Bundles",IF(ISNUMBER(SEARCH("Airtime",C819)),"Bundles",IF(ISNUMBER(SEARCH("Merchant",C819)),"Merchant Payment",IF(ISNUMBER(SEARCH("Offnet C2B",C819)),"Merchant Payment",IF(ISNUMBER(SEARCH("Offnet B2C",C819)),"Merchant Payment",IF(ISNUMBER(SEARCH("Customer Payment to Small",C819)),"Merchant Payment",IF(ISNUMBER(SEARCH("Payment to Small Business",C819)),"Merchant Payment",IF(ISNUMBER(SEARCH("Sent to",C819)),"Sent to Person",IF(ISNUMBER(SEARCH("Customer Transfer to",C819)),"Sent to Person",IF(ISNUMBER(SEARCH("Business Payment",C819)),"Money In",IF(ISNUMBER(SEARCH("Funds Received",C819)),"Money In",IF(ISNUMBER(SEARCH("Receive International",C819)),"Money In",IF(ISNUMBER(SEARCH("Send Money Reversal",C819)),"Money In",IF(ISNUMBER(SEARCH("Pay Utility Reversal",C819)),"Money In",IF(ISNUMBER(SEARCH("Customer Transfer",C819)),"Money In",IF(ISNUMBER(SEARCH("Ziidi",C819)),"Investment",IF(ISNUMBER(SEARCH("Nabo",C819)),"Investment",IF(ISNUMBER(SEARCH("Paybill Online",C819)),"Pay Bill",IF(ISNUMBER(SEARCH("Pay Bill",C819)),"Pay Bill",IF(ISNUMBER(SEARCH("Spotify",C819)),"Pay Bill",IF(ISNUMBER(SEARCH("M-Shwari",C819)),"Mshwari",IF(ISNUMBER(SEARCH("Mshwari",C819)),"Mshwari",IF(ISNUMBER(SEARCH("Withdrawal charge",C819)),"Fees",IF(ISNUMBER(SEARCH("Customer Withdrawal",C819)),"Fees",IF(ISNUMBER(SEARCH("charge",C819)),"Fees","Other")))))))))))))))))))))))))</f>
        <v>Bundles</v>
      </c>
      <c r="R819" s="1" t="str">
        <f aca="false">TEXT(B819,"MMM YYYY")</f>
        <v>Apr 2026</v>
      </c>
    </row>
    <row r="820" customFormat="false" ht="13.8" hidden="false" customHeight="false" outlineLevel="0" collapsed="false">
      <c r="A820" s="4" t="s">
        <v>1709</v>
      </c>
      <c r="B820" s="4" t="s">
        <v>1710</v>
      </c>
      <c r="C820" s="4" t="s">
        <v>29</v>
      </c>
      <c r="D820" s="4" t="s">
        <v>18</v>
      </c>
      <c r="E820" s="4"/>
      <c r="F820" s="4" t="n">
        <v>10</v>
      </c>
      <c r="G820" s="4" t="n">
        <v>301.78</v>
      </c>
      <c r="L820" s="1" t="str">
        <f aca="false">IF(ISNUMBER(SEARCH("Bundle",C820)),"Bundles",IF(ISNUMBER(SEARCH("Airtime",C820)),"Bundles",IF(ISNUMBER(SEARCH("Merchant",C820)),"Merchant Payment",IF(ISNUMBER(SEARCH("Offnet C2B",C820)),"Merchant Payment",IF(ISNUMBER(SEARCH("Offnet B2C",C820)),"Merchant Payment",IF(ISNUMBER(SEARCH("Customer Payment to Small",C820)),"Merchant Payment",IF(ISNUMBER(SEARCH("Payment to Small Business",C820)),"Merchant Payment",IF(ISNUMBER(SEARCH("Sent to",C820)),"Sent to Person",IF(ISNUMBER(SEARCH("Customer Transfer to",C820)),"Sent to Person",IF(ISNUMBER(SEARCH("Business Payment",C820)),"Money In",IF(ISNUMBER(SEARCH("Funds Received",C820)),"Money In",IF(ISNUMBER(SEARCH("Receive International",C820)),"Money In",IF(ISNUMBER(SEARCH("Send Money Reversal",C820)),"Money In",IF(ISNUMBER(SEARCH("Pay Utility Reversal",C820)),"Money In",IF(ISNUMBER(SEARCH("Customer Transfer",C820)),"Money In",IF(ISNUMBER(SEARCH("Ziidi",C820)),"Investment",IF(ISNUMBER(SEARCH("Nabo",C820)),"Investment",IF(ISNUMBER(SEARCH("Paybill Online",C820)),"Pay Bill",IF(ISNUMBER(SEARCH("Pay Bill",C820)),"Pay Bill",IF(ISNUMBER(SEARCH("Spotify",C820)),"Pay Bill",IF(ISNUMBER(SEARCH("M-Shwari",C820)),"Mshwari",IF(ISNUMBER(SEARCH("Mshwari",C820)),"Mshwari",IF(ISNUMBER(SEARCH("Withdrawal charge",C820)),"Fees",IF(ISNUMBER(SEARCH("Customer Withdrawal",C820)),"Fees",IF(ISNUMBER(SEARCH("charge",C820)),"Fees","Other")))))))))))))))))))))))))</f>
        <v>Bundles</v>
      </c>
      <c r="R820" s="1" t="str">
        <f aca="false">TEXT(B820,"MMM YYYY")</f>
        <v>Apr 2026</v>
      </c>
    </row>
    <row r="821" customFormat="false" ht="13.8" hidden="false" customHeight="false" outlineLevel="0" collapsed="false">
      <c r="A821" s="4" t="s">
        <v>1711</v>
      </c>
      <c r="B821" s="4" t="s">
        <v>1712</v>
      </c>
      <c r="C821" s="4" t="s">
        <v>29</v>
      </c>
      <c r="D821" s="4" t="s">
        <v>18</v>
      </c>
      <c r="E821" s="4"/>
      <c r="F821" s="4" t="n">
        <v>10</v>
      </c>
      <c r="G821" s="4" t="n">
        <v>291.78</v>
      </c>
      <c r="L821" s="1" t="str">
        <f aca="false">IF(ISNUMBER(SEARCH("Bundle",C821)),"Bundles",IF(ISNUMBER(SEARCH("Airtime",C821)),"Bundles",IF(ISNUMBER(SEARCH("Merchant",C821)),"Merchant Payment",IF(ISNUMBER(SEARCH("Offnet C2B",C821)),"Merchant Payment",IF(ISNUMBER(SEARCH("Offnet B2C",C821)),"Merchant Payment",IF(ISNUMBER(SEARCH("Customer Payment to Small",C821)),"Merchant Payment",IF(ISNUMBER(SEARCH("Payment to Small Business",C821)),"Merchant Payment",IF(ISNUMBER(SEARCH("Sent to",C821)),"Sent to Person",IF(ISNUMBER(SEARCH("Customer Transfer to",C821)),"Sent to Person",IF(ISNUMBER(SEARCH("Business Payment",C821)),"Money In",IF(ISNUMBER(SEARCH("Funds Received",C821)),"Money In",IF(ISNUMBER(SEARCH("Receive International",C821)),"Money In",IF(ISNUMBER(SEARCH("Send Money Reversal",C821)),"Money In",IF(ISNUMBER(SEARCH("Pay Utility Reversal",C821)),"Money In",IF(ISNUMBER(SEARCH("Customer Transfer",C821)),"Money In",IF(ISNUMBER(SEARCH("Ziidi",C821)),"Investment",IF(ISNUMBER(SEARCH("Nabo",C821)),"Investment",IF(ISNUMBER(SEARCH("Paybill Online",C821)),"Pay Bill",IF(ISNUMBER(SEARCH("Pay Bill",C821)),"Pay Bill",IF(ISNUMBER(SEARCH("Spotify",C821)),"Pay Bill",IF(ISNUMBER(SEARCH("M-Shwari",C821)),"Mshwari",IF(ISNUMBER(SEARCH("Mshwari",C821)),"Mshwari",IF(ISNUMBER(SEARCH("Withdrawal charge",C821)),"Fees",IF(ISNUMBER(SEARCH("Customer Withdrawal",C821)),"Fees",IF(ISNUMBER(SEARCH("charge",C821)),"Fees","Other")))))))))))))))))))))))))</f>
        <v>Bundles</v>
      </c>
      <c r="R821" s="1" t="str">
        <f aca="false">TEXT(B821,"MMM YYYY")</f>
        <v>Apr 2026</v>
      </c>
    </row>
    <row r="822" customFormat="false" ht="13.8" hidden="false" customHeight="false" outlineLevel="0" collapsed="false">
      <c r="A822" s="4" t="s">
        <v>1713</v>
      </c>
      <c r="B822" s="4" t="s">
        <v>1714</v>
      </c>
      <c r="C822" s="4" t="s">
        <v>591</v>
      </c>
      <c r="D822" s="4" t="s">
        <v>18</v>
      </c>
      <c r="E822" s="4"/>
      <c r="F822" s="4" t="n">
        <v>250</v>
      </c>
      <c r="G822" s="4" t="n">
        <v>41.78</v>
      </c>
      <c r="L822" s="1" t="str">
        <f aca="false">IF(ISNUMBER(SEARCH("Bundle",C822)),"Bundles",IF(ISNUMBER(SEARCH("Airtime",C822)),"Bundles",IF(ISNUMBER(SEARCH("Merchant",C822)),"Merchant Payment",IF(ISNUMBER(SEARCH("Offnet C2B",C822)),"Merchant Payment",IF(ISNUMBER(SEARCH("Offnet B2C",C822)),"Merchant Payment",IF(ISNUMBER(SEARCH("Customer Payment to Small",C822)),"Merchant Payment",IF(ISNUMBER(SEARCH("Payment to Small Business",C822)),"Merchant Payment",IF(ISNUMBER(SEARCH("Sent to",C822)),"Sent to Person",IF(ISNUMBER(SEARCH("Customer Transfer to",C822)),"Sent to Person",IF(ISNUMBER(SEARCH("Business Payment",C822)),"Money In",IF(ISNUMBER(SEARCH("Funds Received",C822)),"Money In",IF(ISNUMBER(SEARCH("Receive International",C822)),"Money In",IF(ISNUMBER(SEARCH("Send Money Reversal",C822)),"Money In",IF(ISNUMBER(SEARCH("Pay Utility Reversal",C822)),"Money In",IF(ISNUMBER(SEARCH("Customer Transfer",C822)),"Money In",IF(ISNUMBER(SEARCH("Ziidi",C822)),"Investment",IF(ISNUMBER(SEARCH("Nabo",C822)),"Investment",IF(ISNUMBER(SEARCH("Paybill Online",C822)),"Pay Bill",IF(ISNUMBER(SEARCH("Pay Bill",C822)),"Pay Bill",IF(ISNUMBER(SEARCH("Spotify",C822)),"Pay Bill",IF(ISNUMBER(SEARCH("M-Shwari",C822)),"Mshwari",IF(ISNUMBER(SEARCH("Mshwari",C822)),"Mshwari",IF(ISNUMBER(SEARCH("Withdrawal charge",C822)),"Fees",IF(ISNUMBER(SEARCH("Customer Withdrawal",C822)),"Fees",IF(ISNUMBER(SEARCH("charge",C822)),"Fees","Other")))))))))))))))))))))))))</f>
        <v>Merchant Payment</v>
      </c>
      <c r="R822" s="1" t="str">
        <f aca="false">TEXT(B822,"MMM YYYY")</f>
        <v>Apr 2026</v>
      </c>
    </row>
    <row r="823" customFormat="false" ht="13.8" hidden="false" customHeight="false" outlineLevel="0" collapsed="false">
      <c r="A823" s="4" t="s">
        <v>1715</v>
      </c>
      <c r="B823" s="4" t="s">
        <v>1716</v>
      </c>
      <c r="C823" s="4" t="s">
        <v>17</v>
      </c>
      <c r="D823" s="4" t="s">
        <v>18</v>
      </c>
      <c r="E823" s="4"/>
      <c r="F823" s="4" t="n">
        <v>20</v>
      </c>
      <c r="G823" s="4" t="n">
        <v>21.78</v>
      </c>
      <c r="L823" s="1" t="str">
        <f aca="false">IF(ISNUMBER(SEARCH("Bundle",C823)),"Bundles",IF(ISNUMBER(SEARCH("Airtime",C823)),"Bundles",IF(ISNUMBER(SEARCH("Merchant",C823)),"Merchant Payment",IF(ISNUMBER(SEARCH("Offnet C2B",C823)),"Merchant Payment",IF(ISNUMBER(SEARCH("Offnet B2C",C823)),"Merchant Payment",IF(ISNUMBER(SEARCH("Customer Payment to Small",C823)),"Merchant Payment",IF(ISNUMBER(SEARCH("Payment to Small Business",C823)),"Merchant Payment",IF(ISNUMBER(SEARCH("Sent to",C823)),"Sent to Person",IF(ISNUMBER(SEARCH("Customer Transfer to",C823)),"Sent to Person",IF(ISNUMBER(SEARCH("Business Payment",C823)),"Money In",IF(ISNUMBER(SEARCH("Funds Received",C823)),"Money In",IF(ISNUMBER(SEARCH("Receive International",C823)),"Money In",IF(ISNUMBER(SEARCH("Send Money Reversal",C823)),"Money In",IF(ISNUMBER(SEARCH("Pay Utility Reversal",C823)),"Money In",IF(ISNUMBER(SEARCH("Customer Transfer",C823)),"Money In",IF(ISNUMBER(SEARCH("Ziidi",C823)),"Investment",IF(ISNUMBER(SEARCH("Nabo",C823)),"Investment",IF(ISNUMBER(SEARCH("Paybill Online",C823)),"Pay Bill",IF(ISNUMBER(SEARCH("Pay Bill",C823)),"Pay Bill",IF(ISNUMBER(SEARCH("Spotify",C823)),"Pay Bill",IF(ISNUMBER(SEARCH("M-Shwari",C823)),"Mshwari",IF(ISNUMBER(SEARCH("Mshwari",C823)),"Mshwari",IF(ISNUMBER(SEARCH("Withdrawal charge",C823)),"Fees",IF(ISNUMBER(SEARCH("Customer Withdrawal",C823)),"Fees",IF(ISNUMBER(SEARCH("charge",C823)),"Fees","Other")))))))))))))))))))))))))</f>
        <v>Bundles</v>
      </c>
      <c r="R823" s="1" t="str">
        <f aca="false">TEXT(B823,"MMM YYYY")</f>
        <v>Apr 2026</v>
      </c>
    </row>
    <row r="824" customFormat="false" ht="13.8" hidden="false" customHeight="false" outlineLevel="0" collapsed="false">
      <c r="A824" s="4" t="s">
        <v>1717</v>
      </c>
      <c r="B824" s="4" t="s">
        <v>1718</v>
      </c>
      <c r="C824" s="4" t="s">
        <v>29</v>
      </c>
      <c r="D824" s="4" t="s">
        <v>18</v>
      </c>
      <c r="E824" s="4"/>
      <c r="F824" s="4" t="n">
        <v>10</v>
      </c>
      <c r="G824" s="4" t="n">
        <v>11.78</v>
      </c>
      <c r="L824" s="1" t="str">
        <f aca="false">IF(ISNUMBER(SEARCH("Bundle",C824)),"Bundles",IF(ISNUMBER(SEARCH("Airtime",C824)),"Bundles",IF(ISNUMBER(SEARCH("Merchant",C824)),"Merchant Payment",IF(ISNUMBER(SEARCH("Offnet C2B",C824)),"Merchant Payment",IF(ISNUMBER(SEARCH("Offnet B2C",C824)),"Merchant Payment",IF(ISNUMBER(SEARCH("Customer Payment to Small",C824)),"Merchant Payment",IF(ISNUMBER(SEARCH("Payment to Small Business",C824)),"Merchant Payment",IF(ISNUMBER(SEARCH("Sent to",C824)),"Sent to Person",IF(ISNUMBER(SEARCH("Customer Transfer to",C824)),"Sent to Person",IF(ISNUMBER(SEARCH("Business Payment",C824)),"Money In",IF(ISNUMBER(SEARCH("Funds Received",C824)),"Money In",IF(ISNUMBER(SEARCH("Receive International",C824)),"Money In",IF(ISNUMBER(SEARCH("Send Money Reversal",C824)),"Money In",IF(ISNUMBER(SEARCH("Pay Utility Reversal",C824)),"Money In",IF(ISNUMBER(SEARCH("Customer Transfer",C824)),"Money In",IF(ISNUMBER(SEARCH("Ziidi",C824)),"Investment",IF(ISNUMBER(SEARCH("Nabo",C824)),"Investment",IF(ISNUMBER(SEARCH("Paybill Online",C824)),"Pay Bill",IF(ISNUMBER(SEARCH("Pay Bill",C824)),"Pay Bill",IF(ISNUMBER(SEARCH("Spotify",C824)),"Pay Bill",IF(ISNUMBER(SEARCH("M-Shwari",C824)),"Mshwari",IF(ISNUMBER(SEARCH("Mshwari",C824)),"Mshwari",IF(ISNUMBER(SEARCH("Withdrawal charge",C824)),"Fees",IF(ISNUMBER(SEARCH("Customer Withdrawal",C824)),"Fees",IF(ISNUMBER(SEARCH("charge",C824)),"Fees","Other")))))))))))))))))))))))))</f>
        <v>Bundles</v>
      </c>
      <c r="R824" s="1" t="str">
        <f aca="false">TEXT(B824,"MMM YYYY")</f>
        <v>Apr 2026</v>
      </c>
    </row>
    <row r="825" customFormat="false" ht="13.8" hidden="false" customHeight="false" outlineLevel="0" collapsed="false">
      <c r="A825" s="4" t="s">
        <v>1719</v>
      </c>
      <c r="B825" s="4" t="s">
        <v>1720</v>
      </c>
      <c r="C825" s="4" t="s">
        <v>192</v>
      </c>
      <c r="D825" s="4" t="s">
        <v>18</v>
      </c>
      <c r="E825" s="4" t="n">
        <v>100</v>
      </c>
      <c r="F825" s="4"/>
      <c r="G825" s="4" t="n">
        <v>111.78</v>
      </c>
      <c r="L825" s="1" t="str">
        <f aca="false">IF(ISNUMBER(SEARCH("Bundle",C825)),"Bundles",IF(ISNUMBER(SEARCH("Airtime",C825)),"Bundles",IF(ISNUMBER(SEARCH("Merchant",C825)),"Merchant Payment",IF(ISNUMBER(SEARCH("Offnet C2B",C825)),"Merchant Payment",IF(ISNUMBER(SEARCH("Offnet B2C",C825)),"Merchant Payment",IF(ISNUMBER(SEARCH("Customer Payment to Small",C825)),"Merchant Payment",IF(ISNUMBER(SEARCH("Payment to Small Business",C825)),"Merchant Payment",IF(ISNUMBER(SEARCH("Sent to",C825)),"Sent to Person",IF(ISNUMBER(SEARCH("Customer Transfer to",C825)),"Sent to Person",IF(ISNUMBER(SEARCH("Business Payment",C825)),"Money In",IF(ISNUMBER(SEARCH("Funds Received",C825)),"Money In",IF(ISNUMBER(SEARCH("Receive International",C825)),"Money In",IF(ISNUMBER(SEARCH("Send Money Reversal",C825)),"Money In",IF(ISNUMBER(SEARCH("Pay Utility Reversal",C825)),"Money In",IF(ISNUMBER(SEARCH("Customer Transfer",C825)),"Money In",IF(ISNUMBER(SEARCH("Ziidi",C825)),"Investment",IF(ISNUMBER(SEARCH("Nabo",C825)),"Investment",IF(ISNUMBER(SEARCH("Paybill Online",C825)),"Pay Bill",IF(ISNUMBER(SEARCH("Pay Bill",C825)),"Pay Bill",IF(ISNUMBER(SEARCH("Spotify",C825)),"Pay Bill",IF(ISNUMBER(SEARCH("M-Shwari",C825)),"Mshwari",IF(ISNUMBER(SEARCH("Mshwari",C825)),"Mshwari",IF(ISNUMBER(SEARCH("Withdrawal charge",C825)),"Fees",IF(ISNUMBER(SEARCH("Customer Withdrawal",C825)),"Fees",IF(ISNUMBER(SEARCH("charge",C825)),"Fees","Other")))))))))))))))))))))))))</f>
        <v>Mshwari</v>
      </c>
      <c r="R825" s="1" t="str">
        <f aca="false">TEXT(B825,"MMM YYYY")</f>
        <v>Apr 2026</v>
      </c>
    </row>
    <row r="826" customFormat="false" ht="13.8" hidden="false" customHeight="false" outlineLevel="0" collapsed="false">
      <c r="A826" s="4" t="s">
        <v>1721</v>
      </c>
      <c r="B826" s="4" t="s">
        <v>1722</v>
      </c>
      <c r="C826" s="4" t="s">
        <v>29</v>
      </c>
      <c r="D826" s="4" t="s">
        <v>18</v>
      </c>
      <c r="E826" s="4"/>
      <c r="F826" s="4" t="n">
        <v>20</v>
      </c>
      <c r="G826" s="4" t="n">
        <v>91.78</v>
      </c>
      <c r="L826" s="1" t="str">
        <f aca="false">IF(ISNUMBER(SEARCH("Bundle",C826)),"Bundles",IF(ISNUMBER(SEARCH("Airtime",C826)),"Bundles",IF(ISNUMBER(SEARCH("Merchant",C826)),"Merchant Payment",IF(ISNUMBER(SEARCH("Offnet C2B",C826)),"Merchant Payment",IF(ISNUMBER(SEARCH("Offnet B2C",C826)),"Merchant Payment",IF(ISNUMBER(SEARCH("Customer Payment to Small",C826)),"Merchant Payment",IF(ISNUMBER(SEARCH("Payment to Small Business",C826)),"Merchant Payment",IF(ISNUMBER(SEARCH("Sent to",C826)),"Sent to Person",IF(ISNUMBER(SEARCH("Customer Transfer to",C826)),"Sent to Person",IF(ISNUMBER(SEARCH("Business Payment",C826)),"Money In",IF(ISNUMBER(SEARCH("Funds Received",C826)),"Money In",IF(ISNUMBER(SEARCH("Receive International",C826)),"Money In",IF(ISNUMBER(SEARCH("Send Money Reversal",C826)),"Money In",IF(ISNUMBER(SEARCH("Pay Utility Reversal",C826)),"Money In",IF(ISNUMBER(SEARCH("Customer Transfer",C826)),"Money In",IF(ISNUMBER(SEARCH("Ziidi",C826)),"Investment",IF(ISNUMBER(SEARCH("Nabo",C826)),"Investment",IF(ISNUMBER(SEARCH("Paybill Online",C826)),"Pay Bill",IF(ISNUMBER(SEARCH("Pay Bill",C826)),"Pay Bill",IF(ISNUMBER(SEARCH("Spotify",C826)),"Pay Bill",IF(ISNUMBER(SEARCH("M-Shwari",C826)),"Mshwari",IF(ISNUMBER(SEARCH("Mshwari",C826)),"Mshwari",IF(ISNUMBER(SEARCH("Withdrawal charge",C826)),"Fees",IF(ISNUMBER(SEARCH("Customer Withdrawal",C826)),"Fees",IF(ISNUMBER(SEARCH("charge",C826)),"Fees","Other")))))))))))))))))))))))))</f>
        <v>Bundles</v>
      </c>
      <c r="R826" s="1" t="str">
        <f aca="false">TEXT(B826,"MMM YYYY")</f>
        <v>Apr 2026</v>
      </c>
    </row>
    <row r="827" customFormat="false" ht="13.8" hidden="false" customHeight="false" outlineLevel="0" collapsed="false">
      <c r="A827" s="4" t="s">
        <v>1723</v>
      </c>
      <c r="B827" s="4" t="s">
        <v>1724</v>
      </c>
      <c r="C827" s="4" t="s">
        <v>192</v>
      </c>
      <c r="D827" s="4" t="s">
        <v>18</v>
      </c>
      <c r="E827" s="4" t="n">
        <v>100</v>
      </c>
      <c r="F827" s="4"/>
      <c r="G827" s="4" t="n">
        <v>191.78</v>
      </c>
      <c r="L827" s="1" t="str">
        <f aca="false">IF(ISNUMBER(SEARCH("Bundle",C827)),"Bundles",IF(ISNUMBER(SEARCH("Airtime",C827)),"Bundles",IF(ISNUMBER(SEARCH("Merchant",C827)),"Merchant Payment",IF(ISNUMBER(SEARCH("Offnet C2B",C827)),"Merchant Payment",IF(ISNUMBER(SEARCH("Offnet B2C",C827)),"Merchant Payment",IF(ISNUMBER(SEARCH("Customer Payment to Small",C827)),"Merchant Payment",IF(ISNUMBER(SEARCH("Payment to Small Business",C827)),"Merchant Payment",IF(ISNUMBER(SEARCH("Sent to",C827)),"Sent to Person",IF(ISNUMBER(SEARCH("Customer Transfer to",C827)),"Sent to Person",IF(ISNUMBER(SEARCH("Business Payment",C827)),"Money In",IF(ISNUMBER(SEARCH("Funds Received",C827)),"Money In",IF(ISNUMBER(SEARCH("Receive International",C827)),"Money In",IF(ISNUMBER(SEARCH("Send Money Reversal",C827)),"Money In",IF(ISNUMBER(SEARCH("Pay Utility Reversal",C827)),"Money In",IF(ISNUMBER(SEARCH("Customer Transfer",C827)),"Money In",IF(ISNUMBER(SEARCH("Ziidi",C827)),"Investment",IF(ISNUMBER(SEARCH("Nabo",C827)),"Investment",IF(ISNUMBER(SEARCH("Paybill Online",C827)),"Pay Bill",IF(ISNUMBER(SEARCH("Pay Bill",C827)),"Pay Bill",IF(ISNUMBER(SEARCH("Spotify",C827)),"Pay Bill",IF(ISNUMBER(SEARCH("M-Shwari",C827)),"Mshwari",IF(ISNUMBER(SEARCH("Mshwari",C827)),"Mshwari",IF(ISNUMBER(SEARCH("Withdrawal charge",C827)),"Fees",IF(ISNUMBER(SEARCH("Customer Withdrawal",C827)),"Fees",IF(ISNUMBER(SEARCH("charge",C827)),"Fees","Other")))))))))))))))))))))))))</f>
        <v>Mshwari</v>
      </c>
      <c r="R827" s="1" t="str">
        <f aca="false">TEXT(B827,"MMM YYYY")</f>
        <v>Apr 2026</v>
      </c>
    </row>
    <row r="828" customFormat="false" ht="13.8" hidden="false" customHeight="false" outlineLevel="0" collapsed="false">
      <c r="A828" s="4" t="s">
        <v>1725</v>
      </c>
      <c r="B828" s="4" t="s">
        <v>1726</v>
      </c>
      <c r="C828" s="4" t="s">
        <v>1727</v>
      </c>
      <c r="D828" s="4" t="s">
        <v>18</v>
      </c>
      <c r="E828" s="4"/>
      <c r="F828" s="4" t="n">
        <v>100</v>
      </c>
      <c r="G828" s="4" t="n">
        <v>91.78</v>
      </c>
      <c r="L828" s="1" t="str">
        <f aca="false">IF(ISNUMBER(SEARCH("Bundle",C828)),"Bundles",IF(ISNUMBER(SEARCH("Airtime",C828)),"Bundles",IF(ISNUMBER(SEARCH("Merchant",C828)),"Merchant Payment",IF(ISNUMBER(SEARCH("Offnet C2B",C828)),"Merchant Payment",IF(ISNUMBER(SEARCH("Offnet B2C",C828)),"Merchant Payment",IF(ISNUMBER(SEARCH("Customer Payment to Small",C828)),"Merchant Payment",IF(ISNUMBER(SEARCH("Payment to Small Business",C828)),"Merchant Payment",IF(ISNUMBER(SEARCH("Sent to",C828)),"Sent to Person",IF(ISNUMBER(SEARCH("Customer Transfer to",C828)),"Sent to Person",IF(ISNUMBER(SEARCH("Business Payment",C828)),"Money In",IF(ISNUMBER(SEARCH("Funds Received",C828)),"Money In",IF(ISNUMBER(SEARCH("Receive International",C828)),"Money In",IF(ISNUMBER(SEARCH("Send Money Reversal",C828)),"Money In",IF(ISNUMBER(SEARCH("Pay Utility Reversal",C828)),"Money In",IF(ISNUMBER(SEARCH("Customer Transfer",C828)),"Money In",IF(ISNUMBER(SEARCH("Ziidi",C828)),"Investment",IF(ISNUMBER(SEARCH("Nabo",C828)),"Investment",IF(ISNUMBER(SEARCH("Paybill Online",C828)),"Pay Bill",IF(ISNUMBER(SEARCH("Pay Bill",C828)),"Pay Bill",IF(ISNUMBER(SEARCH("Spotify",C828)),"Pay Bill",IF(ISNUMBER(SEARCH("M-Shwari",C828)),"Mshwari",IF(ISNUMBER(SEARCH("Mshwari",C828)),"Mshwari",IF(ISNUMBER(SEARCH("Withdrawal charge",C828)),"Fees",IF(ISNUMBER(SEARCH("Customer Withdrawal",C828)),"Fees",IF(ISNUMBER(SEARCH("charge",C828)),"Fees","Other")))))))))))))))))))))))))</f>
        <v>Merchant Payment</v>
      </c>
      <c r="R828" s="1" t="str">
        <f aca="false">TEXT(B828,"MMM YYYY")</f>
        <v>Apr 2026</v>
      </c>
    </row>
    <row r="829" customFormat="false" ht="13.8" hidden="false" customHeight="false" outlineLevel="0" collapsed="false">
      <c r="A829" s="4" t="s">
        <v>1728</v>
      </c>
      <c r="B829" s="4" t="s">
        <v>1729</v>
      </c>
      <c r="C829" s="4" t="s">
        <v>1073</v>
      </c>
      <c r="D829" s="4" t="s">
        <v>18</v>
      </c>
      <c r="E829" s="4"/>
      <c r="F829" s="4" t="n">
        <v>60</v>
      </c>
      <c r="G829" s="4" t="n">
        <v>31.78</v>
      </c>
      <c r="L829" s="1" t="str">
        <f aca="false">IF(ISNUMBER(SEARCH("Bundle",C829)),"Bundles",IF(ISNUMBER(SEARCH("Airtime",C829)),"Bundles",IF(ISNUMBER(SEARCH("Merchant",C829)),"Merchant Payment",IF(ISNUMBER(SEARCH("Offnet C2B",C829)),"Merchant Payment",IF(ISNUMBER(SEARCH("Offnet B2C",C829)),"Merchant Payment",IF(ISNUMBER(SEARCH("Customer Payment to Small",C829)),"Merchant Payment",IF(ISNUMBER(SEARCH("Payment to Small Business",C829)),"Merchant Payment",IF(ISNUMBER(SEARCH("Sent to",C829)),"Sent to Person",IF(ISNUMBER(SEARCH("Customer Transfer to",C829)),"Sent to Person",IF(ISNUMBER(SEARCH("Business Payment",C829)),"Money In",IF(ISNUMBER(SEARCH("Funds Received",C829)),"Money In",IF(ISNUMBER(SEARCH("Receive International",C829)),"Money In",IF(ISNUMBER(SEARCH("Send Money Reversal",C829)),"Money In",IF(ISNUMBER(SEARCH("Pay Utility Reversal",C829)),"Money In",IF(ISNUMBER(SEARCH("Customer Transfer",C829)),"Money In",IF(ISNUMBER(SEARCH("Ziidi",C829)),"Investment",IF(ISNUMBER(SEARCH("Nabo",C829)),"Investment",IF(ISNUMBER(SEARCH("Paybill Online",C829)),"Pay Bill",IF(ISNUMBER(SEARCH("Pay Bill",C829)),"Pay Bill",IF(ISNUMBER(SEARCH("Spotify",C829)),"Pay Bill",IF(ISNUMBER(SEARCH("M-Shwari",C829)),"Mshwari",IF(ISNUMBER(SEARCH("Mshwari",C829)),"Mshwari",IF(ISNUMBER(SEARCH("Withdrawal charge",C829)),"Fees",IF(ISNUMBER(SEARCH("Customer Withdrawal",C829)),"Fees",IF(ISNUMBER(SEARCH("charge",C829)),"Fees","Other")))))))))))))))))))))))))</f>
        <v>Merchant Payment</v>
      </c>
      <c r="R829" s="1" t="str">
        <f aca="false">TEXT(B829,"MMM YYYY")</f>
        <v>Apr 2026</v>
      </c>
    </row>
    <row r="830" customFormat="false" ht="13.8" hidden="false" customHeight="false" outlineLevel="0" collapsed="false">
      <c r="A830" s="4" t="s">
        <v>1730</v>
      </c>
      <c r="B830" s="4" t="s">
        <v>1731</v>
      </c>
      <c r="C830" s="4" t="s">
        <v>1732</v>
      </c>
      <c r="D830" s="4" t="s">
        <v>18</v>
      </c>
      <c r="E830" s="4"/>
      <c r="F830" s="4" t="n">
        <v>30</v>
      </c>
      <c r="G830" s="4" t="n">
        <v>1.78</v>
      </c>
      <c r="L830" s="1" t="str">
        <f aca="false">IF(ISNUMBER(SEARCH("Bundle",C830)),"Bundles",IF(ISNUMBER(SEARCH("Airtime",C830)),"Bundles",IF(ISNUMBER(SEARCH("Merchant",C830)),"Merchant Payment",IF(ISNUMBER(SEARCH("Offnet C2B",C830)),"Merchant Payment",IF(ISNUMBER(SEARCH("Offnet B2C",C830)),"Merchant Payment",IF(ISNUMBER(SEARCH("Customer Payment to Small",C830)),"Merchant Payment",IF(ISNUMBER(SEARCH("Payment to Small Business",C830)),"Merchant Payment",IF(ISNUMBER(SEARCH("Sent to",C830)),"Sent to Person",IF(ISNUMBER(SEARCH("Customer Transfer to",C830)),"Sent to Person",IF(ISNUMBER(SEARCH("Business Payment",C830)),"Money In",IF(ISNUMBER(SEARCH("Funds Received",C830)),"Money In",IF(ISNUMBER(SEARCH("Receive International",C830)),"Money In",IF(ISNUMBER(SEARCH("Send Money Reversal",C830)),"Money In",IF(ISNUMBER(SEARCH("Pay Utility Reversal",C830)),"Money In",IF(ISNUMBER(SEARCH("Customer Transfer",C830)),"Money In",IF(ISNUMBER(SEARCH("Ziidi",C830)),"Investment",IF(ISNUMBER(SEARCH("Nabo",C830)),"Investment",IF(ISNUMBER(SEARCH("Paybill Online",C830)),"Pay Bill",IF(ISNUMBER(SEARCH("Pay Bill",C830)),"Pay Bill",IF(ISNUMBER(SEARCH("Spotify",C830)),"Pay Bill",IF(ISNUMBER(SEARCH("M-Shwari",C830)),"Mshwari",IF(ISNUMBER(SEARCH("Mshwari",C830)),"Mshwari",IF(ISNUMBER(SEARCH("Withdrawal charge",C830)),"Fees",IF(ISNUMBER(SEARCH("Customer Withdrawal",C830)),"Fees",IF(ISNUMBER(SEARCH("charge",C830)),"Fees","Other")))))))))))))))))))))))))</f>
        <v>Sent to Person</v>
      </c>
      <c r="R830" s="1" t="str">
        <f aca="false">TEXT(B830,"MMM YYYY")</f>
        <v>Apr 2026</v>
      </c>
    </row>
    <row r="831" customFormat="false" ht="13.8" hidden="false" customHeight="false" outlineLevel="0" collapsed="false">
      <c r="A831" s="4" t="s">
        <v>1733</v>
      </c>
      <c r="B831" s="4" t="s">
        <v>1734</v>
      </c>
      <c r="C831" s="4" t="s">
        <v>192</v>
      </c>
      <c r="D831" s="4" t="s">
        <v>18</v>
      </c>
      <c r="E831" s="4" t="n">
        <v>100</v>
      </c>
      <c r="F831" s="4"/>
      <c r="G831" s="4" t="n">
        <v>101.78</v>
      </c>
      <c r="L831" s="1" t="str">
        <f aca="false">IF(ISNUMBER(SEARCH("Bundle",C831)),"Bundles",IF(ISNUMBER(SEARCH("Airtime",C831)),"Bundles",IF(ISNUMBER(SEARCH("Merchant",C831)),"Merchant Payment",IF(ISNUMBER(SEARCH("Offnet C2B",C831)),"Merchant Payment",IF(ISNUMBER(SEARCH("Offnet B2C",C831)),"Merchant Payment",IF(ISNUMBER(SEARCH("Customer Payment to Small",C831)),"Merchant Payment",IF(ISNUMBER(SEARCH("Payment to Small Business",C831)),"Merchant Payment",IF(ISNUMBER(SEARCH("Sent to",C831)),"Sent to Person",IF(ISNUMBER(SEARCH("Customer Transfer to",C831)),"Sent to Person",IF(ISNUMBER(SEARCH("Business Payment",C831)),"Money In",IF(ISNUMBER(SEARCH("Funds Received",C831)),"Money In",IF(ISNUMBER(SEARCH("Receive International",C831)),"Money In",IF(ISNUMBER(SEARCH("Send Money Reversal",C831)),"Money In",IF(ISNUMBER(SEARCH("Pay Utility Reversal",C831)),"Money In",IF(ISNUMBER(SEARCH("Customer Transfer",C831)),"Money In",IF(ISNUMBER(SEARCH("Ziidi",C831)),"Investment",IF(ISNUMBER(SEARCH("Nabo",C831)),"Investment",IF(ISNUMBER(SEARCH("Paybill Online",C831)),"Pay Bill",IF(ISNUMBER(SEARCH("Pay Bill",C831)),"Pay Bill",IF(ISNUMBER(SEARCH("Spotify",C831)),"Pay Bill",IF(ISNUMBER(SEARCH("M-Shwari",C831)),"Mshwari",IF(ISNUMBER(SEARCH("Mshwari",C831)),"Mshwari",IF(ISNUMBER(SEARCH("Withdrawal charge",C831)),"Fees",IF(ISNUMBER(SEARCH("Customer Withdrawal",C831)),"Fees",IF(ISNUMBER(SEARCH("charge",C831)),"Fees","Other")))))))))))))))))))))))))</f>
        <v>Mshwari</v>
      </c>
      <c r="R831" s="1" t="str">
        <f aca="false">TEXT(B831,"MMM YYYY")</f>
        <v>Apr 2026</v>
      </c>
    </row>
    <row r="832" customFormat="false" ht="13.8" hidden="false" customHeight="false" outlineLevel="0" collapsed="false">
      <c r="A832" s="4" t="s">
        <v>1735</v>
      </c>
      <c r="B832" s="4" t="s">
        <v>1736</v>
      </c>
      <c r="C832" s="4" t="s">
        <v>17</v>
      </c>
      <c r="D832" s="4" t="s">
        <v>18</v>
      </c>
      <c r="E832" s="4"/>
      <c r="F832" s="4" t="n">
        <v>20</v>
      </c>
      <c r="G832" s="4" t="n">
        <v>81.78</v>
      </c>
      <c r="L832" s="1" t="str">
        <f aca="false">IF(ISNUMBER(SEARCH("Bundle",C832)),"Bundles",IF(ISNUMBER(SEARCH("Airtime",C832)),"Bundles",IF(ISNUMBER(SEARCH("Merchant",C832)),"Merchant Payment",IF(ISNUMBER(SEARCH("Offnet C2B",C832)),"Merchant Payment",IF(ISNUMBER(SEARCH("Offnet B2C",C832)),"Merchant Payment",IF(ISNUMBER(SEARCH("Customer Payment to Small",C832)),"Merchant Payment",IF(ISNUMBER(SEARCH("Payment to Small Business",C832)),"Merchant Payment",IF(ISNUMBER(SEARCH("Sent to",C832)),"Sent to Person",IF(ISNUMBER(SEARCH("Customer Transfer to",C832)),"Sent to Person",IF(ISNUMBER(SEARCH("Business Payment",C832)),"Money In",IF(ISNUMBER(SEARCH("Funds Received",C832)),"Money In",IF(ISNUMBER(SEARCH("Receive International",C832)),"Money In",IF(ISNUMBER(SEARCH("Send Money Reversal",C832)),"Money In",IF(ISNUMBER(SEARCH("Pay Utility Reversal",C832)),"Money In",IF(ISNUMBER(SEARCH("Customer Transfer",C832)),"Money In",IF(ISNUMBER(SEARCH("Ziidi",C832)),"Investment",IF(ISNUMBER(SEARCH("Nabo",C832)),"Investment",IF(ISNUMBER(SEARCH("Paybill Online",C832)),"Pay Bill",IF(ISNUMBER(SEARCH("Pay Bill",C832)),"Pay Bill",IF(ISNUMBER(SEARCH("Spotify",C832)),"Pay Bill",IF(ISNUMBER(SEARCH("M-Shwari",C832)),"Mshwari",IF(ISNUMBER(SEARCH("Mshwari",C832)),"Mshwari",IF(ISNUMBER(SEARCH("Withdrawal charge",C832)),"Fees",IF(ISNUMBER(SEARCH("Customer Withdrawal",C832)),"Fees",IF(ISNUMBER(SEARCH("charge",C832)),"Fees","Other")))))))))))))))))))))))))</f>
        <v>Bundles</v>
      </c>
      <c r="R832" s="1" t="str">
        <f aca="false">TEXT(B832,"MMM YYYY")</f>
        <v>Apr 2026</v>
      </c>
    </row>
    <row r="833" customFormat="false" ht="13.8" hidden="false" customHeight="false" outlineLevel="0" collapsed="false">
      <c r="A833" s="4" t="s">
        <v>1737</v>
      </c>
      <c r="B833" s="4" t="s">
        <v>1738</v>
      </c>
      <c r="C833" s="4" t="s">
        <v>17</v>
      </c>
      <c r="D833" s="4" t="s">
        <v>18</v>
      </c>
      <c r="E833" s="4"/>
      <c r="F833" s="4" t="n">
        <v>20</v>
      </c>
      <c r="G833" s="4" t="n">
        <v>61.78</v>
      </c>
      <c r="L833" s="1" t="str">
        <f aca="false">IF(ISNUMBER(SEARCH("Bundle",C833)),"Bundles",IF(ISNUMBER(SEARCH("Airtime",C833)),"Bundles",IF(ISNUMBER(SEARCH("Merchant",C833)),"Merchant Payment",IF(ISNUMBER(SEARCH("Offnet C2B",C833)),"Merchant Payment",IF(ISNUMBER(SEARCH("Offnet B2C",C833)),"Merchant Payment",IF(ISNUMBER(SEARCH("Customer Payment to Small",C833)),"Merchant Payment",IF(ISNUMBER(SEARCH("Payment to Small Business",C833)),"Merchant Payment",IF(ISNUMBER(SEARCH("Sent to",C833)),"Sent to Person",IF(ISNUMBER(SEARCH("Customer Transfer to",C833)),"Sent to Person",IF(ISNUMBER(SEARCH("Business Payment",C833)),"Money In",IF(ISNUMBER(SEARCH("Funds Received",C833)),"Money In",IF(ISNUMBER(SEARCH("Receive International",C833)),"Money In",IF(ISNUMBER(SEARCH("Send Money Reversal",C833)),"Money In",IF(ISNUMBER(SEARCH("Pay Utility Reversal",C833)),"Money In",IF(ISNUMBER(SEARCH("Customer Transfer",C833)),"Money In",IF(ISNUMBER(SEARCH("Ziidi",C833)),"Investment",IF(ISNUMBER(SEARCH("Nabo",C833)),"Investment",IF(ISNUMBER(SEARCH("Paybill Online",C833)),"Pay Bill",IF(ISNUMBER(SEARCH("Pay Bill",C833)),"Pay Bill",IF(ISNUMBER(SEARCH("Spotify",C833)),"Pay Bill",IF(ISNUMBER(SEARCH("M-Shwari",C833)),"Mshwari",IF(ISNUMBER(SEARCH("Mshwari",C833)),"Mshwari",IF(ISNUMBER(SEARCH("Withdrawal charge",C833)),"Fees",IF(ISNUMBER(SEARCH("Customer Withdrawal",C833)),"Fees",IF(ISNUMBER(SEARCH("charge",C833)),"Fees","Other")))))))))))))))))))))))))</f>
        <v>Bundles</v>
      </c>
      <c r="R833" s="1" t="str">
        <f aca="false">TEXT(B833,"MMM YYYY")</f>
        <v>Apr 2026</v>
      </c>
    </row>
    <row r="834" customFormat="false" ht="13.8" hidden="false" customHeight="false" outlineLevel="0" collapsed="false">
      <c r="A834" s="4" t="s">
        <v>1739</v>
      </c>
      <c r="B834" s="4" t="s">
        <v>1740</v>
      </c>
      <c r="C834" s="4" t="s">
        <v>192</v>
      </c>
      <c r="D834" s="4" t="s">
        <v>18</v>
      </c>
      <c r="E834" s="4" t="n">
        <v>400</v>
      </c>
      <c r="F834" s="4"/>
      <c r="G834" s="4" t="n">
        <v>461.78</v>
      </c>
      <c r="L834" s="1" t="str">
        <f aca="false">IF(ISNUMBER(SEARCH("Bundle",C834)),"Bundles",IF(ISNUMBER(SEARCH("Airtime",C834)),"Bundles",IF(ISNUMBER(SEARCH("Merchant",C834)),"Merchant Payment",IF(ISNUMBER(SEARCH("Offnet C2B",C834)),"Merchant Payment",IF(ISNUMBER(SEARCH("Offnet B2C",C834)),"Merchant Payment",IF(ISNUMBER(SEARCH("Customer Payment to Small",C834)),"Merchant Payment",IF(ISNUMBER(SEARCH("Payment to Small Business",C834)),"Merchant Payment",IF(ISNUMBER(SEARCH("Sent to",C834)),"Sent to Person",IF(ISNUMBER(SEARCH("Customer Transfer to",C834)),"Sent to Person",IF(ISNUMBER(SEARCH("Business Payment",C834)),"Money In",IF(ISNUMBER(SEARCH("Funds Received",C834)),"Money In",IF(ISNUMBER(SEARCH("Receive International",C834)),"Money In",IF(ISNUMBER(SEARCH("Send Money Reversal",C834)),"Money In",IF(ISNUMBER(SEARCH("Pay Utility Reversal",C834)),"Money In",IF(ISNUMBER(SEARCH("Customer Transfer",C834)),"Money In",IF(ISNUMBER(SEARCH("Ziidi",C834)),"Investment",IF(ISNUMBER(SEARCH("Nabo",C834)),"Investment",IF(ISNUMBER(SEARCH("Paybill Online",C834)),"Pay Bill",IF(ISNUMBER(SEARCH("Pay Bill",C834)),"Pay Bill",IF(ISNUMBER(SEARCH("Spotify",C834)),"Pay Bill",IF(ISNUMBER(SEARCH("M-Shwari",C834)),"Mshwari",IF(ISNUMBER(SEARCH("Mshwari",C834)),"Mshwari",IF(ISNUMBER(SEARCH("Withdrawal charge",C834)),"Fees",IF(ISNUMBER(SEARCH("Customer Withdrawal",C834)),"Fees",IF(ISNUMBER(SEARCH("charge",C834)),"Fees","Other")))))))))))))))))))))))))</f>
        <v>Mshwari</v>
      </c>
      <c r="R834" s="1" t="str">
        <f aca="false">TEXT(B834,"MMM YYYY")</f>
        <v>Apr 2026</v>
      </c>
    </row>
    <row r="835" customFormat="false" ht="13.8" hidden="false" customHeight="false" outlineLevel="0" collapsed="false">
      <c r="A835" s="4" t="s">
        <v>1741</v>
      </c>
      <c r="B835" s="4" t="s">
        <v>1742</v>
      </c>
      <c r="C835" s="4" t="s">
        <v>239</v>
      </c>
      <c r="D835" s="4" t="s">
        <v>18</v>
      </c>
      <c r="E835" s="4"/>
      <c r="F835" s="4" t="n">
        <v>7</v>
      </c>
      <c r="G835" s="4" t="n">
        <v>239.78</v>
      </c>
      <c r="L835" s="1" t="str">
        <f aca="false">IF(ISNUMBER(SEARCH("Bundle",C835)),"Bundles",IF(ISNUMBER(SEARCH("Airtime",C835)),"Bundles",IF(ISNUMBER(SEARCH("Merchant",C835)),"Merchant Payment",IF(ISNUMBER(SEARCH("Offnet C2B",C835)),"Merchant Payment",IF(ISNUMBER(SEARCH("Offnet B2C",C835)),"Merchant Payment",IF(ISNUMBER(SEARCH("Customer Payment to Small",C835)),"Merchant Payment",IF(ISNUMBER(SEARCH("Payment to Small Business",C835)),"Merchant Payment",IF(ISNUMBER(SEARCH("Sent to",C835)),"Sent to Person",IF(ISNUMBER(SEARCH("Customer Transfer to",C835)),"Sent to Person",IF(ISNUMBER(SEARCH("Business Payment",C835)),"Money In",IF(ISNUMBER(SEARCH("Funds Received",C835)),"Money In",IF(ISNUMBER(SEARCH("Receive International",C835)),"Money In",IF(ISNUMBER(SEARCH("Send Money Reversal",C835)),"Money In",IF(ISNUMBER(SEARCH("Pay Utility Reversal",C835)),"Money In",IF(ISNUMBER(SEARCH("Customer Transfer",C835)),"Money In",IF(ISNUMBER(SEARCH("Ziidi",C835)),"Investment",IF(ISNUMBER(SEARCH("Nabo",C835)),"Investment",IF(ISNUMBER(SEARCH("Paybill Online",C835)),"Pay Bill",IF(ISNUMBER(SEARCH("Pay Bill",C835)),"Pay Bill",IF(ISNUMBER(SEARCH("Spotify",C835)),"Pay Bill",IF(ISNUMBER(SEARCH("M-Shwari",C835)),"Mshwari",IF(ISNUMBER(SEARCH("Mshwari",C835)),"Mshwari",IF(ISNUMBER(SEARCH("Withdrawal charge",C835)),"Fees",IF(ISNUMBER(SEARCH("Customer Withdrawal",C835)),"Fees",IF(ISNUMBER(SEARCH("charge",C835)),"Fees","Other")))))))))))))))))))))))))</f>
        <v>Money In</v>
      </c>
      <c r="R835" s="1" t="str">
        <f aca="false">TEXT(B835,"MMM YYYY")</f>
        <v>Apr 2026</v>
      </c>
    </row>
    <row r="836" customFormat="false" ht="13.8" hidden="false" customHeight="false" outlineLevel="0" collapsed="false">
      <c r="A836" s="4" t="s">
        <v>1741</v>
      </c>
      <c r="B836" s="4" t="s">
        <v>1742</v>
      </c>
      <c r="C836" s="4" t="s">
        <v>787</v>
      </c>
      <c r="D836" s="4" t="s">
        <v>18</v>
      </c>
      <c r="E836" s="4"/>
      <c r="F836" s="4" t="n">
        <v>215</v>
      </c>
      <c r="G836" s="4" t="n">
        <v>246.78</v>
      </c>
      <c r="L836" s="1" t="str">
        <f aca="false">IF(ISNUMBER(SEARCH("Bundle",C836)),"Bundles",IF(ISNUMBER(SEARCH("Airtime",C836)),"Bundles",IF(ISNUMBER(SEARCH("Merchant",C836)),"Merchant Payment",IF(ISNUMBER(SEARCH("Offnet C2B",C836)),"Merchant Payment",IF(ISNUMBER(SEARCH("Offnet B2C",C836)),"Merchant Payment",IF(ISNUMBER(SEARCH("Customer Payment to Small",C836)),"Merchant Payment",IF(ISNUMBER(SEARCH("Payment to Small Business",C836)),"Merchant Payment",IF(ISNUMBER(SEARCH("Sent to",C836)),"Sent to Person",IF(ISNUMBER(SEARCH("Customer Transfer to",C836)),"Sent to Person",IF(ISNUMBER(SEARCH("Business Payment",C836)),"Money In",IF(ISNUMBER(SEARCH("Funds Received",C836)),"Money In",IF(ISNUMBER(SEARCH("Receive International",C836)),"Money In",IF(ISNUMBER(SEARCH("Send Money Reversal",C836)),"Money In",IF(ISNUMBER(SEARCH("Pay Utility Reversal",C836)),"Money In",IF(ISNUMBER(SEARCH("Customer Transfer",C836)),"Money In",IF(ISNUMBER(SEARCH("Ziidi",C836)),"Investment",IF(ISNUMBER(SEARCH("Nabo",C836)),"Investment",IF(ISNUMBER(SEARCH("Paybill Online",C836)),"Pay Bill",IF(ISNUMBER(SEARCH("Pay Bill",C836)),"Pay Bill",IF(ISNUMBER(SEARCH("Spotify",C836)),"Pay Bill",IF(ISNUMBER(SEARCH("M-Shwari",C836)),"Mshwari",IF(ISNUMBER(SEARCH("Mshwari",C836)),"Mshwari",IF(ISNUMBER(SEARCH("Withdrawal charge",C836)),"Fees",IF(ISNUMBER(SEARCH("Customer Withdrawal",C836)),"Fees",IF(ISNUMBER(SEARCH("charge",C836)),"Fees","Other")))))))))))))))))))))))))</f>
        <v>Merchant Payment</v>
      </c>
      <c r="R836" s="1" t="str">
        <f aca="false">TEXT(B836,"MMM YYYY")</f>
        <v>Apr 2026</v>
      </c>
    </row>
    <row r="837" customFormat="false" ht="13.8" hidden="false" customHeight="false" outlineLevel="0" collapsed="false">
      <c r="A837" s="4" t="s">
        <v>1743</v>
      </c>
      <c r="B837" s="4" t="s">
        <v>1744</v>
      </c>
      <c r="C837" s="4" t="s">
        <v>1086</v>
      </c>
      <c r="D837" s="4" t="s">
        <v>18</v>
      </c>
      <c r="E837" s="4"/>
      <c r="F837" s="4" t="n">
        <v>100</v>
      </c>
      <c r="G837" s="4" t="n">
        <v>139.78</v>
      </c>
      <c r="L837" s="1" t="str">
        <f aca="false">IF(ISNUMBER(SEARCH("Bundle",C837)),"Bundles",IF(ISNUMBER(SEARCH("Airtime",C837)),"Bundles",IF(ISNUMBER(SEARCH("Merchant",C837)),"Merchant Payment",IF(ISNUMBER(SEARCH("Offnet C2B",C837)),"Merchant Payment",IF(ISNUMBER(SEARCH("Offnet B2C",C837)),"Merchant Payment",IF(ISNUMBER(SEARCH("Customer Payment to Small",C837)),"Merchant Payment",IF(ISNUMBER(SEARCH("Payment to Small Business",C837)),"Merchant Payment",IF(ISNUMBER(SEARCH("Sent to",C837)),"Sent to Person",IF(ISNUMBER(SEARCH("Customer Transfer to",C837)),"Sent to Person",IF(ISNUMBER(SEARCH("Business Payment",C837)),"Money In",IF(ISNUMBER(SEARCH("Funds Received",C837)),"Money In",IF(ISNUMBER(SEARCH("Receive International",C837)),"Money In",IF(ISNUMBER(SEARCH("Send Money Reversal",C837)),"Money In",IF(ISNUMBER(SEARCH("Pay Utility Reversal",C837)),"Money In",IF(ISNUMBER(SEARCH("Customer Transfer",C837)),"Money In",IF(ISNUMBER(SEARCH("Ziidi",C837)),"Investment",IF(ISNUMBER(SEARCH("Nabo",C837)),"Investment",IF(ISNUMBER(SEARCH("Paybill Online",C837)),"Pay Bill",IF(ISNUMBER(SEARCH("Pay Bill",C837)),"Pay Bill",IF(ISNUMBER(SEARCH("Spotify",C837)),"Pay Bill",IF(ISNUMBER(SEARCH("M-Shwari",C837)),"Mshwari",IF(ISNUMBER(SEARCH("Mshwari",C837)),"Mshwari",IF(ISNUMBER(SEARCH("Withdrawal charge",C837)),"Fees",IF(ISNUMBER(SEARCH("Customer Withdrawal",C837)),"Fees",IF(ISNUMBER(SEARCH("charge",C837)),"Fees","Other")))))))))))))))))))))))))</f>
        <v>Sent to Person</v>
      </c>
      <c r="R837" s="1" t="str">
        <f aca="false">TEXT(B837,"MMM YYYY")</f>
        <v>Apr 2026</v>
      </c>
    </row>
    <row r="838" customFormat="false" ht="13.8" hidden="false" customHeight="false" outlineLevel="0" collapsed="false">
      <c r="A838" s="4" t="s">
        <v>1745</v>
      </c>
      <c r="B838" s="4" t="s">
        <v>1746</v>
      </c>
      <c r="C838" s="4" t="s">
        <v>17</v>
      </c>
      <c r="D838" s="4" t="s">
        <v>18</v>
      </c>
      <c r="E838" s="4"/>
      <c r="F838" s="4" t="n">
        <v>20</v>
      </c>
      <c r="G838" s="4" t="n">
        <v>119.78</v>
      </c>
      <c r="L838" s="1" t="str">
        <f aca="false">IF(ISNUMBER(SEARCH("Bundle",C838)),"Bundles",IF(ISNUMBER(SEARCH("Airtime",C838)),"Bundles",IF(ISNUMBER(SEARCH("Merchant",C838)),"Merchant Payment",IF(ISNUMBER(SEARCH("Offnet C2B",C838)),"Merchant Payment",IF(ISNUMBER(SEARCH("Offnet B2C",C838)),"Merchant Payment",IF(ISNUMBER(SEARCH("Customer Payment to Small",C838)),"Merchant Payment",IF(ISNUMBER(SEARCH("Payment to Small Business",C838)),"Merchant Payment",IF(ISNUMBER(SEARCH("Sent to",C838)),"Sent to Person",IF(ISNUMBER(SEARCH("Customer Transfer to",C838)),"Sent to Person",IF(ISNUMBER(SEARCH("Business Payment",C838)),"Money In",IF(ISNUMBER(SEARCH("Funds Received",C838)),"Money In",IF(ISNUMBER(SEARCH("Receive International",C838)),"Money In",IF(ISNUMBER(SEARCH("Send Money Reversal",C838)),"Money In",IF(ISNUMBER(SEARCH("Pay Utility Reversal",C838)),"Money In",IF(ISNUMBER(SEARCH("Customer Transfer",C838)),"Money In",IF(ISNUMBER(SEARCH("Ziidi",C838)),"Investment",IF(ISNUMBER(SEARCH("Nabo",C838)),"Investment",IF(ISNUMBER(SEARCH("Paybill Online",C838)),"Pay Bill",IF(ISNUMBER(SEARCH("Pay Bill",C838)),"Pay Bill",IF(ISNUMBER(SEARCH("Spotify",C838)),"Pay Bill",IF(ISNUMBER(SEARCH("M-Shwari",C838)),"Mshwari",IF(ISNUMBER(SEARCH("Mshwari",C838)),"Mshwari",IF(ISNUMBER(SEARCH("Withdrawal charge",C838)),"Fees",IF(ISNUMBER(SEARCH("Customer Withdrawal",C838)),"Fees",IF(ISNUMBER(SEARCH("charge",C838)),"Fees","Other")))))))))))))))))))))))))</f>
        <v>Bundles</v>
      </c>
      <c r="R838" s="1" t="str">
        <f aca="false">TEXT(B838,"MMM YYYY")</f>
        <v>Apr 2026</v>
      </c>
    </row>
    <row r="839" customFormat="false" ht="13.8" hidden="false" customHeight="false" outlineLevel="0" collapsed="false">
      <c r="A839" s="4" t="s">
        <v>1747</v>
      </c>
      <c r="B839" s="4" t="s">
        <v>1748</v>
      </c>
      <c r="C839" s="4" t="s">
        <v>1749</v>
      </c>
      <c r="D839" s="4" t="s">
        <v>18</v>
      </c>
      <c r="E839" s="4"/>
      <c r="F839" s="4" t="n">
        <v>30</v>
      </c>
      <c r="G839" s="4" t="n">
        <v>89.78</v>
      </c>
      <c r="L839" s="1" t="str">
        <f aca="false">IF(ISNUMBER(SEARCH("Bundle",C839)),"Bundles",IF(ISNUMBER(SEARCH("Airtime",C839)),"Bundles",IF(ISNUMBER(SEARCH("Merchant",C839)),"Merchant Payment",IF(ISNUMBER(SEARCH("Offnet C2B",C839)),"Merchant Payment",IF(ISNUMBER(SEARCH("Offnet B2C",C839)),"Merchant Payment",IF(ISNUMBER(SEARCH("Customer Payment to Small",C839)),"Merchant Payment",IF(ISNUMBER(SEARCH("Payment to Small Business",C839)),"Merchant Payment",IF(ISNUMBER(SEARCH("Sent to",C839)),"Sent to Person",IF(ISNUMBER(SEARCH("Customer Transfer to",C839)),"Sent to Person",IF(ISNUMBER(SEARCH("Business Payment",C839)),"Money In",IF(ISNUMBER(SEARCH("Funds Received",C839)),"Money In",IF(ISNUMBER(SEARCH("Receive International",C839)),"Money In",IF(ISNUMBER(SEARCH("Send Money Reversal",C839)),"Money In",IF(ISNUMBER(SEARCH("Pay Utility Reversal",C839)),"Money In",IF(ISNUMBER(SEARCH("Customer Transfer",C839)),"Money In",IF(ISNUMBER(SEARCH("Ziidi",C839)),"Investment",IF(ISNUMBER(SEARCH("Nabo",C839)),"Investment",IF(ISNUMBER(SEARCH("Paybill Online",C839)),"Pay Bill",IF(ISNUMBER(SEARCH("Pay Bill",C839)),"Pay Bill",IF(ISNUMBER(SEARCH("Spotify",C839)),"Pay Bill",IF(ISNUMBER(SEARCH("M-Shwari",C839)),"Mshwari",IF(ISNUMBER(SEARCH("Mshwari",C839)),"Mshwari",IF(ISNUMBER(SEARCH("Withdrawal charge",C839)),"Fees",IF(ISNUMBER(SEARCH("Customer Withdrawal",C839)),"Fees",IF(ISNUMBER(SEARCH("charge",C839)),"Fees","Other")))))))))))))))))))))))))</f>
        <v>Sent to Person</v>
      </c>
      <c r="R839" s="1" t="str">
        <f aca="false">TEXT(B839,"MMM YYYY")</f>
        <v>Apr 2026</v>
      </c>
    </row>
    <row r="840" customFormat="false" ht="13.8" hidden="false" customHeight="false" outlineLevel="0" collapsed="false">
      <c r="A840" s="4" t="s">
        <v>1750</v>
      </c>
      <c r="B840" s="4" t="s">
        <v>1751</v>
      </c>
      <c r="C840" s="4" t="s">
        <v>1273</v>
      </c>
      <c r="D840" s="4" t="s">
        <v>18</v>
      </c>
      <c r="E840" s="4"/>
      <c r="F840" s="4" t="n">
        <v>50</v>
      </c>
      <c r="G840" s="4" t="n">
        <v>39.78</v>
      </c>
      <c r="L840" s="1" t="str">
        <f aca="false">IF(ISNUMBER(SEARCH("Bundle",C840)),"Bundles",IF(ISNUMBER(SEARCH("Airtime",C840)),"Bundles",IF(ISNUMBER(SEARCH("Merchant",C840)),"Merchant Payment",IF(ISNUMBER(SEARCH("Offnet C2B",C840)),"Merchant Payment",IF(ISNUMBER(SEARCH("Offnet B2C",C840)),"Merchant Payment",IF(ISNUMBER(SEARCH("Customer Payment to Small",C840)),"Merchant Payment",IF(ISNUMBER(SEARCH("Payment to Small Business",C840)),"Merchant Payment",IF(ISNUMBER(SEARCH("Sent to",C840)),"Sent to Person",IF(ISNUMBER(SEARCH("Customer Transfer to",C840)),"Sent to Person",IF(ISNUMBER(SEARCH("Business Payment",C840)),"Money In",IF(ISNUMBER(SEARCH("Funds Received",C840)),"Money In",IF(ISNUMBER(SEARCH("Receive International",C840)),"Money In",IF(ISNUMBER(SEARCH("Send Money Reversal",C840)),"Money In",IF(ISNUMBER(SEARCH("Pay Utility Reversal",C840)),"Money In",IF(ISNUMBER(SEARCH("Customer Transfer",C840)),"Money In",IF(ISNUMBER(SEARCH("Ziidi",C840)),"Investment",IF(ISNUMBER(SEARCH("Nabo",C840)),"Investment",IF(ISNUMBER(SEARCH("Paybill Online",C840)),"Pay Bill",IF(ISNUMBER(SEARCH("Pay Bill",C840)),"Pay Bill",IF(ISNUMBER(SEARCH("Spotify",C840)),"Pay Bill",IF(ISNUMBER(SEARCH("M-Shwari",C840)),"Mshwari",IF(ISNUMBER(SEARCH("Mshwari",C840)),"Mshwari",IF(ISNUMBER(SEARCH("Withdrawal charge",C840)),"Fees",IF(ISNUMBER(SEARCH("Customer Withdrawal",C840)),"Fees",IF(ISNUMBER(SEARCH("charge",C840)),"Fees","Other")))))))))))))))))))))))))</f>
        <v>Merchant Payment</v>
      </c>
      <c r="R840" s="1" t="str">
        <f aca="false">TEXT(B840,"MMM YYYY")</f>
        <v>Apr 2026</v>
      </c>
    </row>
    <row r="841" customFormat="false" ht="13.8" hidden="false" customHeight="false" outlineLevel="0" collapsed="false">
      <c r="A841" s="4" t="s">
        <v>1752</v>
      </c>
      <c r="B841" s="4" t="s">
        <v>1753</v>
      </c>
      <c r="C841" s="4" t="s">
        <v>17</v>
      </c>
      <c r="D841" s="4" t="s">
        <v>18</v>
      </c>
      <c r="E841" s="4"/>
      <c r="F841" s="4" t="n">
        <v>20</v>
      </c>
      <c r="G841" s="4" t="n">
        <v>19.78</v>
      </c>
      <c r="L841" s="1" t="str">
        <f aca="false">IF(ISNUMBER(SEARCH("Bundle",C841)),"Bundles",IF(ISNUMBER(SEARCH("Airtime",C841)),"Bundles",IF(ISNUMBER(SEARCH("Merchant",C841)),"Merchant Payment",IF(ISNUMBER(SEARCH("Offnet C2B",C841)),"Merchant Payment",IF(ISNUMBER(SEARCH("Offnet B2C",C841)),"Merchant Payment",IF(ISNUMBER(SEARCH("Customer Payment to Small",C841)),"Merchant Payment",IF(ISNUMBER(SEARCH("Payment to Small Business",C841)),"Merchant Payment",IF(ISNUMBER(SEARCH("Sent to",C841)),"Sent to Person",IF(ISNUMBER(SEARCH("Customer Transfer to",C841)),"Sent to Person",IF(ISNUMBER(SEARCH("Business Payment",C841)),"Money In",IF(ISNUMBER(SEARCH("Funds Received",C841)),"Money In",IF(ISNUMBER(SEARCH("Receive International",C841)),"Money In",IF(ISNUMBER(SEARCH("Send Money Reversal",C841)),"Money In",IF(ISNUMBER(SEARCH("Pay Utility Reversal",C841)),"Money In",IF(ISNUMBER(SEARCH("Customer Transfer",C841)),"Money In",IF(ISNUMBER(SEARCH("Ziidi",C841)),"Investment",IF(ISNUMBER(SEARCH("Nabo",C841)),"Investment",IF(ISNUMBER(SEARCH("Paybill Online",C841)),"Pay Bill",IF(ISNUMBER(SEARCH("Pay Bill",C841)),"Pay Bill",IF(ISNUMBER(SEARCH("Spotify",C841)),"Pay Bill",IF(ISNUMBER(SEARCH("M-Shwari",C841)),"Mshwari",IF(ISNUMBER(SEARCH("Mshwari",C841)),"Mshwari",IF(ISNUMBER(SEARCH("Withdrawal charge",C841)),"Fees",IF(ISNUMBER(SEARCH("Customer Withdrawal",C841)),"Fees",IF(ISNUMBER(SEARCH("charge",C841)),"Fees","Other")))))))))))))))))))))))))</f>
        <v>Bundles</v>
      </c>
      <c r="R841" s="1" t="str">
        <f aca="false">TEXT(B841,"MMM YYYY")</f>
        <v>Apr 2026</v>
      </c>
    </row>
    <row r="842" customFormat="false" ht="13.8" hidden="false" customHeight="false" outlineLevel="0" collapsed="false">
      <c r="A842" s="4" t="s">
        <v>1754</v>
      </c>
      <c r="B842" s="4" t="s">
        <v>1755</v>
      </c>
      <c r="C842" s="4" t="s">
        <v>192</v>
      </c>
      <c r="D842" s="4" t="s">
        <v>18</v>
      </c>
      <c r="E842" s="4" t="n">
        <v>200</v>
      </c>
      <c r="F842" s="4"/>
      <c r="G842" s="4" t="n">
        <v>219.78</v>
      </c>
      <c r="L842" s="1" t="str">
        <f aca="false">IF(ISNUMBER(SEARCH("Bundle",C842)),"Bundles",IF(ISNUMBER(SEARCH("Airtime",C842)),"Bundles",IF(ISNUMBER(SEARCH("Merchant",C842)),"Merchant Payment",IF(ISNUMBER(SEARCH("Offnet C2B",C842)),"Merchant Payment",IF(ISNUMBER(SEARCH("Offnet B2C",C842)),"Merchant Payment",IF(ISNUMBER(SEARCH("Customer Payment to Small",C842)),"Merchant Payment",IF(ISNUMBER(SEARCH("Payment to Small Business",C842)),"Merchant Payment",IF(ISNUMBER(SEARCH("Sent to",C842)),"Sent to Person",IF(ISNUMBER(SEARCH("Customer Transfer to",C842)),"Sent to Person",IF(ISNUMBER(SEARCH("Business Payment",C842)),"Money In",IF(ISNUMBER(SEARCH("Funds Received",C842)),"Money In",IF(ISNUMBER(SEARCH("Receive International",C842)),"Money In",IF(ISNUMBER(SEARCH("Send Money Reversal",C842)),"Money In",IF(ISNUMBER(SEARCH("Pay Utility Reversal",C842)),"Money In",IF(ISNUMBER(SEARCH("Customer Transfer",C842)),"Money In",IF(ISNUMBER(SEARCH("Ziidi",C842)),"Investment",IF(ISNUMBER(SEARCH("Nabo",C842)),"Investment",IF(ISNUMBER(SEARCH("Paybill Online",C842)),"Pay Bill",IF(ISNUMBER(SEARCH("Pay Bill",C842)),"Pay Bill",IF(ISNUMBER(SEARCH("Spotify",C842)),"Pay Bill",IF(ISNUMBER(SEARCH("M-Shwari",C842)),"Mshwari",IF(ISNUMBER(SEARCH("Mshwari",C842)),"Mshwari",IF(ISNUMBER(SEARCH("Withdrawal charge",C842)),"Fees",IF(ISNUMBER(SEARCH("Customer Withdrawal",C842)),"Fees",IF(ISNUMBER(SEARCH("charge",C842)),"Fees","Other")))))))))))))))))))))))))</f>
        <v>Mshwari</v>
      </c>
      <c r="R842" s="1" t="str">
        <f aca="false">TEXT(B842,"MMM YYYY")</f>
        <v>Apr 2026</v>
      </c>
    </row>
    <row r="843" customFormat="false" ht="13.8" hidden="false" customHeight="false" outlineLevel="0" collapsed="false">
      <c r="A843" s="4" t="s">
        <v>1756</v>
      </c>
      <c r="B843" s="4" t="s">
        <v>1757</v>
      </c>
      <c r="C843" s="4" t="s">
        <v>17</v>
      </c>
      <c r="D843" s="4" t="s">
        <v>18</v>
      </c>
      <c r="E843" s="4"/>
      <c r="F843" s="4" t="n">
        <v>20</v>
      </c>
      <c r="G843" s="4" t="n">
        <v>199.78</v>
      </c>
      <c r="L843" s="1" t="str">
        <f aca="false">IF(ISNUMBER(SEARCH("Bundle",C843)),"Bundles",IF(ISNUMBER(SEARCH("Airtime",C843)),"Bundles",IF(ISNUMBER(SEARCH("Merchant",C843)),"Merchant Payment",IF(ISNUMBER(SEARCH("Offnet C2B",C843)),"Merchant Payment",IF(ISNUMBER(SEARCH("Offnet B2C",C843)),"Merchant Payment",IF(ISNUMBER(SEARCH("Customer Payment to Small",C843)),"Merchant Payment",IF(ISNUMBER(SEARCH("Payment to Small Business",C843)),"Merchant Payment",IF(ISNUMBER(SEARCH("Sent to",C843)),"Sent to Person",IF(ISNUMBER(SEARCH("Customer Transfer to",C843)),"Sent to Person",IF(ISNUMBER(SEARCH("Business Payment",C843)),"Money In",IF(ISNUMBER(SEARCH("Funds Received",C843)),"Money In",IF(ISNUMBER(SEARCH("Receive International",C843)),"Money In",IF(ISNUMBER(SEARCH("Send Money Reversal",C843)),"Money In",IF(ISNUMBER(SEARCH("Pay Utility Reversal",C843)),"Money In",IF(ISNUMBER(SEARCH("Customer Transfer",C843)),"Money In",IF(ISNUMBER(SEARCH("Ziidi",C843)),"Investment",IF(ISNUMBER(SEARCH("Nabo",C843)),"Investment",IF(ISNUMBER(SEARCH("Paybill Online",C843)),"Pay Bill",IF(ISNUMBER(SEARCH("Pay Bill",C843)),"Pay Bill",IF(ISNUMBER(SEARCH("Spotify",C843)),"Pay Bill",IF(ISNUMBER(SEARCH("M-Shwari",C843)),"Mshwari",IF(ISNUMBER(SEARCH("Mshwari",C843)),"Mshwari",IF(ISNUMBER(SEARCH("Withdrawal charge",C843)),"Fees",IF(ISNUMBER(SEARCH("Customer Withdrawal",C843)),"Fees",IF(ISNUMBER(SEARCH("charge",C843)),"Fees","Other")))))))))))))))))))))))))</f>
        <v>Bundles</v>
      </c>
      <c r="R843" s="1" t="str">
        <f aca="false">TEXT(B843,"MMM YYYY")</f>
        <v>Apr 2026</v>
      </c>
    </row>
    <row r="844" customFormat="false" ht="13.8" hidden="false" customHeight="false" outlineLevel="0" collapsed="false">
      <c r="A844" s="4" t="s">
        <v>1758</v>
      </c>
      <c r="B844" s="4" t="s">
        <v>1759</v>
      </c>
      <c r="C844" s="4" t="s">
        <v>17</v>
      </c>
      <c r="D844" s="4" t="s">
        <v>18</v>
      </c>
      <c r="E844" s="4"/>
      <c r="F844" s="4" t="n">
        <v>20</v>
      </c>
      <c r="G844" s="4" t="n">
        <v>179.78</v>
      </c>
      <c r="L844" s="1" t="str">
        <f aca="false">IF(ISNUMBER(SEARCH("Bundle",C844)),"Bundles",IF(ISNUMBER(SEARCH("Airtime",C844)),"Bundles",IF(ISNUMBER(SEARCH("Merchant",C844)),"Merchant Payment",IF(ISNUMBER(SEARCH("Offnet C2B",C844)),"Merchant Payment",IF(ISNUMBER(SEARCH("Offnet B2C",C844)),"Merchant Payment",IF(ISNUMBER(SEARCH("Customer Payment to Small",C844)),"Merchant Payment",IF(ISNUMBER(SEARCH("Payment to Small Business",C844)),"Merchant Payment",IF(ISNUMBER(SEARCH("Sent to",C844)),"Sent to Person",IF(ISNUMBER(SEARCH("Customer Transfer to",C844)),"Sent to Person",IF(ISNUMBER(SEARCH("Business Payment",C844)),"Money In",IF(ISNUMBER(SEARCH("Funds Received",C844)),"Money In",IF(ISNUMBER(SEARCH("Receive International",C844)),"Money In",IF(ISNUMBER(SEARCH("Send Money Reversal",C844)),"Money In",IF(ISNUMBER(SEARCH("Pay Utility Reversal",C844)),"Money In",IF(ISNUMBER(SEARCH("Customer Transfer",C844)),"Money In",IF(ISNUMBER(SEARCH("Ziidi",C844)),"Investment",IF(ISNUMBER(SEARCH("Nabo",C844)),"Investment",IF(ISNUMBER(SEARCH("Paybill Online",C844)),"Pay Bill",IF(ISNUMBER(SEARCH("Pay Bill",C844)),"Pay Bill",IF(ISNUMBER(SEARCH("Spotify",C844)),"Pay Bill",IF(ISNUMBER(SEARCH("M-Shwari",C844)),"Mshwari",IF(ISNUMBER(SEARCH("Mshwari",C844)),"Mshwari",IF(ISNUMBER(SEARCH("Withdrawal charge",C844)),"Fees",IF(ISNUMBER(SEARCH("Customer Withdrawal",C844)),"Fees",IF(ISNUMBER(SEARCH("charge",C844)),"Fees","Other")))))))))))))))))))))))))</f>
        <v>Bundles</v>
      </c>
      <c r="R844" s="1" t="str">
        <f aca="false">TEXT(B844,"MMM YYYY")</f>
        <v>Apr 2026</v>
      </c>
    </row>
    <row r="845" customFormat="false" ht="13.8" hidden="false" customHeight="false" outlineLevel="0" collapsed="false">
      <c r="A845" s="4" t="s">
        <v>1760</v>
      </c>
      <c r="B845" s="4" t="s">
        <v>1761</v>
      </c>
      <c r="C845" s="4" t="s">
        <v>1086</v>
      </c>
      <c r="D845" s="4" t="s">
        <v>18</v>
      </c>
      <c r="E845" s="4"/>
      <c r="F845" s="4" t="n">
        <v>100</v>
      </c>
      <c r="G845" s="4" t="n">
        <v>79.78</v>
      </c>
      <c r="L845" s="1" t="str">
        <f aca="false">IF(ISNUMBER(SEARCH("Bundle",C845)),"Bundles",IF(ISNUMBER(SEARCH("Airtime",C845)),"Bundles",IF(ISNUMBER(SEARCH("Merchant",C845)),"Merchant Payment",IF(ISNUMBER(SEARCH("Offnet C2B",C845)),"Merchant Payment",IF(ISNUMBER(SEARCH("Offnet B2C",C845)),"Merchant Payment",IF(ISNUMBER(SEARCH("Customer Payment to Small",C845)),"Merchant Payment",IF(ISNUMBER(SEARCH("Payment to Small Business",C845)),"Merchant Payment",IF(ISNUMBER(SEARCH("Sent to",C845)),"Sent to Person",IF(ISNUMBER(SEARCH("Customer Transfer to",C845)),"Sent to Person",IF(ISNUMBER(SEARCH("Business Payment",C845)),"Money In",IF(ISNUMBER(SEARCH("Funds Received",C845)),"Money In",IF(ISNUMBER(SEARCH("Receive International",C845)),"Money In",IF(ISNUMBER(SEARCH("Send Money Reversal",C845)),"Money In",IF(ISNUMBER(SEARCH("Pay Utility Reversal",C845)),"Money In",IF(ISNUMBER(SEARCH("Customer Transfer",C845)),"Money In",IF(ISNUMBER(SEARCH("Ziidi",C845)),"Investment",IF(ISNUMBER(SEARCH("Nabo",C845)),"Investment",IF(ISNUMBER(SEARCH("Paybill Online",C845)),"Pay Bill",IF(ISNUMBER(SEARCH("Pay Bill",C845)),"Pay Bill",IF(ISNUMBER(SEARCH("Spotify",C845)),"Pay Bill",IF(ISNUMBER(SEARCH("M-Shwari",C845)),"Mshwari",IF(ISNUMBER(SEARCH("Mshwari",C845)),"Mshwari",IF(ISNUMBER(SEARCH("Withdrawal charge",C845)),"Fees",IF(ISNUMBER(SEARCH("Customer Withdrawal",C845)),"Fees",IF(ISNUMBER(SEARCH("charge",C845)),"Fees","Other")))))))))))))))))))))))))</f>
        <v>Sent to Person</v>
      </c>
      <c r="R845" s="1" t="str">
        <f aca="false">TEXT(B845,"MMM YYYY")</f>
        <v>Apr 2026</v>
      </c>
    </row>
    <row r="846" customFormat="false" ht="13.8" hidden="false" customHeight="false" outlineLevel="0" collapsed="false">
      <c r="A846" s="4" t="s">
        <v>1762</v>
      </c>
      <c r="B846" s="4" t="s">
        <v>1763</v>
      </c>
      <c r="C846" s="4" t="s">
        <v>1598</v>
      </c>
      <c r="D846" s="4" t="s">
        <v>18</v>
      </c>
      <c r="E846" s="4"/>
      <c r="F846" s="4" t="n">
        <v>50</v>
      </c>
      <c r="G846" s="4" t="n">
        <v>29.78</v>
      </c>
      <c r="L846" s="1" t="str">
        <f aca="false">IF(ISNUMBER(SEARCH("Bundle",C846)),"Bundles",IF(ISNUMBER(SEARCH("Airtime",C846)),"Bundles",IF(ISNUMBER(SEARCH("Merchant",C846)),"Merchant Payment",IF(ISNUMBER(SEARCH("Offnet C2B",C846)),"Merchant Payment",IF(ISNUMBER(SEARCH("Offnet B2C",C846)),"Merchant Payment",IF(ISNUMBER(SEARCH("Customer Payment to Small",C846)),"Merchant Payment",IF(ISNUMBER(SEARCH("Payment to Small Business",C846)),"Merchant Payment",IF(ISNUMBER(SEARCH("Sent to",C846)),"Sent to Person",IF(ISNUMBER(SEARCH("Customer Transfer to",C846)),"Sent to Person",IF(ISNUMBER(SEARCH("Business Payment",C846)),"Money In",IF(ISNUMBER(SEARCH("Funds Received",C846)),"Money In",IF(ISNUMBER(SEARCH("Receive International",C846)),"Money In",IF(ISNUMBER(SEARCH("Send Money Reversal",C846)),"Money In",IF(ISNUMBER(SEARCH("Pay Utility Reversal",C846)),"Money In",IF(ISNUMBER(SEARCH("Customer Transfer",C846)),"Money In",IF(ISNUMBER(SEARCH("Ziidi",C846)),"Investment",IF(ISNUMBER(SEARCH("Nabo",C846)),"Investment",IF(ISNUMBER(SEARCH("Paybill Online",C846)),"Pay Bill",IF(ISNUMBER(SEARCH("Pay Bill",C846)),"Pay Bill",IF(ISNUMBER(SEARCH("Spotify",C846)),"Pay Bill",IF(ISNUMBER(SEARCH("M-Shwari",C846)),"Mshwari",IF(ISNUMBER(SEARCH("Mshwari",C846)),"Mshwari",IF(ISNUMBER(SEARCH("Withdrawal charge",C846)),"Fees",IF(ISNUMBER(SEARCH("Customer Withdrawal",C846)),"Fees",IF(ISNUMBER(SEARCH("charge",C846)),"Fees","Other")))))))))))))))))))))))))</f>
        <v>Merchant Payment</v>
      </c>
      <c r="R846" s="1" t="str">
        <f aca="false">TEXT(B846,"MMM YYYY")</f>
        <v>Apr 2026</v>
      </c>
    </row>
    <row r="847" customFormat="false" ht="13.8" hidden="false" customHeight="false" outlineLevel="0" collapsed="false">
      <c r="A847" s="4" t="s">
        <v>1764</v>
      </c>
      <c r="B847" s="4" t="s">
        <v>1765</v>
      </c>
      <c r="C847" s="4" t="s">
        <v>192</v>
      </c>
      <c r="D847" s="4" t="s">
        <v>18</v>
      </c>
      <c r="E847" s="4" t="n">
        <v>100</v>
      </c>
      <c r="F847" s="4"/>
      <c r="G847" s="4" t="n">
        <v>129.78</v>
      </c>
      <c r="L847" s="1" t="str">
        <f aca="false">IF(ISNUMBER(SEARCH("Bundle",C847)),"Bundles",IF(ISNUMBER(SEARCH("Airtime",C847)),"Bundles",IF(ISNUMBER(SEARCH("Merchant",C847)),"Merchant Payment",IF(ISNUMBER(SEARCH("Offnet C2B",C847)),"Merchant Payment",IF(ISNUMBER(SEARCH("Offnet B2C",C847)),"Merchant Payment",IF(ISNUMBER(SEARCH("Customer Payment to Small",C847)),"Merchant Payment",IF(ISNUMBER(SEARCH("Payment to Small Business",C847)),"Merchant Payment",IF(ISNUMBER(SEARCH("Sent to",C847)),"Sent to Person",IF(ISNUMBER(SEARCH("Customer Transfer to",C847)),"Sent to Person",IF(ISNUMBER(SEARCH("Business Payment",C847)),"Money In",IF(ISNUMBER(SEARCH("Funds Received",C847)),"Money In",IF(ISNUMBER(SEARCH("Receive International",C847)),"Money In",IF(ISNUMBER(SEARCH("Send Money Reversal",C847)),"Money In",IF(ISNUMBER(SEARCH("Pay Utility Reversal",C847)),"Money In",IF(ISNUMBER(SEARCH("Customer Transfer",C847)),"Money In",IF(ISNUMBER(SEARCH("Ziidi",C847)),"Investment",IF(ISNUMBER(SEARCH("Nabo",C847)),"Investment",IF(ISNUMBER(SEARCH("Paybill Online",C847)),"Pay Bill",IF(ISNUMBER(SEARCH("Pay Bill",C847)),"Pay Bill",IF(ISNUMBER(SEARCH("Spotify",C847)),"Pay Bill",IF(ISNUMBER(SEARCH("M-Shwari",C847)),"Mshwari",IF(ISNUMBER(SEARCH("Mshwari",C847)),"Mshwari",IF(ISNUMBER(SEARCH("Withdrawal charge",C847)),"Fees",IF(ISNUMBER(SEARCH("Customer Withdrawal",C847)),"Fees",IF(ISNUMBER(SEARCH("charge",C847)),"Fees","Other")))))))))))))))))))))))))</f>
        <v>Mshwari</v>
      </c>
      <c r="R847" s="1" t="str">
        <f aca="false">TEXT(B847,"MMM YYYY")</f>
        <v>Apr 2026</v>
      </c>
    </row>
    <row r="848" customFormat="false" ht="13.8" hidden="false" customHeight="false" outlineLevel="0" collapsed="false">
      <c r="A848" s="4" t="s">
        <v>1766</v>
      </c>
      <c r="B848" s="4" t="s">
        <v>1767</v>
      </c>
      <c r="C848" s="4" t="s">
        <v>1749</v>
      </c>
      <c r="D848" s="4" t="s">
        <v>18</v>
      </c>
      <c r="E848" s="4"/>
      <c r="F848" s="4" t="n">
        <v>60</v>
      </c>
      <c r="G848" s="4" t="n">
        <v>69.78</v>
      </c>
      <c r="L848" s="1" t="str">
        <f aca="false">IF(ISNUMBER(SEARCH("Bundle",C848)),"Bundles",IF(ISNUMBER(SEARCH("Airtime",C848)),"Bundles",IF(ISNUMBER(SEARCH("Merchant",C848)),"Merchant Payment",IF(ISNUMBER(SEARCH("Offnet C2B",C848)),"Merchant Payment",IF(ISNUMBER(SEARCH("Offnet B2C",C848)),"Merchant Payment",IF(ISNUMBER(SEARCH("Customer Payment to Small",C848)),"Merchant Payment",IF(ISNUMBER(SEARCH("Payment to Small Business",C848)),"Merchant Payment",IF(ISNUMBER(SEARCH("Sent to",C848)),"Sent to Person",IF(ISNUMBER(SEARCH("Customer Transfer to",C848)),"Sent to Person",IF(ISNUMBER(SEARCH("Business Payment",C848)),"Money In",IF(ISNUMBER(SEARCH("Funds Received",C848)),"Money In",IF(ISNUMBER(SEARCH("Receive International",C848)),"Money In",IF(ISNUMBER(SEARCH("Send Money Reversal",C848)),"Money In",IF(ISNUMBER(SEARCH("Pay Utility Reversal",C848)),"Money In",IF(ISNUMBER(SEARCH("Customer Transfer",C848)),"Money In",IF(ISNUMBER(SEARCH("Ziidi",C848)),"Investment",IF(ISNUMBER(SEARCH("Nabo",C848)),"Investment",IF(ISNUMBER(SEARCH("Paybill Online",C848)),"Pay Bill",IF(ISNUMBER(SEARCH("Pay Bill",C848)),"Pay Bill",IF(ISNUMBER(SEARCH("Spotify",C848)),"Pay Bill",IF(ISNUMBER(SEARCH("M-Shwari",C848)),"Mshwari",IF(ISNUMBER(SEARCH("Mshwari",C848)),"Mshwari",IF(ISNUMBER(SEARCH("Withdrawal charge",C848)),"Fees",IF(ISNUMBER(SEARCH("Customer Withdrawal",C848)),"Fees",IF(ISNUMBER(SEARCH("charge",C848)),"Fees","Other")))))))))))))))))))))))))</f>
        <v>Sent to Person</v>
      </c>
      <c r="R848" s="1" t="str">
        <f aca="false">TEXT(B848,"MMM YYYY")</f>
        <v>Apr 2026</v>
      </c>
    </row>
    <row r="849" customFormat="false" ht="13.8" hidden="false" customHeight="false" outlineLevel="0" collapsed="false">
      <c r="A849" s="4" t="s">
        <v>1768</v>
      </c>
      <c r="B849" s="4" t="s">
        <v>1769</v>
      </c>
      <c r="C849" s="4" t="s">
        <v>177</v>
      </c>
      <c r="D849" s="4" t="s">
        <v>18</v>
      </c>
      <c r="E849" s="4" t="n">
        <v>1550</v>
      </c>
      <c r="F849" s="4"/>
      <c r="G849" s="4" t="n">
        <v>1619.78</v>
      </c>
      <c r="L849" s="1" t="str">
        <f aca="false">IF(ISNUMBER(SEARCH("Bundle",C849)),"Bundles",IF(ISNUMBER(SEARCH("Airtime",C849)),"Bundles",IF(ISNUMBER(SEARCH("Merchant",C849)),"Merchant Payment",IF(ISNUMBER(SEARCH("Offnet C2B",C849)),"Merchant Payment",IF(ISNUMBER(SEARCH("Offnet B2C",C849)),"Merchant Payment",IF(ISNUMBER(SEARCH("Customer Payment to Small",C849)),"Merchant Payment",IF(ISNUMBER(SEARCH("Payment to Small Business",C849)),"Merchant Payment",IF(ISNUMBER(SEARCH("Sent to",C849)),"Sent to Person",IF(ISNUMBER(SEARCH("Customer Transfer to",C849)),"Sent to Person",IF(ISNUMBER(SEARCH("Business Payment",C849)),"Money In",IF(ISNUMBER(SEARCH("Funds Received",C849)),"Money In",IF(ISNUMBER(SEARCH("Receive International",C849)),"Money In",IF(ISNUMBER(SEARCH("Send Money Reversal",C849)),"Money In",IF(ISNUMBER(SEARCH("Pay Utility Reversal",C849)),"Money In",IF(ISNUMBER(SEARCH("Customer Transfer",C849)),"Money In",IF(ISNUMBER(SEARCH("Ziidi",C849)),"Investment",IF(ISNUMBER(SEARCH("Nabo",C849)),"Investment",IF(ISNUMBER(SEARCH("Paybill Online",C849)),"Pay Bill",IF(ISNUMBER(SEARCH("Pay Bill",C849)),"Pay Bill",IF(ISNUMBER(SEARCH("Spotify",C849)),"Pay Bill",IF(ISNUMBER(SEARCH("M-Shwari",C849)),"Mshwari",IF(ISNUMBER(SEARCH("Mshwari",C849)),"Mshwari",IF(ISNUMBER(SEARCH("Withdrawal charge",C849)),"Fees",IF(ISNUMBER(SEARCH("Customer Withdrawal",C849)),"Fees",IF(ISNUMBER(SEARCH("charge",C849)),"Fees","Other")))))))))))))))))))))))))</f>
        <v>Money In</v>
      </c>
      <c r="R849" s="1" t="str">
        <f aca="false">TEXT(B849,"MMM YYYY")</f>
        <v>Apr 2026</v>
      </c>
    </row>
    <row r="850" customFormat="false" ht="13.8" hidden="false" customHeight="false" outlineLevel="0" collapsed="false">
      <c r="A850" s="4" t="s">
        <v>1770</v>
      </c>
      <c r="B850" s="4" t="s">
        <v>1771</v>
      </c>
      <c r="C850" s="4" t="s">
        <v>1086</v>
      </c>
      <c r="D850" s="4" t="s">
        <v>18</v>
      </c>
      <c r="E850" s="4"/>
      <c r="F850" s="4" t="n">
        <v>100</v>
      </c>
      <c r="G850" s="4" t="n">
        <v>1519.78</v>
      </c>
      <c r="L850" s="1" t="str">
        <f aca="false">IF(ISNUMBER(SEARCH("Bundle",C850)),"Bundles",IF(ISNUMBER(SEARCH("Airtime",C850)),"Bundles",IF(ISNUMBER(SEARCH("Merchant",C850)),"Merchant Payment",IF(ISNUMBER(SEARCH("Offnet C2B",C850)),"Merchant Payment",IF(ISNUMBER(SEARCH("Offnet B2C",C850)),"Merchant Payment",IF(ISNUMBER(SEARCH("Customer Payment to Small",C850)),"Merchant Payment",IF(ISNUMBER(SEARCH("Payment to Small Business",C850)),"Merchant Payment",IF(ISNUMBER(SEARCH("Sent to",C850)),"Sent to Person",IF(ISNUMBER(SEARCH("Customer Transfer to",C850)),"Sent to Person",IF(ISNUMBER(SEARCH("Business Payment",C850)),"Money In",IF(ISNUMBER(SEARCH("Funds Received",C850)),"Money In",IF(ISNUMBER(SEARCH("Receive International",C850)),"Money In",IF(ISNUMBER(SEARCH("Send Money Reversal",C850)),"Money In",IF(ISNUMBER(SEARCH("Pay Utility Reversal",C850)),"Money In",IF(ISNUMBER(SEARCH("Customer Transfer",C850)),"Money In",IF(ISNUMBER(SEARCH("Ziidi",C850)),"Investment",IF(ISNUMBER(SEARCH("Nabo",C850)),"Investment",IF(ISNUMBER(SEARCH("Paybill Online",C850)),"Pay Bill",IF(ISNUMBER(SEARCH("Pay Bill",C850)),"Pay Bill",IF(ISNUMBER(SEARCH("Spotify",C850)),"Pay Bill",IF(ISNUMBER(SEARCH("M-Shwari",C850)),"Mshwari",IF(ISNUMBER(SEARCH("Mshwari",C850)),"Mshwari",IF(ISNUMBER(SEARCH("Withdrawal charge",C850)),"Fees",IF(ISNUMBER(SEARCH("Customer Withdrawal",C850)),"Fees",IF(ISNUMBER(SEARCH("charge",C850)),"Fees","Other")))))))))))))))))))))))))</f>
        <v>Sent to Person</v>
      </c>
      <c r="R850" s="1" t="str">
        <f aca="false">TEXT(B850,"MMM YYYY")</f>
        <v>Apr 2026</v>
      </c>
    </row>
    <row r="851" customFormat="false" ht="13.8" hidden="false" customHeight="false" outlineLevel="0" collapsed="false">
      <c r="A851" s="4" t="s">
        <v>1772</v>
      </c>
      <c r="B851" s="4" t="s">
        <v>1773</v>
      </c>
      <c r="C851" s="4" t="s">
        <v>1774</v>
      </c>
      <c r="D851" s="4" t="s">
        <v>18</v>
      </c>
      <c r="E851" s="4"/>
      <c r="F851" s="4" t="n">
        <v>200</v>
      </c>
      <c r="G851" s="4" t="n">
        <v>1319.78</v>
      </c>
      <c r="L851" s="1" t="str">
        <f aca="false">IF(ISNUMBER(SEARCH("Bundle",C851)),"Bundles",IF(ISNUMBER(SEARCH("Airtime",C851)),"Bundles",IF(ISNUMBER(SEARCH("Merchant",C851)),"Merchant Payment",IF(ISNUMBER(SEARCH("Offnet C2B",C851)),"Merchant Payment",IF(ISNUMBER(SEARCH("Offnet B2C",C851)),"Merchant Payment",IF(ISNUMBER(SEARCH("Customer Payment to Small",C851)),"Merchant Payment",IF(ISNUMBER(SEARCH("Payment to Small Business",C851)),"Merchant Payment",IF(ISNUMBER(SEARCH("Sent to",C851)),"Sent to Person",IF(ISNUMBER(SEARCH("Customer Transfer to",C851)),"Sent to Person",IF(ISNUMBER(SEARCH("Business Payment",C851)),"Money In",IF(ISNUMBER(SEARCH("Funds Received",C851)),"Money In",IF(ISNUMBER(SEARCH("Receive International",C851)),"Money In",IF(ISNUMBER(SEARCH("Send Money Reversal",C851)),"Money In",IF(ISNUMBER(SEARCH("Pay Utility Reversal",C851)),"Money In",IF(ISNUMBER(SEARCH("Customer Transfer",C851)),"Money In",IF(ISNUMBER(SEARCH("Ziidi",C851)),"Investment",IF(ISNUMBER(SEARCH("Nabo",C851)),"Investment",IF(ISNUMBER(SEARCH("Paybill Online",C851)),"Pay Bill",IF(ISNUMBER(SEARCH("Pay Bill",C851)),"Pay Bill",IF(ISNUMBER(SEARCH("Spotify",C851)),"Pay Bill",IF(ISNUMBER(SEARCH("M-Shwari",C851)),"Mshwari",IF(ISNUMBER(SEARCH("Mshwari",C851)),"Mshwari",IF(ISNUMBER(SEARCH("Withdrawal charge",C851)),"Fees",IF(ISNUMBER(SEARCH("Customer Withdrawal",C851)),"Fees",IF(ISNUMBER(SEARCH("charge",C851)),"Fees","Other")))))))))))))))))))))))))</f>
        <v>Merchant Payment</v>
      </c>
      <c r="R851" s="1" t="str">
        <f aca="false">TEXT(B851,"MMM YYYY")</f>
        <v>Apr 2026</v>
      </c>
    </row>
    <row r="852" customFormat="false" ht="13.8" hidden="false" customHeight="false" outlineLevel="0" collapsed="false">
      <c r="A852" s="4" t="s">
        <v>1775</v>
      </c>
      <c r="B852" s="4" t="s">
        <v>1776</v>
      </c>
      <c r="C852" s="4" t="s">
        <v>49</v>
      </c>
      <c r="D852" s="4" t="s">
        <v>18</v>
      </c>
      <c r="E852" s="4"/>
      <c r="F852" s="4" t="n">
        <v>100</v>
      </c>
      <c r="G852" s="4" t="n">
        <v>1219.78</v>
      </c>
      <c r="L852" s="1" t="str">
        <f aca="false">IF(ISNUMBER(SEARCH("Bundle",C852)),"Bundles",IF(ISNUMBER(SEARCH("Airtime",C852)),"Bundles",IF(ISNUMBER(SEARCH("Merchant",C852)),"Merchant Payment",IF(ISNUMBER(SEARCH("Offnet C2B",C852)),"Merchant Payment",IF(ISNUMBER(SEARCH("Offnet B2C",C852)),"Merchant Payment",IF(ISNUMBER(SEARCH("Customer Payment to Small",C852)),"Merchant Payment",IF(ISNUMBER(SEARCH("Payment to Small Business",C852)),"Merchant Payment",IF(ISNUMBER(SEARCH("Sent to",C852)),"Sent to Person",IF(ISNUMBER(SEARCH("Customer Transfer to",C852)),"Sent to Person",IF(ISNUMBER(SEARCH("Business Payment",C852)),"Money In",IF(ISNUMBER(SEARCH("Funds Received",C852)),"Money In",IF(ISNUMBER(SEARCH("Receive International",C852)),"Money In",IF(ISNUMBER(SEARCH("Send Money Reversal",C852)),"Money In",IF(ISNUMBER(SEARCH("Pay Utility Reversal",C852)),"Money In",IF(ISNUMBER(SEARCH("Customer Transfer",C852)),"Money In",IF(ISNUMBER(SEARCH("Ziidi",C852)),"Investment",IF(ISNUMBER(SEARCH("Nabo",C852)),"Investment",IF(ISNUMBER(SEARCH("Paybill Online",C852)),"Pay Bill",IF(ISNUMBER(SEARCH("Pay Bill",C852)),"Pay Bill",IF(ISNUMBER(SEARCH("Spotify",C852)),"Pay Bill",IF(ISNUMBER(SEARCH("M-Shwari",C852)),"Mshwari",IF(ISNUMBER(SEARCH("Mshwari",C852)),"Mshwari",IF(ISNUMBER(SEARCH("Withdrawal charge",C852)),"Fees",IF(ISNUMBER(SEARCH("Customer Withdrawal",C852)),"Fees",IF(ISNUMBER(SEARCH("charge",C852)),"Fees","Other")))))))))))))))))))))))))</f>
        <v>Merchant Payment</v>
      </c>
      <c r="R852" s="1" t="str">
        <f aca="false">TEXT(B852,"MMM YYYY")</f>
        <v>Apr 2026</v>
      </c>
    </row>
    <row r="853" customFormat="false" ht="13.8" hidden="false" customHeight="false" outlineLevel="0" collapsed="false">
      <c r="A853" s="4" t="s">
        <v>1777</v>
      </c>
      <c r="B853" s="4" t="s">
        <v>1778</v>
      </c>
      <c r="C853" s="4" t="s">
        <v>1583</v>
      </c>
      <c r="D853" s="4" t="s">
        <v>18</v>
      </c>
      <c r="E853" s="4"/>
      <c r="F853" s="4" t="n">
        <v>100</v>
      </c>
      <c r="G853" s="4" t="n">
        <v>1119.78</v>
      </c>
      <c r="L853" s="1" t="str">
        <f aca="false">IF(ISNUMBER(SEARCH("Bundle",C853)),"Bundles",IF(ISNUMBER(SEARCH("Airtime",C853)),"Bundles",IF(ISNUMBER(SEARCH("Merchant",C853)),"Merchant Payment",IF(ISNUMBER(SEARCH("Offnet C2B",C853)),"Merchant Payment",IF(ISNUMBER(SEARCH("Offnet B2C",C853)),"Merchant Payment",IF(ISNUMBER(SEARCH("Customer Payment to Small",C853)),"Merchant Payment",IF(ISNUMBER(SEARCH("Payment to Small Business",C853)),"Merchant Payment",IF(ISNUMBER(SEARCH("Sent to",C853)),"Sent to Person",IF(ISNUMBER(SEARCH("Customer Transfer to",C853)),"Sent to Person",IF(ISNUMBER(SEARCH("Business Payment",C853)),"Money In",IF(ISNUMBER(SEARCH("Funds Received",C853)),"Money In",IF(ISNUMBER(SEARCH("Receive International",C853)),"Money In",IF(ISNUMBER(SEARCH("Send Money Reversal",C853)),"Money In",IF(ISNUMBER(SEARCH("Pay Utility Reversal",C853)),"Money In",IF(ISNUMBER(SEARCH("Customer Transfer",C853)),"Money In",IF(ISNUMBER(SEARCH("Ziidi",C853)),"Investment",IF(ISNUMBER(SEARCH("Nabo",C853)),"Investment",IF(ISNUMBER(SEARCH("Paybill Online",C853)),"Pay Bill",IF(ISNUMBER(SEARCH("Pay Bill",C853)),"Pay Bill",IF(ISNUMBER(SEARCH("Spotify",C853)),"Pay Bill",IF(ISNUMBER(SEARCH("M-Shwari",C853)),"Mshwari",IF(ISNUMBER(SEARCH("Mshwari",C853)),"Mshwari",IF(ISNUMBER(SEARCH("Withdrawal charge",C853)),"Fees",IF(ISNUMBER(SEARCH("Customer Withdrawal",C853)),"Fees",IF(ISNUMBER(SEARCH("charge",C853)),"Fees","Other")))))))))))))))))))))))))</f>
        <v>Merchant Payment</v>
      </c>
      <c r="R853" s="1" t="str">
        <f aca="false">TEXT(B853,"MMM YYYY")</f>
        <v>Apr 2026</v>
      </c>
    </row>
    <row r="854" customFormat="false" ht="13.8" hidden="false" customHeight="false" outlineLevel="0" collapsed="false">
      <c r="A854" s="4" t="s">
        <v>1779</v>
      </c>
      <c r="B854" s="4" t="s">
        <v>1780</v>
      </c>
      <c r="C854" s="4" t="s">
        <v>17</v>
      </c>
      <c r="D854" s="4" t="s">
        <v>18</v>
      </c>
      <c r="E854" s="4"/>
      <c r="F854" s="4" t="n">
        <v>20</v>
      </c>
      <c r="G854" s="4" t="n">
        <v>1099.78</v>
      </c>
      <c r="L854" s="1" t="str">
        <f aca="false">IF(ISNUMBER(SEARCH("Bundle",C854)),"Bundles",IF(ISNUMBER(SEARCH("Airtime",C854)),"Bundles",IF(ISNUMBER(SEARCH("Merchant",C854)),"Merchant Payment",IF(ISNUMBER(SEARCH("Offnet C2B",C854)),"Merchant Payment",IF(ISNUMBER(SEARCH("Offnet B2C",C854)),"Merchant Payment",IF(ISNUMBER(SEARCH("Customer Payment to Small",C854)),"Merchant Payment",IF(ISNUMBER(SEARCH("Payment to Small Business",C854)),"Merchant Payment",IF(ISNUMBER(SEARCH("Sent to",C854)),"Sent to Person",IF(ISNUMBER(SEARCH("Customer Transfer to",C854)),"Sent to Person",IF(ISNUMBER(SEARCH("Business Payment",C854)),"Money In",IF(ISNUMBER(SEARCH("Funds Received",C854)),"Money In",IF(ISNUMBER(SEARCH("Receive International",C854)),"Money In",IF(ISNUMBER(SEARCH("Send Money Reversal",C854)),"Money In",IF(ISNUMBER(SEARCH("Pay Utility Reversal",C854)),"Money In",IF(ISNUMBER(SEARCH("Customer Transfer",C854)),"Money In",IF(ISNUMBER(SEARCH("Ziidi",C854)),"Investment",IF(ISNUMBER(SEARCH("Nabo",C854)),"Investment",IF(ISNUMBER(SEARCH("Paybill Online",C854)),"Pay Bill",IF(ISNUMBER(SEARCH("Pay Bill",C854)),"Pay Bill",IF(ISNUMBER(SEARCH("Spotify",C854)),"Pay Bill",IF(ISNUMBER(SEARCH("M-Shwari",C854)),"Mshwari",IF(ISNUMBER(SEARCH("Mshwari",C854)),"Mshwari",IF(ISNUMBER(SEARCH("Withdrawal charge",C854)),"Fees",IF(ISNUMBER(SEARCH("Customer Withdrawal",C854)),"Fees",IF(ISNUMBER(SEARCH("charge",C854)),"Fees","Other")))))))))))))))))))))))))</f>
        <v>Bundles</v>
      </c>
      <c r="R854" s="1" t="str">
        <f aca="false">TEXT(B854,"MMM YYYY")</f>
        <v>Apr 2026</v>
      </c>
    </row>
    <row r="855" customFormat="false" ht="13.8" hidden="false" customHeight="false" outlineLevel="0" collapsed="false">
      <c r="A855" s="4" t="s">
        <v>1781</v>
      </c>
      <c r="B855" s="4" t="s">
        <v>1782</v>
      </c>
      <c r="C855" s="4" t="s">
        <v>17</v>
      </c>
      <c r="D855" s="4" t="s">
        <v>18</v>
      </c>
      <c r="E855" s="4"/>
      <c r="F855" s="4" t="n">
        <v>20</v>
      </c>
      <c r="G855" s="4" t="n">
        <v>1079.78</v>
      </c>
      <c r="L855" s="1" t="str">
        <f aca="false">IF(ISNUMBER(SEARCH("Bundle",C855)),"Bundles",IF(ISNUMBER(SEARCH("Airtime",C855)),"Bundles",IF(ISNUMBER(SEARCH("Merchant",C855)),"Merchant Payment",IF(ISNUMBER(SEARCH("Offnet C2B",C855)),"Merchant Payment",IF(ISNUMBER(SEARCH("Offnet B2C",C855)),"Merchant Payment",IF(ISNUMBER(SEARCH("Customer Payment to Small",C855)),"Merchant Payment",IF(ISNUMBER(SEARCH("Payment to Small Business",C855)),"Merchant Payment",IF(ISNUMBER(SEARCH("Sent to",C855)),"Sent to Person",IF(ISNUMBER(SEARCH("Customer Transfer to",C855)),"Sent to Person",IF(ISNUMBER(SEARCH("Business Payment",C855)),"Money In",IF(ISNUMBER(SEARCH("Funds Received",C855)),"Money In",IF(ISNUMBER(SEARCH("Receive International",C855)),"Money In",IF(ISNUMBER(SEARCH("Send Money Reversal",C855)),"Money In",IF(ISNUMBER(SEARCH("Pay Utility Reversal",C855)),"Money In",IF(ISNUMBER(SEARCH("Customer Transfer",C855)),"Money In",IF(ISNUMBER(SEARCH("Ziidi",C855)),"Investment",IF(ISNUMBER(SEARCH("Nabo",C855)),"Investment",IF(ISNUMBER(SEARCH("Paybill Online",C855)),"Pay Bill",IF(ISNUMBER(SEARCH("Pay Bill",C855)),"Pay Bill",IF(ISNUMBER(SEARCH("Spotify",C855)),"Pay Bill",IF(ISNUMBER(SEARCH("M-Shwari",C855)),"Mshwari",IF(ISNUMBER(SEARCH("Mshwari",C855)),"Mshwari",IF(ISNUMBER(SEARCH("Withdrawal charge",C855)),"Fees",IF(ISNUMBER(SEARCH("Customer Withdrawal",C855)),"Fees",IF(ISNUMBER(SEARCH("charge",C855)),"Fees","Other")))))))))))))))))))))))))</f>
        <v>Bundles</v>
      </c>
      <c r="R855" s="1" t="str">
        <f aca="false">TEXT(B855,"MMM YYYY")</f>
        <v>Apr 2026</v>
      </c>
    </row>
    <row r="856" customFormat="false" ht="13.8" hidden="false" customHeight="false" outlineLevel="0" collapsed="false">
      <c r="A856" s="4" t="s">
        <v>1783</v>
      </c>
      <c r="B856" s="4" t="s">
        <v>1784</v>
      </c>
      <c r="C856" s="4" t="s">
        <v>29</v>
      </c>
      <c r="D856" s="4" t="s">
        <v>18</v>
      </c>
      <c r="E856" s="4"/>
      <c r="F856" s="4" t="n">
        <v>10</v>
      </c>
      <c r="G856" s="4" t="n">
        <v>1069.78</v>
      </c>
      <c r="L856" s="1" t="str">
        <f aca="false">IF(ISNUMBER(SEARCH("Bundle",C856)),"Bundles",IF(ISNUMBER(SEARCH("Airtime",C856)),"Bundles",IF(ISNUMBER(SEARCH("Merchant",C856)),"Merchant Payment",IF(ISNUMBER(SEARCH("Offnet C2B",C856)),"Merchant Payment",IF(ISNUMBER(SEARCH("Offnet B2C",C856)),"Merchant Payment",IF(ISNUMBER(SEARCH("Customer Payment to Small",C856)),"Merchant Payment",IF(ISNUMBER(SEARCH("Payment to Small Business",C856)),"Merchant Payment",IF(ISNUMBER(SEARCH("Sent to",C856)),"Sent to Person",IF(ISNUMBER(SEARCH("Customer Transfer to",C856)),"Sent to Person",IF(ISNUMBER(SEARCH("Business Payment",C856)),"Money In",IF(ISNUMBER(SEARCH("Funds Received",C856)),"Money In",IF(ISNUMBER(SEARCH("Receive International",C856)),"Money In",IF(ISNUMBER(SEARCH("Send Money Reversal",C856)),"Money In",IF(ISNUMBER(SEARCH("Pay Utility Reversal",C856)),"Money In",IF(ISNUMBER(SEARCH("Customer Transfer",C856)),"Money In",IF(ISNUMBER(SEARCH("Ziidi",C856)),"Investment",IF(ISNUMBER(SEARCH("Nabo",C856)),"Investment",IF(ISNUMBER(SEARCH("Paybill Online",C856)),"Pay Bill",IF(ISNUMBER(SEARCH("Pay Bill",C856)),"Pay Bill",IF(ISNUMBER(SEARCH("Spotify",C856)),"Pay Bill",IF(ISNUMBER(SEARCH("M-Shwari",C856)),"Mshwari",IF(ISNUMBER(SEARCH("Mshwari",C856)),"Mshwari",IF(ISNUMBER(SEARCH("Withdrawal charge",C856)),"Fees",IF(ISNUMBER(SEARCH("Customer Withdrawal",C856)),"Fees",IF(ISNUMBER(SEARCH("charge",C856)),"Fees","Other")))))))))))))))))))))))))</f>
        <v>Bundles</v>
      </c>
      <c r="R856" s="1" t="str">
        <f aca="false">TEXT(B856,"MMM YYYY")</f>
        <v>Apr 2026</v>
      </c>
    </row>
    <row r="857" customFormat="false" ht="13.8" hidden="false" customHeight="false" outlineLevel="0" collapsed="false">
      <c r="A857" s="4" t="s">
        <v>1785</v>
      </c>
      <c r="B857" s="4" t="s">
        <v>1786</v>
      </c>
      <c r="C857" s="4" t="s">
        <v>239</v>
      </c>
      <c r="D857" s="4" t="s">
        <v>18</v>
      </c>
      <c r="E857" s="4"/>
      <c r="F857" s="4" t="n">
        <v>13</v>
      </c>
      <c r="G857" s="4" t="n">
        <v>346.78</v>
      </c>
      <c r="L857" s="1" t="str">
        <f aca="false">IF(ISNUMBER(SEARCH("Bundle",C857)),"Bundles",IF(ISNUMBER(SEARCH("Airtime",C857)),"Bundles",IF(ISNUMBER(SEARCH("Merchant",C857)),"Merchant Payment",IF(ISNUMBER(SEARCH("Offnet C2B",C857)),"Merchant Payment",IF(ISNUMBER(SEARCH("Offnet B2C",C857)),"Merchant Payment",IF(ISNUMBER(SEARCH("Customer Payment to Small",C857)),"Merchant Payment",IF(ISNUMBER(SEARCH("Payment to Small Business",C857)),"Merchant Payment",IF(ISNUMBER(SEARCH("Sent to",C857)),"Sent to Person",IF(ISNUMBER(SEARCH("Customer Transfer to",C857)),"Sent to Person",IF(ISNUMBER(SEARCH("Business Payment",C857)),"Money In",IF(ISNUMBER(SEARCH("Funds Received",C857)),"Money In",IF(ISNUMBER(SEARCH("Receive International",C857)),"Money In",IF(ISNUMBER(SEARCH("Send Money Reversal",C857)),"Money In",IF(ISNUMBER(SEARCH("Pay Utility Reversal",C857)),"Money In",IF(ISNUMBER(SEARCH("Customer Transfer",C857)),"Money In",IF(ISNUMBER(SEARCH("Ziidi",C857)),"Investment",IF(ISNUMBER(SEARCH("Nabo",C857)),"Investment",IF(ISNUMBER(SEARCH("Paybill Online",C857)),"Pay Bill",IF(ISNUMBER(SEARCH("Pay Bill",C857)),"Pay Bill",IF(ISNUMBER(SEARCH("Spotify",C857)),"Pay Bill",IF(ISNUMBER(SEARCH("M-Shwari",C857)),"Mshwari",IF(ISNUMBER(SEARCH("Mshwari",C857)),"Mshwari",IF(ISNUMBER(SEARCH("Withdrawal charge",C857)),"Fees",IF(ISNUMBER(SEARCH("Customer Withdrawal",C857)),"Fees",IF(ISNUMBER(SEARCH("charge",C857)),"Fees","Other")))))))))))))))))))))))))</f>
        <v>Money In</v>
      </c>
      <c r="R857" s="1" t="str">
        <f aca="false">TEXT(B857,"MMM YYYY")</f>
        <v>Apr 2026</v>
      </c>
    </row>
    <row r="858" customFormat="false" ht="13.8" hidden="false" customHeight="false" outlineLevel="0" collapsed="false">
      <c r="A858" s="4" t="s">
        <v>1785</v>
      </c>
      <c r="B858" s="4" t="s">
        <v>1786</v>
      </c>
      <c r="C858" s="4" t="s">
        <v>787</v>
      </c>
      <c r="D858" s="4" t="s">
        <v>18</v>
      </c>
      <c r="E858" s="4"/>
      <c r="F858" s="4" t="n">
        <v>710</v>
      </c>
      <c r="G858" s="4" t="n">
        <v>359.78</v>
      </c>
      <c r="L858" s="1" t="str">
        <f aca="false">IF(ISNUMBER(SEARCH("Bundle",C858)),"Bundles",IF(ISNUMBER(SEARCH("Airtime",C858)),"Bundles",IF(ISNUMBER(SEARCH("Merchant",C858)),"Merchant Payment",IF(ISNUMBER(SEARCH("Offnet C2B",C858)),"Merchant Payment",IF(ISNUMBER(SEARCH("Offnet B2C",C858)),"Merchant Payment",IF(ISNUMBER(SEARCH("Customer Payment to Small",C858)),"Merchant Payment",IF(ISNUMBER(SEARCH("Payment to Small Business",C858)),"Merchant Payment",IF(ISNUMBER(SEARCH("Sent to",C858)),"Sent to Person",IF(ISNUMBER(SEARCH("Customer Transfer to",C858)),"Sent to Person",IF(ISNUMBER(SEARCH("Business Payment",C858)),"Money In",IF(ISNUMBER(SEARCH("Funds Received",C858)),"Money In",IF(ISNUMBER(SEARCH("Receive International",C858)),"Money In",IF(ISNUMBER(SEARCH("Send Money Reversal",C858)),"Money In",IF(ISNUMBER(SEARCH("Pay Utility Reversal",C858)),"Money In",IF(ISNUMBER(SEARCH("Customer Transfer",C858)),"Money In",IF(ISNUMBER(SEARCH("Ziidi",C858)),"Investment",IF(ISNUMBER(SEARCH("Nabo",C858)),"Investment",IF(ISNUMBER(SEARCH("Paybill Online",C858)),"Pay Bill",IF(ISNUMBER(SEARCH("Pay Bill",C858)),"Pay Bill",IF(ISNUMBER(SEARCH("Spotify",C858)),"Pay Bill",IF(ISNUMBER(SEARCH("M-Shwari",C858)),"Mshwari",IF(ISNUMBER(SEARCH("Mshwari",C858)),"Mshwari",IF(ISNUMBER(SEARCH("Withdrawal charge",C858)),"Fees",IF(ISNUMBER(SEARCH("Customer Withdrawal",C858)),"Fees",IF(ISNUMBER(SEARCH("charge",C858)),"Fees","Other")))))))))))))))))))))))))</f>
        <v>Merchant Payment</v>
      </c>
      <c r="R858" s="1" t="str">
        <f aca="false">TEXT(B858,"MMM YYYY")</f>
        <v>Apr 2026</v>
      </c>
    </row>
    <row r="859" customFormat="false" ht="13.8" hidden="false" customHeight="false" outlineLevel="0" collapsed="false">
      <c r="A859" s="4" t="s">
        <v>1787</v>
      </c>
      <c r="B859" s="4" t="s">
        <v>1788</v>
      </c>
      <c r="C859" s="4" t="s">
        <v>1073</v>
      </c>
      <c r="D859" s="4" t="s">
        <v>18</v>
      </c>
      <c r="E859" s="4"/>
      <c r="F859" s="4" t="n">
        <v>30</v>
      </c>
      <c r="G859" s="4" t="n">
        <v>316.78</v>
      </c>
      <c r="L859" s="1" t="str">
        <f aca="false">IF(ISNUMBER(SEARCH("Bundle",C859)),"Bundles",IF(ISNUMBER(SEARCH("Airtime",C859)),"Bundles",IF(ISNUMBER(SEARCH("Merchant",C859)),"Merchant Payment",IF(ISNUMBER(SEARCH("Offnet C2B",C859)),"Merchant Payment",IF(ISNUMBER(SEARCH("Offnet B2C",C859)),"Merchant Payment",IF(ISNUMBER(SEARCH("Customer Payment to Small",C859)),"Merchant Payment",IF(ISNUMBER(SEARCH("Payment to Small Business",C859)),"Merchant Payment",IF(ISNUMBER(SEARCH("Sent to",C859)),"Sent to Person",IF(ISNUMBER(SEARCH("Customer Transfer to",C859)),"Sent to Person",IF(ISNUMBER(SEARCH("Business Payment",C859)),"Money In",IF(ISNUMBER(SEARCH("Funds Received",C859)),"Money In",IF(ISNUMBER(SEARCH("Receive International",C859)),"Money In",IF(ISNUMBER(SEARCH("Send Money Reversal",C859)),"Money In",IF(ISNUMBER(SEARCH("Pay Utility Reversal",C859)),"Money In",IF(ISNUMBER(SEARCH("Customer Transfer",C859)),"Money In",IF(ISNUMBER(SEARCH("Ziidi",C859)),"Investment",IF(ISNUMBER(SEARCH("Nabo",C859)),"Investment",IF(ISNUMBER(SEARCH("Paybill Online",C859)),"Pay Bill",IF(ISNUMBER(SEARCH("Pay Bill",C859)),"Pay Bill",IF(ISNUMBER(SEARCH("Spotify",C859)),"Pay Bill",IF(ISNUMBER(SEARCH("M-Shwari",C859)),"Mshwari",IF(ISNUMBER(SEARCH("Mshwari",C859)),"Mshwari",IF(ISNUMBER(SEARCH("Withdrawal charge",C859)),"Fees",IF(ISNUMBER(SEARCH("Customer Withdrawal",C859)),"Fees",IF(ISNUMBER(SEARCH("charge",C859)),"Fees","Other")))))))))))))))))))))))))</f>
        <v>Merchant Payment</v>
      </c>
      <c r="R859" s="1" t="str">
        <f aca="false">TEXT(B859,"MMM YYYY")</f>
        <v>Apr 2026</v>
      </c>
    </row>
    <row r="860" customFormat="false" ht="13.8" hidden="false" customHeight="false" outlineLevel="0" collapsed="false">
      <c r="A860" s="4" t="s">
        <v>1789</v>
      </c>
      <c r="B860" s="4" t="s">
        <v>1790</v>
      </c>
      <c r="C860" s="4" t="s">
        <v>17</v>
      </c>
      <c r="D860" s="4" t="s">
        <v>18</v>
      </c>
      <c r="E860" s="4"/>
      <c r="F860" s="4" t="n">
        <v>20</v>
      </c>
      <c r="G860" s="4" t="n">
        <v>296.78</v>
      </c>
      <c r="L860" s="1" t="str">
        <f aca="false">IF(ISNUMBER(SEARCH("Bundle",C860)),"Bundles",IF(ISNUMBER(SEARCH("Airtime",C860)),"Bundles",IF(ISNUMBER(SEARCH("Merchant",C860)),"Merchant Payment",IF(ISNUMBER(SEARCH("Offnet C2B",C860)),"Merchant Payment",IF(ISNUMBER(SEARCH("Offnet B2C",C860)),"Merchant Payment",IF(ISNUMBER(SEARCH("Customer Payment to Small",C860)),"Merchant Payment",IF(ISNUMBER(SEARCH("Payment to Small Business",C860)),"Merchant Payment",IF(ISNUMBER(SEARCH("Sent to",C860)),"Sent to Person",IF(ISNUMBER(SEARCH("Customer Transfer to",C860)),"Sent to Person",IF(ISNUMBER(SEARCH("Business Payment",C860)),"Money In",IF(ISNUMBER(SEARCH("Funds Received",C860)),"Money In",IF(ISNUMBER(SEARCH("Receive International",C860)),"Money In",IF(ISNUMBER(SEARCH("Send Money Reversal",C860)),"Money In",IF(ISNUMBER(SEARCH("Pay Utility Reversal",C860)),"Money In",IF(ISNUMBER(SEARCH("Customer Transfer",C860)),"Money In",IF(ISNUMBER(SEARCH("Ziidi",C860)),"Investment",IF(ISNUMBER(SEARCH("Nabo",C860)),"Investment",IF(ISNUMBER(SEARCH("Paybill Online",C860)),"Pay Bill",IF(ISNUMBER(SEARCH("Pay Bill",C860)),"Pay Bill",IF(ISNUMBER(SEARCH("Spotify",C860)),"Pay Bill",IF(ISNUMBER(SEARCH("M-Shwari",C860)),"Mshwari",IF(ISNUMBER(SEARCH("Mshwari",C860)),"Mshwari",IF(ISNUMBER(SEARCH("Withdrawal charge",C860)),"Fees",IF(ISNUMBER(SEARCH("Customer Withdrawal",C860)),"Fees",IF(ISNUMBER(SEARCH("charge",C860)),"Fees","Other")))))))))))))))))))))))))</f>
        <v>Bundles</v>
      </c>
      <c r="R860" s="1" t="str">
        <f aca="false">TEXT(B860,"MMM YYYY")</f>
        <v>Apr 2026</v>
      </c>
    </row>
    <row r="861" customFormat="false" ht="13.8" hidden="false" customHeight="false" outlineLevel="0" collapsed="false">
      <c r="A861" s="4" t="s">
        <v>1791</v>
      </c>
      <c r="B861" s="4" t="s">
        <v>1792</v>
      </c>
      <c r="C861" s="4" t="s">
        <v>17</v>
      </c>
      <c r="D861" s="4" t="s">
        <v>18</v>
      </c>
      <c r="E861" s="4"/>
      <c r="F861" s="4" t="n">
        <v>20</v>
      </c>
      <c r="G861" s="4" t="n">
        <v>276.78</v>
      </c>
      <c r="L861" s="1" t="str">
        <f aca="false">IF(ISNUMBER(SEARCH("Bundle",C861)),"Bundles",IF(ISNUMBER(SEARCH("Airtime",C861)),"Bundles",IF(ISNUMBER(SEARCH("Merchant",C861)),"Merchant Payment",IF(ISNUMBER(SEARCH("Offnet C2B",C861)),"Merchant Payment",IF(ISNUMBER(SEARCH("Offnet B2C",C861)),"Merchant Payment",IF(ISNUMBER(SEARCH("Customer Payment to Small",C861)),"Merchant Payment",IF(ISNUMBER(SEARCH("Payment to Small Business",C861)),"Merchant Payment",IF(ISNUMBER(SEARCH("Sent to",C861)),"Sent to Person",IF(ISNUMBER(SEARCH("Customer Transfer to",C861)),"Sent to Person",IF(ISNUMBER(SEARCH("Business Payment",C861)),"Money In",IF(ISNUMBER(SEARCH("Funds Received",C861)),"Money In",IF(ISNUMBER(SEARCH("Receive International",C861)),"Money In",IF(ISNUMBER(SEARCH("Send Money Reversal",C861)),"Money In",IF(ISNUMBER(SEARCH("Pay Utility Reversal",C861)),"Money In",IF(ISNUMBER(SEARCH("Customer Transfer",C861)),"Money In",IF(ISNUMBER(SEARCH("Ziidi",C861)),"Investment",IF(ISNUMBER(SEARCH("Nabo",C861)),"Investment",IF(ISNUMBER(SEARCH("Paybill Online",C861)),"Pay Bill",IF(ISNUMBER(SEARCH("Pay Bill",C861)),"Pay Bill",IF(ISNUMBER(SEARCH("Spotify",C861)),"Pay Bill",IF(ISNUMBER(SEARCH("M-Shwari",C861)),"Mshwari",IF(ISNUMBER(SEARCH("Mshwari",C861)),"Mshwari",IF(ISNUMBER(SEARCH("Withdrawal charge",C861)),"Fees",IF(ISNUMBER(SEARCH("Customer Withdrawal",C861)),"Fees",IF(ISNUMBER(SEARCH("charge",C861)),"Fees","Other")))))))))))))))))))))))))</f>
        <v>Bundles</v>
      </c>
      <c r="R861" s="1" t="str">
        <f aca="false">TEXT(B861,"MMM YYYY")</f>
        <v>Apr 2026</v>
      </c>
    </row>
    <row r="862" customFormat="false" ht="13.8" hidden="false" customHeight="false" outlineLevel="0" collapsed="false">
      <c r="A862" s="4" t="s">
        <v>1793</v>
      </c>
      <c r="B862" s="4" t="s">
        <v>1794</v>
      </c>
      <c r="C862" s="4" t="s">
        <v>192</v>
      </c>
      <c r="D862" s="4" t="s">
        <v>18</v>
      </c>
      <c r="E862" s="4" t="n">
        <v>200</v>
      </c>
      <c r="F862" s="4"/>
      <c r="G862" s="4" t="n">
        <v>476.78</v>
      </c>
      <c r="L862" s="1" t="str">
        <f aca="false">IF(ISNUMBER(SEARCH("Bundle",C862)),"Bundles",IF(ISNUMBER(SEARCH("Airtime",C862)),"Bundles",IF(ISNUMBER(SEARCH("Merchant",C862)),"Merchant Payment",IF(ISNUMBER(SEARCH("Offnet C2B",C862)),"Merchant Payment",IF(ISNUMBER(SEARCH("Offnet B2C",C862)),"Merchant Payment",IF(ISNUMBER(SEARCH("Customer Payment to Small",C862)),"Merchant Payment",IF(ISNUMBER(SEARCH("Payment to Small Business",C862)),"Merchant Payment",IF(ISNUMBER(SEARCH("Sent to",C862)),"Sent to Person",IF(ISNUMBER(SEARCH("Customer Transfer to",C862)),"Sent to Person",IF(ISNUMBER(SEARCH("Business Payment",C862)),"Money In",IF(ISNUMBER(SEARCH("Funds Received",C862)),"Money In",IF(ISNUMBER(SEARCH("Receive International",C862)),"Money In",IF(ISNUMBER(SEARCH("Send Money Reversal",C862)),"Money In",IF(ISNUMBER(SEARCH("Pay Utility Reversal",C862)),"Money In",IF(ISNUMBER(SEARCH("Customer Transfer",C862)),"Money In",IF(ISNUMBER(SEARCH("Ziidi",C862)),"Investment",IF(ISNUMBER(SEARCH("Nabo",C862)),"Investment",IF(ISNUMBER(SEARCH("Paybill Online",C862)),"Pay Bill",IF(ISNUMBER(SEARCH("Pay Bill",C862)),"Pay Bill",IF(ISNUMBER(SEARCH("Spotify",C862)),"Pay Bill",IF(ISNUMBER(SEARCH("M-Shwari",C862)),"Mshwari",IF(ISNUMBER(SEARCH("Mshwari",C862)),"Mshwari",IF(ISNUMBER(SEARCH("Withdrawal charge",C862)),"Fees",IF(ISNUMBER(SEARCH("Customer Withdrawal",C862)),"Fees",IF(ISNUMBER(SEARCH("charge",C862)),"Fees","Other")))))))))))))))))))))))))</f>
        <v>Mshwari</v>
      </c>
      <c r="R862" s="1" t="str">
        <f aca="false">TEXT(B862,"MMM YYYY")</f>
        <v>Apr 2026</v>
      </c>
    </row>
    <row r="863" customFormat="false" ht="13.8" hidden="false" customHeight="false" outlineLevel="0" collapsed="false">
      <c r="A863" s="4" t="s">
        <v>1795</v>
      </c>
      <c r="B863" s="4" t="s">
        <v>1796</v>
      </c>
      <c r="C863" s="4" t="s">
        <v>316</v>
      </c>
      <c r="D863" s="4" t="s">
        <v>18</v>
      </c>
      <c r="E863" s="4"/>
      <c r="F863" s="4" t="n">
        <v>230</v>
      </c>
      <c r="G863" s="4" t="n">
        <v>246.78</v>
      </c>
      <c r="L863" s="1" t="str">
        <f aca="false">IF(ISNUMBER(SEARCH("Bundle",C863)),"Bundles",IF(ISNUMBER(SEARCH("Airtime",C863)),"Bundles",IF(ISNUMBER(SEARCH("Merchant",C863)),"Merchant Payment",IF(ISNUMBER(SEARCH("Offnet C2B",C863)),"Merchant Payment",IF(ISNUMBER(SEARCH("Offnet B2C",C863)),"Merchant Payment",IF(ISNUMBER(SEARCH("Customer Payment to Small",C863)),"Merchant Payment",IF(ISNUMBER(SEARCH("Payment to Small Business",C863)),"Merchant Payment",IF(ISNUMBER(SEARCH("Sent to",C863)),"Sent to Person",IF(ISNUMBER(SEARCH("Customer Transfer to",C863)),"Sent to Person",IF(ISNUMBER(SEARCH("Business Payment",C863)),"Money In",IF(ISNUMBER(SEARCH("Funds Received",C863)),"Money In",IF(ISNUMBER(SEARCH("Receive International",C863)),"Money In",IF(ISNUMBER(SEARCH("Send Money Reversal",C863)),"Money In",IF(ISNUMBER(SEARCH("Pay Utility Reversal",C863)),"Money In",IF(ISNUMBER(SEARCH("Customer Transfer",C863)),"Money In",IF(ISNUMBER(SEARCH("Ziidi",C863)),"Investment",IF(ISNUMBER(SEARCH("Nabo",C863)),"Investment",IF(ISNUMBER(SEARCH("Paybill Online",C863)),"Pay Bill",IF(ISNUMBER(SEARCH("Pay Bill",C863)),"Pay Bill",IF(ISNUMBER(SEARCH("Spotify",C863)),"Pay Bill",IF(ISNUMBER(SEARCH("M-Shwari",C863)),"Mshwari",IF(ISNUMBER(SEARCH("Mshwari",C863)),"Mshwari",IF(ISNUMBER(SEARCH("Withdrawal charge",C863)),"Fees",IF(ISNUMBER(SEARCH("Customer Withdrawal",C863)),"Fees",IF(ISNUMBER(SEARCH("charge",C863)),"Fees","Other")))))))))))))))))))))))))</f>
        <v>Merchant Payment</v>
      </c>
      <c r="R863" s="1" t="str">
        <f aca="false">TEXT(B863,"MMM YYYY")</f>
        <v>Apr 2026</v>
      </c>
    </row>
    <row r="864" customFormat="false" ht="13.8" hidden="false" customHeight="false" outlineLevel="0" collapsed="false">
      <c r="A864" s="4" t="s">
        <v>1797</v>
      </c>
      <c r="B864" s="4" t="s">
        <v>1798</v>
      </c>
      <c r="C864" s="4" t="s">
        <v>1564</v>
      </c>
      <c r="D864" s="4" t="s">
        <v>18</v>
      </c>
      <c r="E864" s="4"/>
      <c r="F864" s="4" t="n">
        <v>130</v>
      </c>
      <c r="G864" s="4" t="n">
        <v>116.78</v>
      </c>
      <c r="L864" s="1" t="str">
        <f aca="false">IF(ISNUMBER(SEARCH("Bundle",C864)),"Bundles",IF(ISNUMBER(SEARCH("Airtime",C864)),"Bundles",IF(ISNUMBER(SEARCH("Merchant",C864)),"Merchant Payment",IF(ISNUMBER(SEARCH("Offnet C2B",C864)),"Merchant Payment",IF(ISNUMBER(SEARCH("Offnet B2C",C864)),"Merchant Payment",IF(ISNUMBER(SEARCH("Customer Payment to Small",C864)),"Merchant Payment",IF(ISNUMBER(SEARCH("Payment to Small Business",C864)),"Merchant Payment",IF(ISNUMBER(SEARCH("Sent to",C864)),"Sent to Person",IF(ISNUMBER(SEARCH("Customer Transfer to",C864)),"Sent to Person",IF(ISNUMBER(SEARCH("Business Payment",C864)),"Money In",IF(ISNUMBER(SEARCH("Funds Received",C864)),"Money In",IF(ISNUMBER(SEARCH("Receive International",C864)),"Money In",IF(ISNUMBER(SEARCH("Send Money Reversal",C864)),"Money In",IF(ISNUMBER(SEARCH("Pay Utility Reversal",C864)),"Money In",IF(ISNUMBER(SEARCH("Customer Transfer",C864)),"Money In",IF(ISNUMBER(SEARCH("Ziidi",C864)),"Investment",IF(ISNUMBER(SEARCH("Nabo",C864)),"Investment",IF(ISNUMBER(SEARCH("Paybill Online",C864)),"Pay Bill",IF(ISNUMBER(SEARCH("Pay Bill",C864)),"Pay Bill",IF(ISNUMBER(SEARCH("Spotify",C864)),"Pay Bill",IF(ISNUMBER(SEARCH("M-Shwari",C864)),"Mshwari",IF(ISNUMBER(SEARCH("Mshwari",C864)),"Mshwari",IF(ISNUMBER(SEARCH("Withdrawal charge",C864)),"Fees",IF(ISNUMBER(SEARCH("Customer Withdrawal",C864)),"Fees",IF(ISNUMBER(SEARCH("charge",C864)),"Fees","Other")))))))))))))))))))))))))</f>
        <v>Merchant Payment</v>
      </c>
      <c r="R864" s="1" t="str">
        <f aca="false">TEXT(B864,"MMM YYYY")</f>
        <v>Apr 2026</v>
      </c>
    </row>
    <row r="865" customFormat="false" ht="13.8" hidden="false" customHeight="false" outlineLevel="0" collapsed="false">
      <c r="A865" s="4" t="s">
        <v>1799</v>
      </c>
      <c r="B865" s="4" t="s">
        <v>1800</v>
      </c>
      <c r="C865" s="4" t="s">
        <v>45</v>
      </c>
      <c r="D865" s="4" t="s">
        <v>18</v>
      </c>
      <c r="E865" s="4"/>
      <c r="F865" s="4" t="n">
        <v>60</v>
      </c>
      <c r="G865" s="4" t="n">
        <v>56.78</v>
      </c>
      <c r="L865" s="1" t="str">
        <f aca="false">IF(ISNUMBER(SEARCH("Bundle",C865)),"Bundles",IF(ISNUMBER(SEARCH("Airtime",C865)),"Bundles",IF(ISNUMBER(SEARCH("Merchant",C865)),"Merchant Payment",IF(ISNUMBER(SEARCH("Offnet C2B",C865)),"Merchant Payment",IF(ISNUMBER(SEARCH("Offnet B2C",C865)),"Merchant Payment",IF(ISNUMBER(SEARCH("Customer Payment to Small",C865)),"Merchant Payment",IF(ISNUMBER(SEARCH("Payment to Small Business",C865)),"Merchant Payment",IF(ISNUMBER(SEARCH("Sent to",C865)),"Sent to Person",IF(ISNUMBER(SEARCH("Customer Transfer to",C865)),"Sent to Person",IF(ISNUMBER(SEARCH("Business Payment",C865)),"Money In",IF(ISNUMBER(SEARCH("Funds Received",C865)),"Money In",IF(ISNUMBER(SEARCH("Receive International",C865)),"Money In",IF(ISNUMBER(SEARCH("Send Money Reversal",C865)),"Money In",IF(ISNUMBER(SEARCH("Pay Utility Reversal",C865)),"Money In",IF(ISNUMBER(SEARCH("Customer Transfer",C865)),"Money In",IF(ISNUMBER(SEARCH("Ziidi",C865)),"Investment",IF(ISNUMBER(SEARCH("Nabo",C865)),"Investment",IF(ISNUMBER(SEARCH("Paybill Online",C865)),"Pay Bill",IF(ISNUMBER(SEARCH("Pay Bill",C865)),"Pay Bill",IF(ISNUMBER(SEARCH("Spotify",C865)),"Pay Bill",IF(ISNUMBER(SEARCH("M-Shwari",C865)),"Mshwari",IF(ISNUMBER(SEARCH("Mshwari",C865)),"Mshwari",IF(ISNUMBER(SEARCH("Withdrawal charge",C865)),"Fees",IF(ISNUMBER(SEARCH("Customer Withdrawal",C865)),"Fees",IF(ISNUMBER(SEARCH("charge",C865)),"Fees","Other")))))))))))))))))))))))))</f>
        <v>Merchant Payment</v>
      </c>
      <c r="R865" s="1" t="str">
        <f aca="false">TEXT(B865,"MMM YYYY")</f>
        <v>Apr 2026</v>
      </c>
    </row>
    <row r="866" customFormat="false" ht="13.8" hidden="false" customHeight="false" outlineLevel="0" collapsed="false">
      <c r="A866" s="4" t="s">
        <v>1801</v>
      </c>
      <c r="B866" s="4" t="s">
        <v>1802</v>
      </c>
      <c r="C866" s="4" t="s">
        <v>192</v>
      </c>
      <c r="D866" s="4" t="s">
        <v>18</v>
      </c>
      <c r="E866" s="4" t="n">
        <v>200</v>
      </c>
      <c r="F866" s="4"/>
      <c r="G866" s="4" t="n">
        <v>256.78</v>
      </c>
      <c r="L866" s="1" t="str">
        <f aca="false">IF(ISNUMBER(SEARCH("Bundle",C866)),"Bundles",IF(ISNUMBER(SEARCH("Airtime",C866)),"Bundles",IF(ISNUMBER(SEARCH("Merchant",C866)),"Merchant Payment",IF(ISNUMBER(SEARCH("Offnet C2B",C866)),"Merchant Payment",IF(ISNUMBER(SEARCH("Offnet B2C",C866)),"Merchant Payment",IF(ISNUMBER(SEARCH("Customer Payment to Small",C866)),"Merchant Payment",IF(ISNUMBER(SEARCH("Payment to Small Business",C866)),"Merchant Payment",IF(ISNUMBER(SEARCH("Sent to",C866)),"Sent to Person",IF(ISNUMBER(SEARCH("Customer Transfer to",C866)),"Sent to Person",IF(ISNUMBER(SEARCH("Business Payment",C866)),"Money In",IF(ISNUMBER(SEARCH("Funds Received",C866)),"Money In",IF(ISNUMBER(SEARCH("Receive International",C866)),"Money In",IF(ISNUMBER(SEARCH("Send Money Reversal",C866)),"Money In",IF(ISNUMBER(SEARCH("Pay Utility Reversal",C866)),"Money In",IF(ISNUMBER(SEARCH("Customer Transfer",C866)),"Money In",IF(ISNUMBER(SEARCH("Ziidi",C866)),"Investment",IF(ISNUMBER(SEARCH("Nabo",C866)),"Investment",IF(ISNUMBER(SEARCH("Paybill Online",C866)),"Pay Bill",IF(ISNUMBER(SEARCH("Pay Bill",C866)),"Pay Bill",IF(ISNUMBER(SEARCH("Spotify",C866)),"Pay Bill",IF(ISNUMBER(SEARCH("M-Shwari",C866)),"Mshwari",IF(ISNUMBER(SEARCH("Mshwari",C866)),"Mshwari",IF(ISNUMBER(SEARCH("Withdrawal charge",C866)),"Fees",IF(ISNUMBER(SEARCH("Customer Withdrawal",C866)),"Fees",IF(ISNUMBER(SEARCH("charge",C866)),"Fees","Other")))))))))))))))))))))))))</f>
        <v>Mshwari</v>
      </c>
      <c r="R866" s="1" t="str">
        <f aca="false">TEXT(B866,"MMM YYYY")</f>
        <v>Apr 2026</v>
      </c>
    </row>
    <row r="867" customFormat="false" ht="13.8" hidden="false" customHeight="false" outlineLevel="0" collapsed="false">
      <c r="A867" s="4" t="s">
        <v>1803</v>
      </c>
      <c r="B867" s="4" t="s">
        <v>1804</v>
      </c>
      <c r="C867" s="4" t="s">
        <v>1073</v>
      </c>
      <c r="D867" s="4" t="s">
        <v>18</v>
      </c>
      <c r="E867" s="4"/>
      <c r="F867" s="4" t="n">
        <v>30</v>
      </c>
      <c r="G867" s="4" t="n">
        <v>226.78</v>
      </c>
      <c r="L867" s="1" t="str">
        <f aca="false">IF(ISNUMBER(SEARCH("Bundle",C867)),"Bundles",IF(ISNUMBER(SEARCH("Airtime",C867)),"Bundles",IF(ISNUMBER(SEARCH("Merchant",C867)),"Merchant Payment",IF(ISNUMBER(SEARCH("Offnet C2B",C867)),"Merchant Payment",IF(ISNUMBER(SEARCH("Offnet B2C",C867)),"Merchant Payment",IF(ISNUMBER(SEARCH("Customer Payment to Small",C867)),"Merchant Payment",IF(ISNUMBER(SEARCH("Payment to Small Business",C867)),"Merchant Payment",IF(ISNUMBER(SEARCH("Sent to",C867)),"Sent to Person",IF(ISNUMBER(SEARCH("Customer Transfer to",C867)),"Sent to Person",IF(ISNUMBER(SEARCH("Business Payment",C867)),"Money In",IF(ISNUMBER(SEARCH("Funds Received",C867)),"Money In",IF(ISNUMBER(SEARCH("Receive International",C867)),"Money In",IF(ISNUMBER(SEARCH("Send Money Reversal",C867)),"Money In",IF(ISNUMBER(SEARCH("Pay Utility Reversal",C867)),"Money In",IF(ISNUMBER(SEARCH("Customer Transfer",C867)),"Money In",IF(ISNUMBER(SEARCH("Ziidi",C867)),"Investment",IF(ISNUMBER(SEARCH("Nabo",C867)),"Investment",IF(ISNUMBER(SEARCH("Paybill Online",C867)),"Pay Bill",IF(ISNUMBER(SEARCH("Pay Bill",C867)),"Pay Bill",IF(ISNUMBER(SEARCH("Spotify",C867)),"Pay Bill",IF(ISNUMBER(SEARCH("M-Shwari",C867)),"Mshwari",IF(ISNUMBER(SEARCH("Mshwari",C867)),"Mshwari",IF(ISNUMBER(SEARCH("Withdrawal charge",C867)),"Fees",IF(ISNUMBER(SEARCH("Customer Withdrawal",C867)),"Fees",IF(ISNUMBER(SEARCH("charge",C867)),"Fees","Other")))))))))))))))))))))))))</f>
        <v>Merchant Payment</v>
      </c>
      <c r="R867" s="1" t="str">
        <f aca="false">TEXT(B867,"MMM YYYY")</f>
        <v>Apr 2026</v>
      </c>
    </row>
    <row r="868" customFormat="false" ht="13.8" hidden="false" customHeight="false" outlineLevel="0" collapsed="false">
      <c r="A868" s="4" t="s">
        <v>1805</v>
      </c>
      <c r="B868" s="4" t="s">
        <v>1806</v>
      </c>
      <c r="C868" s="4" t="s">
        <v>435</v>
      </c>
      <c r="D868" s="4" t="s">
        <v>18</v>
      </c>
      <c r="E868" s="4"/>
      <c r="F868" s="4" t="n">
        <v>80</v>
      </c>
      <c r="G868" s="4" t="n">
        <v>146.78</v>
      </c>
      <c r="L868" s="1" t="str">
        <f aca="false">IF(ISNUMBER(SEARCH("Bundle",C868)),"Bundles",IF(ISNUMBER(SEARCH("Airtime",C868)),"Bundles",IF(ISNUMBER(SEARCH("Merchant",C868)),"Merchant Payment",IF(ISNUMBER(SEARCH("Offnet C2B",C868)),"Merchant Payment",IF(ISNUMBER(SEARCH("Offnet B2C",C868)),"Merchant Payment",IF(ISNUMBER(SEARCH("Customer Payment to Small",C868)),"Merchant Payment",IF(ISNUMBER(SEARCH("Payment to Small Business",C868)),"Merchant Payment",IF(ISNUMBER(SEARCH("Sent to",C868)),"Sent to Person",IF(ISNUMBER(SEARCH("Customer Transfer to",C868)),"Sent to Person",IF(ISNUMBER(SEARCH("Business Payment",C868)),"Money In",IF(ISNUMBER(SEARCH("Funds Received",C868)),"Money In",IF(ISNUMBER(SEARCH("Receive International",C868)),"Money In",IF(ISNUMBER(SEARCH("Send Money Reversal",C868)),"Money In",IF(ISNUMBER(SEARCH("Pay Utility Reversal",C868)),"Money In",IF(ISNUMBER(SEARCH("Customer Transfer",C868)),"Money In",IF(ISNUMBER(SEARCH("Ziidi",C868)),"Investment",IF(ISNUMBER(SEARCH("Nabo",C868)),"Investment",IF(ISNUMBER(SEARCH("Paybill Online",C868)),"Pay Bill",IF(ISNUMBER(SEARCH("Pay Bill",C868)),"Pay Bill",IF(ISNUMBER(SEARCH("Spotify",C868)),"Pay Bill",IF(ISNUMBER(SEARCH("M-Shwari",C868)),"Mshwari",IF(ISNUMBER(SEARCH("Mshwari",C868)),"Mshwari",IF(ISNUMBER(SEARCH("Withdrawal charge",C868)),"Fees",IF(ISNUMBER(SEARCH("Customer Withdrawal",C868)),"Fees",IF(ISNUMBER(SEARCH("charge",C868)),"Fees","Other")))))))))))))))))))))))))</f>
        <v>Merchant Payment</v>
      </c>
      <c r="R868" s="1" t="str">
        <f aca="false">TEXT(B868,"MMM YYYY")</f>
        <v>Apr 2026</v>
      </c>
    </row>
    <row r="869" customFormat="false" ht="13.8" hidden="false" customHeight="false" outlineLevel="0" collapsed="false">
      <c r="A869" s="4" t="s">
        <v>1807</v>
      </c>
      <c r="B869" s="4" t="s">
        <v>1808</v>
      </c>
      <c r="C869" s="4" t="s">
        <v>17</v>
      </c>
      <c r="D869" s="4" t="s">
        <v>18</v>
      </c>
      <c r="E869" s="4"/>
      <c r="F869" s="4" t="n">
        <v>20</v>
      </c>
      <c r="G869" s="4" t="n">
        <v>126.78</v>
      </c>
      <c r="L869" s="1" t="str">
        <f aca="false">IF(ISNUMBER(SEARCH("Bundle",C869)),"Bundles",IF(ISNUMBER(SEARCH("Airtime",C869)),"Bundles",IF(ISNUMBER(SEARCH("Merchant",C869)),"Merchant Payment",IF(ISNUMBER(SEARCH("Offnet C2B",C869)),"Merchant Payment",IF(ISNUMBER(SEARCH("Offnet B2C",C869)),"Merchant Payment",IF(ISNUMBER(SEARCH("Customer Payment to Small",C869)),"Merchant Payment",IF(ISNUMBER(SEARCH("Payment to Small Business",C869)),"Merchant Payment",IF(ISNUMBER(SEARCH("Sent to",C869)),"Sent to Person",IF(ISNUMBER(SEARCH("Customer Transfer to",C869)),"Sent to Person",IF(ISNUMBER(SEARCH("Business Payment",C869)),"Money In",IF(ISNUMBER(SEARCH("Funds Received",C869)),"Money In",IF(ISNUMBER(SEARCH("Receive International",C869)),"Money In",IF(ISNUMBER(SEARCH("Send Money Reversal",C869)),"Money In",IF(ISNUMBER(SEARCH("Pay Utility Reversal",C869)),"Money In",IF(ISNUMBER(SEARCH("Customer Transfer",C869)),"Money In",IF(ISNUMBER(SEARCH("Ziidi",C869)),"Investment",IF(ISNUMBER(SEARCH("Nabo",C869)),"Investment",IF(ISNUMBER(SEARCH("Paybill Online",C869)),"Pay Bill",IF(ISNUMBER(SEARCH("Pay Bill",C869)),"Pay Bill",IF(ISNUMBER(SEARCH("Spotify",C869)),"Pay Bill",IF(ISNUMBER(SEARCH("M-Shwari",C869)),"Mshwari",IF(ISNUMBER(SEARCH("Mshwari",C869)),"Mshwari",IF(ISNUMBER(SEARCH("Withdrawal charge",C869)),"Fees",IF(ISNUMBER(SEARCH("Customer Withdrawal",C869)),"Fees",IF(ISNUMBER(SEARCH("charge",C869)),"Fees","Other")))))))))))))))))))))))))</f>
        <v>Bundles</v>
      </c>
      <c r="R869" s="1" t="str">
        <f aca="false">TEXT(B869,"MMM YYYY")</f>
        <v>Apr 2026</v>
      </c>
    </row>
    <row r="870" customFormat="false" ht="13.8" hidden="false" customHeight="false" outlineLevel="0" collapsed="false">
      <c r="A870" s="4" t="s">
        <v>1809</v>
      </c>
      <c r="B870" s="4" t="s">
        <v>1810</v>
      </c>
      <c r="C870" s="4" t="s">
        <v>1010</v>
      </c>
      <c r="D870" s="4" t="s">
        <v>18</v>
      </c>
      <c r="E870" s="4"/>
      <c r="F870" s="4" t="n">
        <v>50</v>
      </c>
      <c r="G870" s="4" t="n">
        <v>76.78</v>
      </c>
      <c r="L870" s="1" t="str">
        <f aca="false">IF(ISNUMBER(SEARCH("Bundle",C870)),"Bundles",IF(ISNUMBER(SEARCH("Airtime",C870)),"Bundles",IF(ISNUMBER(SEARCH("Merchant",C870)),"Merchant Payment",IF(ISNUMBER(SEARCH("Offnet C2B",C870)),"Merchant Payment",IF(ISNUMBER(SEARCH("Offnet B2C",C870)),"Merchant Payment",IF(ISNUMBER(SEARCH("Customer Payment to Small",C870)),"Merchant Payment",IF(ISNUMBER(SEARCH("Payment to Small Business",C870)),"Merchant Payment",IF(ISNUMBER(SEARCH("Sent to",C870)),"Sent to Person",IF(ISNUMBER(SEARCH("Customer Transfer to",C870)),"Sent to Person",IF(ISNUMBER(SEARCH("Business Payment",C870)),"Money In",IF(ISNUMBER(SEARCH("Funds Received",C870)),"Money In",IF(ISNUMBER(SEARCH("Receive International",C870)),"Money In",IF(ISNUMBER(SEARCH("Send Money Reversal",C870)),"Money In",IF(ISNUMBER(SEARCH("Pay Utility Reversal",C870)),"Money In",IF(ISNUMBER(SEARCH("Customer Transfer",C870)),"Money In",IF(ISNUMBER(SEARCH("Ziidi",C870)),"Investment",IF(ISNUMBER(SEARCH("Nabo",C870)),"Investment",IF(ISNUMBER(SEARCH("Paybill Online",C870)),"Pay Bill",IF(ISNUMBER(SEARCH("Pay Bill",C870)),"Pay Bill",IF(ISNUMBER(SEARCH("Spotify",C870)),"Pay Bill",IF(ISNUMBER(SEARCH("M-Shwari",C870)),"Mshwari",IF(ISNUMBER(SEARCH("Mshwari",C870)),"Mshwari",IF(ISNUMBER(SEARCH("Withdrawal charge",C870)),"Fees",IF(ISNUMBER(SEARCH("Customer Withdrawal",C870)),"Fees",IF(ISNUMBER(SEARCH("charge",C870)),"Fees","Other")))))))))))))))))))))))))</f>
        <v>Merchant Payment</v>
      </c>
      <c r="R870" s="1" t="str">
        <f aca="false">TEXT(B870,"MMM YYYY")</f>
        <v>Apr 2026</v>
      </c>
    </row>
    <row r="871" customFormat="false" ht="13.8" hidden="false" customHeight="false" outlineLevel="0" collapsed="false">
      <c r="A871" s="4" t="s">
        <v>1811</v>
      </c>
      <c r="B871" s="4" t="s">
        <v>1812</v>
      </c>
      <c r="C871" s="4" t="s">
        <v>1010</v>
      </c>
      <c r="D871" s="4" t="s">
        <v>18</v>
      </c>
      <c r="E871" s="4"/>
      <c r="F871" s="4" t="n">
        <v>25</v>
      </c>
      <c r="G871" s="4" t="n">
        <v>51.78</v>
      </c>
      <c r="L871" s="1" t="str">
        <f aca="false">IF(ISNUMBER(SEARCH("Bundle",C871)),"Bundles",IF(ISNUMBER(SEARCH("Airtime",C871)),"Bundles",IF(ISNUMBER(SEARCH("Merchant",C871)),"Merchant Payment",IF(ISNUMBER(SEARCH("Offnet C2B",C871)),"Merchant Payment",IF(ISNUMBER(SEARCH("Offnet B2C",C871)),"Merchant Payment",IF(ISNUMBER(SEARCH("Customer Payment to Small",C871)),"Merchant Payment",IF(ISNUMBER(SEARCH("Payment to Small Business",C871)),"Merchant Payment",IF(ISNUMBER(SEARCH("Sent to",C871)),"Sent to Person",IF(ISNUMBER(SEARCH("Customer Transfer to",C871)),"Sent to Person",IF(ISNUMBER(SEARCH("Business Payment",C871)),"Money In",IF(ISNUMBER(SEARCH("Funds Received",C871)),"Money In",IF(ISNUMBER(SEARCH("Receive International",C871)),"Money In",IF(ISNUMBER(SEARCH("Send Money Reversal",C871)),"Money In",IF(ISNUMBER(SEARCH("Pay Utility Reversal",C871)),"Money In",IF(ISNUMBER(SEARCH("Customer Transfer",C871)),"Money In",IF(ISNUMBER(SEARCH("Ziidi",C871)),"Investment",IF(ISNUMBER(SEARCH("Nabo",C871)),"Investment",IF(ISNUMBER(SEARCH("Paybill Online",C871)),"Pay Bill",IF(ISNUMBER(SEARCH("Pay Bill",C871)),"Pay Bill",IF(ISNUMBER(SEARCH("Spotify",C871)),"Pay Bill",IF(ISNUMBER(SEARCH("M-Shwari",C871)),"Mshwari",IF(ISNUMBER(SEARCH("Mshwari",C871)),"Mshwari",IF(ISNUMBER(SEARCH("Withdrawal charge",C871)),"Fees",IF(ISNUMBER(SEARCH("Customer Withdrawal",C871)),"Fees",IF(ISNUMBER(SEARCH("charge",C871)),"Fees","Other")))))))))))))))))))))))))</f>
        <v>Merchant Payment</v>
      </c>
      <c r="R871" s="1" t="str">
        <f aca="false">TEXT(B871,"MMM YYYY")</f>
        <v>Apr 2026</v>
      </c>
    </row>
    <row r="872" customFormat="false" ht="13.8" hidden="false" customHeight="false" outlineLevel="0" collapsed="false">
      <c r="A872" s="4" t="s">
        <v>1813</v>
      </c>
      <c r="B872" s="4" t="s">
        <v>1814</v>
      </c>
      <c r="C872" s="4" t="s">
        <v>192</v>
      </c>
      <c r="D872" s="4" t="s">
        <v>18</v>
      </c>
      <c r="E872" s="4" t="n">
        <v>200</v>
      </c>
      <c r="F872" s="4"/>
      <c r="G872" s="4" t="n">
        <v>251.78</v>
      </c>
      <c r="L872" s="1" t="str">
        <f aca="false">IF(ISNUMBER(SEARCH("Bundle",C872)),"Bundles",IF(ISNUMBER(SEARCH("Airtime",C872)),"Bundles",IF(ISNUMBER(SEARCH("Merchant",C872)),"Merchant Payment",IF(ISNUMBER(SEARCH("Offnet C2B",C872)),"Merchant Payment",IF(ISNUMBER(SEARCH("Offnet B2C",C872)),"Merchant Payment",IF(ISNUMBER(SEARCH("Customer Payment to Small",C872)),"Merchant Payment",IF(ISNUMBER(SEARCH("Payment to Small Business",C872)),"Merchant Payment",IF(ISNUMBER(SEARCH("Sent to",C872)),"Sent to Person",IF(ISNUMBER(SEARCH("Customer Transfer to",C872)),"Sent to Person",IF(ISNUMBER(SEARCH("Business Payment",C872)),"Money In",IF(ISNUMBER(SEARCH("Funds Received",C872)),"Money In",IF(ISNUMBER(SEARCH("Receive International",C872)),"Money In",IF(ISNUMBER(SEARCH("Send Money Reversal",C872)),"Money In",IF(ISNUMBER(SEARCH("Pay Utility Reversal",C872)),"Money In",IF(ISNUMBER(SEARCH("Customer Transfer",C872)),"Money In",IF(ISNUMBER(SEARCH("Ziidi",C872)),"Investment",IF(ISNUMBER(SEARCH("Nabo",C872)),"Investment",IF(ISNUMBER(SEARCH("Paybill Online",C872)),"Pay Bill",IF(ISNUMBER(SEARCH("Pay Bill",C872)),"Pay Bill",IF(ISNUMBER(SEARCH("Spotify",C872)),"Pay Bill",IF(ISNUMBER(SEARCH("M-Shwari",C872)),"Mshwari",IF(ISNUMBER(SEARCH("Mshwari",C872)),"Mshwari",IF(ISNUMBER(SEARCH("Withdrawal charge",C872)),"Fees",IF(ISNUMBER(SEARCH("Customer Withdrawal",C872)),"Fees",IF(ISNUMBER(SEARCH("charge",C872)),"Fees","Other")))))))))))))))))))))))))</f>
        <v>Mshwari</v>
      </c>
      <c r="R872" s="1" t="str">
        <f aca="false">TEXT(B872,"MMM YYYY")</f>
        <v>Apr 2026</v>
      </c>
    </row>
    <row r="873" customFormat="false" ht="13.8" hidden="false" customHeight="false" outlineLevel="0" collapsed="false">
      <c r="A873" s="4" t="s">
        <v>1815</v>
      </c>
      <c r="B873" s="4" t="s">
        <v>1816</v>
      </c>
      <c r="C873" s="4" t="s">
        <v>1073</v>
      </c>
      <c r="D873" s="4" t="s">
        <v>18</v>
      </c>
      <c r="E873" s="4"/>
      <c r="F873" s="4" t="n">
        <v>70</v>
      </c>
      <c r="G873" s="4" t="n">
        <v>181.78</v>
      </c>
      <c r="L873" s="1" t="str">
        <f aca="false">IF(ISNUMBER(SEARCH("Bundle",C873)),"Bundles",IF(ISNUMBER(SEARCH("Airtime",C873)),"Bundles",IF(ISNUMBER(SEARCH("Merchant",C873)),"Merchant Payment",IF(ISNUMBER(SEARCH("Offnet C2B",C873)),"Merchant Payment",IF(ISNUMBER(SEARCH("Offnet B2C",C873)),"Merchant Payment",IF(ISNUMBER(SEARCH("Customer Payment to Small",C873)),"Merchant Payment",IF(ISNUMBER(SEARCH("Payment to Small Business",C873)),"Merchant Payment",IF(ISNUMBER(SEARCH("Sent to",C873)),"Sent to Person",IF(ISNUMBER(SEARCH("Customer Transfer to",C873)),"Sent to Person",IF(ISNUMBER(SEARCH("Business Payment",C873)),"Money In",IF(ISNUMBER(SEARCH("Funds Received",C873)),"Money In",IF(ISNUMBER(SEARCH("Receive International",C873)),"Money In",IF(ISNUMBER(SEARCH("Send Money Reversal",C873)),"Money In",IF(ISNUMBER(SEARCH("Pay Utility Reversal",C873)),"Money In",IF(ISNUMBER(SEARCH("Customer Transfer",C873)),"Money In",IF(ISNUMBER(SEARCH("Ziidi",C873)),"Investment",IF(ISNUMBER(SEARCH("Nabo",C873)),"Investment",IF(ISNUMBER(SEARCH("Paybill Online",C873)),"Pay Bill",IF(ISNUMBER(SEARCH("Pay Bill",C873)),"Pay Bill",IF(ISNUMBER(SEARCH("Spotify",C873)),"Pay Bill",IF(ISNUMBER(SEARCH("M-Shwari",C873)),"Mshwari",IF(ISNUMBER(SEARCH("Mshwari",C873)),"Mshwari",IF(ISNUMBER(SEARCH("Withdrawal charge",C873)),"Fees",IF(ISNUMBER(SEARCH("Customer Withdrawal",C873)),"Fees",IF(ISNUMBER(SEARCH("charge",C873)),"Fees","Other")))))))))))))))))))))))))</f>
        <v>Merchant Payment</v>
      </c>
      <c r="R873" s="1" t="str">
        <f aca="false">TEXT(B873,"MMM YYYY")</f>
        <v>Apr 2026</v>
      </c>
    </row>
    <row r="874" customFormat="false" ht="13.8" hidden="false" customHeight="false" outlineLevel="0" collapsed="false">
      <c r="A874" s="4" t="s">
        <v>1817</v>
      </c>
      <c r="B874" s="4" t="s">
        <v>1818</v>
      </c>
      <c r="C874" s="4" t="s">
        <v>17</v>
      </c>
      <c r="D874" s="4" t="s">
        <v>18</v>
      </c>
      <c r="E874" s="4"/>
      <c r="F874" s="4" t="n">
        <v>20</v>
      </c>
      <c r="G874" s="4" t="n">
        <v>161.78</v>
      </c>
      <c r="L874" s="1" t="str">
        <f aca="false">IF(ISNUMBER(SEARCH("Bundle",C874)),"Bundles",IF(ISNUMBER(SEARCH("Airtime",C874)),"Bundles",IF(ISNUMBER(SEARCH("Merchant",C874)),"Merchant Payment",IF(ISNUMBER(SEARCH("Offnet C2B",C874)),"Merchant Payment",IF(ISNUMBER(SEARCH("Offnet B2C",C874)),"Merchant Payment",IF(ISNUMBER(SEARCH("Customer Payment to Small",C874)),"Merchant Payment",IF(ISNUMBER(SEARCH("Payment to Small Business",C874)),"Merchant Payment",IF(ISNUMBER(SEARCH("Sent to",C874)),"Sent to Person",IF(ISNUMBER(SEARCH("Customer Transfer to",C874)),"Sent to Person",IF(ISNUMBER(SEARCH("Business Payment",C874)),"Money In",IF(ISNUMBER(SEARCH("Funds Received",C874)),"Money In",IF(ISNUMBER(SEARCH("Receive International",C874)),"Money In",IF(ISNUMBER(SEARCH("Send Money Reversal",C874)),"Money In",IF(ISNUMBER(SEARCH("Pay Utility Reversal",C874)),"Money In",IF(ISNUMBER(SEARCH("Customer Transfer",C874)),"Money In",IF(ISNUMBER(SEARCH("Ziidi",C874)),"Investment",IF(ISNUMBER(SEARCH("Nabo",C874)),"Investment",IF(ISNUMBER(SEARCH("Paybill Online",C874)),"Pay Bill",IF(ISNUMBER(SEARCH("Pay Bill",C874)),"Pay Bill",IF(ISNUMBER(SEARCH("Spotify",C874)),"Pay Bill",IF(ISNUMBER(SEARCH("M-Shwari",C874)),"Mshwari",IF(ISNUMBER(SEARCH("Mshwari",C874)),"Mshwari",IF(ISNUMBER(SEARCH("Withdrawal charge",C874)),"Fees",IF(ISNUMBER(SEARCH("Customer Withdrawal",C874)),"Fees",IF(ISNUMBER(SEARCH("charge",C874)),"Fees","Other")))))))))))))))))))))))))</f>
        <v>Bundles</v>
      </c>
      <c r="R874" s="1" t="str">
        <f aca="false">TEXT(B874,"MMM YYYY")</f>
        <v>Apr 2026</v>
      </c>
    </row>
    <row r="875" customFormat="false" ht="13.8" hidden="false" customHeight="false" outlineLevel="0" collapsed="false">
      <c r="A875" s="4" t="s">
        <v>1819</v>
      </c>
      <c r="B875" s="4" t="s">
        <v>1820</v>
      </c>
      <c r="C875" s="4" t="s">
        <v>17</v>
      </c>
      <c r="D875" s="4" t="s">
        <v>18</v>
      </c>
      <c r="E875" s="4"/>
      <c r="F875" s="4" t="n">
        <v>20</v>
      </c>
      <c r="G875" s="4" t="n">
        <v>141.78</v>
      </c>
      <c r="L875" s="1" t="str">
        <f aca="false">IF(ISNUMBER(SEARCH("Bundle",C875)),"Bundles",IF(ISNUMBER(SEARCH("Airtime",C875)),"Bundles",IF(ISNUMBER(SEARCH("Merchant",C875)),"Merchant Payment",IF(ISNUMBER(SEARCH("Offnet C2B",C875)),"Merchant Payment",IF(ISNUMBER(SEARCH("Offnet B2C",C875)),"Merchant Payment",IF(ISNUMBER(SEARCH("Customer Payment to Small",C875)),"Merchant Payment",IF(ISNUMBER(SEARCH("Payment to Small Business",C875)),"Merchant Payment",IF(ISNUMBER(SEARCH("Sent to",C875)),"Sent to Person",IF(ISNUMBER(SEARCH("Customer Transfer to",C875)),"Sent to Person",IF(ISNUMBER(SEARCH("Business Payment",C875)),"Money In",IF(ISNUMBER(SEARCH("Funds Received",C875)),"Money In",IF(ISNUMBER(SEARCH("Receive International",C875)),"Money In",IF(ISNUMBER(SEARCH("Send Money Reversal",C875)),"Money In",IF(ISNUMBER(SEARCH("Pay Utility Reversal",C875)),"Money In",IF(ISNUMBER(SEARCH("Customer Transfer",C875)),"Money In",IF(ISNUMBER(SEARCH("Ziidi",C875)),"Investment",IF(ISNUMBER(SEARCH("Nabo",C875)),"Investment",IF(ISNUMBER(SEARCH("Paybill Online",C875)),"Pay Bill",IF(ISNUMBER(SEARCH("Pay Bill",C875)),"Pay Bill",IF(ISNUMBER(SEARCH("Spotify",C875)),"Pay Bill",IF(ISNUMBER(SEARCH("M-Shwari",C875)),"Mshwari",IF(ISNUMBER(SEARCH("Mshwari",C875)),"Mshwari",IF(ISNUMBER(SEARCH("Withdrawal charge",C875)),"Fees",IF(ISNUMBER(SEARCH("Customer Withdrawal",C875)),"Fees",IF(ISNUMBER(SEARCH("charge",C875)),"Fees","Other")))))))))))))))))))))))))</f>
        <v>Bundles</v>
      </c>
      <c r="R875" s="1" t="str">
        <f aca="false">TEXT(B875,"MMM YYYY")</f>
        <v>Apr 2026</v>
      </c>
    </row>
    <row r="876" customFormat="false" ht="13.8" hidden="false" customHeight="false" outlineLevel="0" collapsed="false">
      <c r="A876" s="4" t="s">
        <v>1821</v>
      </c>
      <c r="B876" s="4" t="s">
        <v>1822</v>
      </c>
      <c r="C876" s="4" t="s">
        <v>29</v>
      </c>
      <c r="D876" s="4" t="s">
        <v>18</v>
      </c>
      <c r="E876" s="4"/>
      <c r="F876" s="4" t="n">
        <v>5</v>
      </c>
      <c r="G876" s="4" t="n">
        <v>136.78</v>
      </c>
      <c r="L876" s="1" t="str">
        <f aca="false">IF(ISNUMBER(SEARCH("Bundle",C876)),"Bundles",IF(ISNUMBER(SEARCH("Airtime",C876)),"Bundles",IF(ISNUMBER(SEARCH("Merchant",C876)),"Merchant Payment",IF(ISNUMBER(SEARCH("Offnet C2B",C876)),"Merchant Payment",IF(ISNUMBER(SEARCH("Offnet B2C",C876)),"Merchant Payment",IF(ISNUMBER(SEARCH("Customer Payment to Small",C876)),"Merchant Payment",IF(ISNUMBER(SEARCH("Payment to Small Business",C876)),"Merchant Payment",IF(ISNUMBER(SEARCH("Sent to",C876)),"Sent to Person",IF(ISNUMBER(SEARCH("Customer Transfer to",C876)),"Sent to Person",IF(ISNUMBER(SEARCH("Business Payment",C876)),"Money In",IF(ISNUMBER(SEARCH("Funds Received",C876)),"Money In",IF(ISNUMBER(SEARCH("Receive International",C876)),"Money In",IF(ISNUMBER(SEARCH("Send Money Reversal",C876)),"Money In",IF(ISNUMBER(SEARCH("Pay Utility Reversal",C876)),"Money In",IF(ISNUMBER(SEARCH("Customer Transfer",C876)),"Money In",IF(ISNUMBER(SEARCH("Ziidi",C876)),"Investment",IF(ISNUMBER(SEARCH("Nabo",C876)),"Investment",IF(ISNUMBER(SEARCH("Paybill Online",C876)),"Pay Bill",IF(ISNUMBER(SEARCH("Pay Bill",C876)),"Pay Bill",IF(ISNUMBER(SEARCH("Spotify",C876)),"Pay Bill",IF(ISNUMBER(SEARCH("M-Shwari",C876)),"Mshwari",IF(ISNUMBER(SEARCH("Mshwari",C876)),"Mshwari",IF(ISNUMBER(SEARCH("Withdrawal charge",C876)),"Fees",IF(ISNUMBER(SEARCH("Customer Withdrawal",C876)),"Fees",IF(ISNUMBER(SEARCH("charge",C876)),"Fees","Other")))))))))))))))))))))))))</f>
        <v>Bundles</v>
      </c>
      <c r="R876" s="1" t="str">
        <f aca="false">TEXT(B876,"MMM YYYY")</f>
        <v>Apr 2026</v>
      </c>
    </row>
    <row r="877" customFormat="false" ht="13.8" hidden="false" customHeight="false" outlineLevel="0" collapsed="false">
      <c r="A877" s="4" t="s">
        <v>1823</v>
      </c>
      <c r="B877" s="4" t="s">
        <v>1824</v>
      </c>
      <c r="C877" s="4" t="s">
        <v>1010</v>
      </c>
      <c r="D877" s="4" t="s">
        <v>18</v>
      </c>
      <c r="E877" s="4"/>
      <c r="F877" s="4" t="n">
        <v>75</v>
      </c>
      <c r="G877" s="4" t="n">
        <v>61.78</v>
      </c>
      <c r="L877" s="1" t="str">
        <f aca="false">IF(ISNUMBER(SEARCH("Bundle",C877)),"Bundles",IF(ISNUMBER(SEARCH("Airtime",C877)),"Bundles",IF(ISNUMBER(SEARCH("Merchant",C877)),"Merchant Payment",IF(ISNUMBER(SEARCH("Offnet C2B",C877)),"Merchant Payment",IF(ISNUMBER(SEARCH("Offnet B2C",C877)),"Merchant Payment",IF(ISNUMBER(SEARCH("Customer Payment to Small",C877)),"Merchant Payment",IF(ISNUMBER(SEARCH("Payment to Small Business",C877)),"Merchant Payment",IF(ISNUMBER(SEARCH("Sent to",C877)),"Sent to Person",IF(ISNUMBER(SEARCH("Customer Transfer to",C877)),"Sent to Person",IF(ISNUMBER(SEARCH("Business Payment",C877)),"Money In",IF(ISNUMBER(SEARCH("Funds Received",C877)),"Money In",IF(ISNUMBER(SEARCH("Receive International",C877)),"Money In",IF(ISNUMBER(SEARCH("Send Money Reversal",C877)),"Money In",IF(ISNUMBER(SEARCH("Pay Utility Reversal",C877)),"Money In",IF(ISNUMBER(SEARCH("Customer Transfer",C877)),"Money In",IF(ISNUMBER(SEARCH("Ziidi",C877)),"Investment",IF(ISNUMBER(SEARCH("Nabo",C877)),"Investment",IF(ISNUMBER(SEARCH("Paybill Online",C877)),"Pay Bill",IF(ISNUMBER(SEARCH("Pay Bill",C877)),"Pay Bill",IF(ISNUMBER(SEARCH("Spotify",C877)),"Pay Bill",IF(ISNUMBER(SEARCH("M-Shwari",C877)),"Mshwari",IF(ISNUMBER(SEARCH("Mshwari",C877)),"Mshwari",IF(ISNUMBER(SEARCH("Withdrawal charge",C877)),"Fees",IF(ISNUMBER(SEARCH("Customer Withdrawal",C877)),"Fees",IF(ISNUMBER(SEARCH("charge",C877)),"Fees","Other")))))))))))))))))))))))))</f>
        <v>Merchant Payment</v>
      </c>
      <c r="R877" s="1" t="str">
        <f aca="false">TEXT(B877,"MMM YYYY")</f>
        <v>Apr 2026</v>
      </c>
    </row>
    <row r="878" customFormat="false" ht="13.8" hidden="false" customHeight="false" outlineLevel="0" collapsed="false">
      <c r="A878" s="4" t="s">
        <v>1825</v>
      </c>
      <c r="B878" s="4" t="s">
        <v>1826</v>
      </c>
      <c r="C878" s="4" t="s">
        <v>1827</v>
      </c>
      <c r="D878" s="4" t="s">
        <v>18</v>
      </c>
      <c r="E878" s="4"/>
      <c r="F878" s="4" t="n">
        <v>60</v>
      </c>
      <c r="G878" s="4" t="n">
        <v>1.78</v>
      </c>
      <c r="L878" s="1" t="str">
        <f aca="false">IF(ISNUMBER(SEARCH("Bundle",C878)),"Bundles",IF(ISNUMBER(SEARCH("Airtime",C878)),"Bundles",IF(ISNUMBER(SEARCH("Merchant",C878)),"Merchant Payment",IF(ISNUMBER(SEARCH("Offnet C2B",C878)),"Merchant Payment",IF(ISNUMBER(SEARCH("Offnet B2C",C878)),"Merchant Payment",IF(ISNUMBER(SEARCH("Customer Payment to Small",C878)),"Merchant Payment",IF(ISNUMBER(SEARCH("Payment to Small Business",C878)),"Merchant Payment",IF(ISNUMBER(SEARCH("Sent to",C878)),"Sent to Person",IF(ISNUMBER(SEARCH("Customer Transfer to",C878)),"Sent to Person",IF(ISNUMBER(SEARCH("Business Payment",C878)),"Money In",IF(ISNUMBER(SEARCH("Funds Received",C878)),"Money In",IF(ISNUMBER(SEARCH("Receive International",C878)),"Money In",IF(ISNUMBER(SEARCH("Send Money Reversal",C878)),"Money In",IF(ISNUMBER(SEARCH("Pay Utility Reversal",C878)),"Money In",IF(ISNUMBER(SEARCH("Customer Transfer",C878)),"Money In",IF(ISNUMBER(SEARCH("Ziidi",C878)),"Investment",IF(ISNUMBER(SEARCH("Nabo",C878)),"Investment",IF(ISNUMBER(SEARCH("Paybill Online",C878)),"Pay Bill",IF(ISNUMBER(SEARCH("Pay Bill",C878)),"Pay Bill",IF(ISNUMBER(SEARCH("Spotify",C878)),"Pay Bill",IF(ISNUMBER(SEARCH("M-Shwari",C878)),"Mshwari",IF(ISNUMBER(SEARCH("Mshwari",C878)),"Mshwari",IF(ISNUMBER(SEARCH("Withdrawal charge",C878)),"Fees",IF(ISNUMBER(SEARCH("Customer Withdrawal",C878)),"Fees",IF(ISNUMBER(SEARCH("charge",C878)),"Fees","Other")))))))))))))))))))))))))</f>
        <v>Merchant Payment</v>
      </c>
      <c r="R878" s="1" t="str">
        <f aca="false">TEXT(B878,"MMM YYYY")</f>
        <v>Apr 2026</v>
      </c>
    </row>
    <row r="879" customFormat="false" ht="13.8" hidden="false" customHeight="false" outlineLevel="0" collapsed="false">
      <c r="A879" s="4" t="s">
        <v>1828</v>
      </c>
      <c r="B879" s="4" t="s">
        <v>1829</v>
      </c>
      <c r="C879" s="4" t="s">
        <v>192</v>
      </c>
      <c r="D879" s="4" t="s">
        <v>18</v>
      </c>
      <c r="E879" s="4" t="n">
        <v>20</v>
      </c>
      <c r="F879" s="4"/>
      <c r="G879" s="4" t="n">
        <v>21.78</v>
      </c>
      <c r="L879" s="1" t="str">
        <f aca="false">IF(ISNUMBER(SEARCH("Bundle",C879)),"Bundles",IF(ISNUMBER(SEARCH("Airtime",C879)),"Bundles",IF(ISNUMBER(SEARCH("Merchant",C879)),"Merchant Payment",IF(ISNUMBER(SEARCH("Offnet C2B",C879)),"Merchant Payment",IF(ISNUMBER(SEARCH("Offnet B2C",C879)),"Merchant Payment",IF(ISNUMBER(SEARCH("Customer Payment to Small",C879)),"Merchant Payment",IF(ISNUMBER(SEARCH("Payment to Small Business",C879)),"Merchant Payment",IF(ISNUMBER(SEARCH("Sent to",C879)),"Sent to Person",IF(ISNUMBER(SEARCH("Customer Transfer to",C879)),"Sent to Person",IF(ISNUMBER(SEARCH("Business Payment",C879)),"Money In",IF(ISNUMBER(SEARCH("Funds Received",C879)),"Money In",IF(ISNUMBER(SEARCH("Receive International",C879)),"Money In",IF(ISNUMBER(SEARCH("Send Money Reversal",C879)),"Money In",IF(ISNUMBER(SEARCH("Pay Utility Reversal",C879)),"Money In",IF(ISNUMBER(SEARCH("Customer Transfer",C879)),"Money In",IF(ISNUMBER(SEARCH("Ziidi",C879)),"Investment",IF(ISNUMBER(SEARCH("Nabo",C879)),"Investment",IF(ISNUMBER(SEARCH("Paybill Online",C879)),"Pay Bill",IF(ISNUMBER(SEARCH("Pay Bill",C879)),"Pay Bill",IF(ISNUMBER(SEARCH("Spotify",C879)),"Pay Bill",IF(ISNUMBER(SEARCH("M-Shwari",C879)),"Mshwari",IF(ISNUMBER(SEARCH("Mshwari",C879)),"Mshwari",IF(ISNUMBER(SEARCH("Withdrawal charge",C879)),"Fees",IF(ISNUMBER(SEARCH("Customer Withdrawal",C879)),"Fees",IF(ISNUMBER(SEARCH("charge",C879)),"Fees","Other")))))))))))))))))))))))))</f>
        <v>Mshwari</v>
      </c>
      <c r="R879" s="1" t="str">
        <f aca="false">TEXT(B879,"MMM YYYY")</f>
        <v>Apr 2026</v>
      </c>
    </row>
    <row r="880" customFormat="false" ht="13.8" hidden="false" customHeight="false" outlineLevel="0" collapsed="false">
      <c r="A880" s="4" t="s">
        <v>1830</v>
      </c>
      <c r="B880" s="4" t="s">
        <v>1831</v>
      </c>
      <c r="C880" s="4" t="s">
        <v>17</v>
      </c>
      <c r="D880" s="4" t="s">
        <v>18</v>
      </c>
      <c r="E880" s="4"/>
      <c r="F880" s="4" t="n">
        <v>20</v>
      </c>
      <c r="G880" s="4" t="n">
        <v>1.78</v>
      </c>
      <c r="L880" s="1" t="str">
        <f aca="false">IF(ISNUMBER(SEARCH("Bundle",C880)),"Bundles",IF(ISNUMBER(SEARCH("Airtime",C880)),"Bundles",IF(ISNUMBER(SEARCH("Merchant",C880)),"Merchant Payment",IF(ISNUMBER(SEARCH("Offnet C2B",C880)),"Merchant Payment",IF(ISNUMBER(SEARCH("Offnet B2C",C880)),"Merchant Payment",IF(ISNUMBER(SEARCH("Customer Payment to Small",C880)),"Merchant Payment",IF(ISNUMBER(SEARCH("Payment to Small Business",C880)),"Merchant Payment",IF(ISNUMBER(SEARCH("Sent to",C880)),"Sent to Person",IF(ISNUMBER(SEARCH("Customer Transfer to",C880)),"Sent to Person",IF(ISNUMBER(SEARCH("Business Payment",C880)),"Money In",IF(ISNUMBER(SEARCH("Funds Received",C880)),"Money In",IF(ISNUMBER(SEARCH("Receive International",C880)),"Money In",IF(ISNUMBER(SEARCH("Send Money Reversal",C880)),"Money In",IF(ISNUMBER(SEARCH("Pay Utility Reversal",C880)),"Money In",IF(ISNUMBER(SEARCH("Customer Transfer",C880)),"Money In",IF(ISNUMBER(SEARCH("Ziidi",C880)),"Investment",IF(ISNUMBER(SEARCH("Nabo",C880)),"Investment",IF(ISNUMBER(SEARCH("Paybill Online",C880)),"Pay Bill",IF(ISNUMBER(SEARCH("Pay Bill",C880)),"Pay Bill",IF(ISNUMBER(SEARCH("Spotify",C880)),"Pay Bill",IF(ISNUMBER(SEARCH("M-Shwari",C880)),"Mshwari",IF(ISNUMBER(SEARCH("Mshwari",C880)),"Mshwari",IF(ISNUMBER(SEARCH("Withdrawal charge",C880)),"Fees",IF(ISNUMBER(SEARCH("Customer Withdrawal",C880)),"Fees",IF(ISNUMBER(SEARCH("charge",C880)),"Fees","Other")))))))))))))))))))))))))</f>
        <v>Bundles</v>
      </c>
      <c r="R880" s="1" t="str">
        <f aca="false">TEXT(B880,"MMM YYYY")</f>
        <v>Apr 2026</v>
      </c>
    </row>
    <row r="881" customFormat="false" ht="13.8" hidden="false" customHeight="false" outlineLevel="0" collapsed="false">
      <c r="A881" s="4" t="s">
        <v>1832</v>
      </c>
      <c r="B881" s="4" t="s">
        <v>1833</v>
      </c>
      <c r="C881" s="4" t="s">
        <v>177</v>
      </c>
      <c r="D881" s="4" t="s">
        <v>18</v>
      </c>
      <c r="E881" s="4" t="n">
        <v>10000</v>
      </c>
      <c r="F881" s="4"/>
      <c r="G881" s="4" t="n">
        <v>10001.78</v>
      </c>
      <c r="L881" s="1" t="str">
        <f aca="false">IF(ISNUMBER(SEARCH("Bundle",C881)),"Bundles",IF(ISNUMBER(SEARCH("Airtime",C881)),"Bundles",IF(ISNUMBER(SEARCH("Merchant",C881)),"Merchant Payment",IF(ISNUMBER(SEARCH("Offnet C2B",C881)),"Merchant Payment",IF(ISNUMBER(SEARCH("Offnet B2C",C881)),"Merchant Payment",IF(ISNUMBER(SEARCH("Customer Payment to Small",C881)),"Merchant Payment",IF(ISNUMBER(SEARCH("Payment to Small Business",C881)),"Merchant Payment",IF(ISNUMBER(SEARCH("Sent to",C881)),"Sent to Person",IF(ISNUMBER(SEARCH("Customer Transfer to",C881)),"Sent to Person",IF(ISNUMBER(SEARCH("Business Payment",C881)),"Money In",IF(ISNUMBER(SEARCH("Funds Received",C881)),"Money In",IF(ISNUMBER(SEARCH("Receive International",C881)),"Money In",IF(ISNUMBER(SEARCH("Send Money Reversal",C881)),"Money In",IF(ISNUMBER(SEARCH("Pay Utility Reversal",C881)),"Money In",IF(ISNUMBER(SEARCH("Customer Transfer",C881)),"Money In",IF(ISNUMBER(SEARCH("Ziidi",C881)),"Investment",IF(ISNUMBER(SEARCH("Nabo",C881)),"Investment",IF(ISNUMBER(SEARCH("Paybill Online",C881)),"Pay Bill",IF(ISNUMBER(SEARCH("Pay Bill",C881)),"Pay Bill",IF(ISNUMBER(SEARCH("Spotify",C881)),"Pay Bill",IF(ISNUMBER(SEARCH("M-Shwari",C881)),"Mshwari",IF(ISNUMBER(SEARCH("Mshwari",C881)),"Mshwari",IF(ISNUMBER(SEARCH("Withdrawal charge",C881)),"Fees",IF(ISNUMBER(SEARCH("Customer Withdrawal",C881)),"Fees",IF(ISNUMBER(SEARCH("charge",C881)),"Fees","Other")))))))))))))))))))))))))</f>
        <v>Money In</v>
      </c>
      <c r="R881" s="1" t="str">
        <f aca="false">TEXT(B881,"MMM YYYY")</f>
        <v>Apr 2026</v>
      </c>
    </row>
    <row r="882" customFormat="false" ht="13.8" hidden="false" customHeight="false" outlineLevel="0" collapsed="false">
      <c r="A882" s="4" t="s">
        <v>1834</v>
      </c>
      <c r="B882" s="4" t="s">
        <v>1835</v>
      </c>
      <c r="C882" s="4" t="s">
        <v>17</v>
      </c>
      <c r="D882" s="4" t="s">
        <v>18</v>
      </c>
      <c r="E882" s="4"/>
      <c r="F882" s="4" t="n">
        <v>43</v>
      </c>
      <c r="G882" s="4" t="n">
        <v>9958.78</v>
      </c>
      <c r="L882" s="1" t="str">
        <f aca="false">IF(ISNUMBER(SEARCH("Bundle",C882)),"Bundles",IF(ISNUMBER(SEARCH("Airtime",C882)),"Bundles",IF(ISNUMBER(SEARCH("Merchant",C882)),"Merchant Payment",IF(ISNUMBER(SEARCH("Offnet C2B",C882)),"Merchant Payment",IF(ISNUMBER(SEARCH("Offnet B2C",C882)),"Merchant Payment",IF(ISNUMBER(SEARCH("Customer Payment to Small",C882)),"Merchant Payment",IF(ISNUMBER(SEARCH("Payment to Small Business",C882)),"Merchant Payment",IF(ISNUMBER(SEARCH("Sent to",C882)),"Sent to Person",IF(ISNUMBER(SEARCH("Customer Transfer to",C882)),"Sent to Person",IF(ISNUMBER(SEARCH("Business Payment",C882)),"Money In",IF(ISNUMBER(SEARCH("Funds Received",C882)),"Money In",IF(ISNUMBER(SEARCH("Receive International",C882)),"Money In",IF(ISNUMBER(SEARCH("Send Money Reversal",C882)),"Money In",IF(ISNUMBER(SEARCH("Pay Utility Reversal",C882)),"Money In",IF(ISNUMBER(SEARCH("Customer Transfer",C882)),"Money In",IF(ISNUMBER(SEARCH("Ziidi",C882)),"Investment",IF(ISNUMBER(SEARCH("Nabo",C882)),"Investment",IF(ISNUMBER(SEARCH("Paybill Online",C882)),"Pay Bill",IF(ISNUMBER(SEARCH("Pay Bill",C882)),"Pay Bill",IF(ISNUMBER(SEARCH("Spotify",C882)),"Pay Bill",IF(ISNUMBER(SEARCH("M-Shwari",C882)),"Mshwari",IF(ISNUMBER(SEARCH("Mshwari",C882)),"Mshwari",IF(ISNUMBER(SEARCH("Withdrawal charge",C882)),"Fees",IF(ISNUMBER(SEARCH("Customer Withdrawal",C882)),"Fees",IF(ISNUMBER(SEARCH("charge",C882)),"Fees","Other")))))))))))))))))))))))))</f>
        <v>Bundles</v>
      </c>
      <c r="R882" s="1" t="str">
        <f aca="false">TEXT(B882,"MMM YYYY")</f>
        <v>Apr 2026</v>
      </c>
    </row>
    <row r="883" customFormat="false" ht="13.8" hidden="false" customHeight="false" outlineLevel="0" collapsed="false">
      <c r="A883" s="4" t="s">
        <v>1836</v>
      </c>
      <c r="B883" s="4" t="s">
        <v>1837</v>
      </c>
      <c r="C883" s="4" t="s">
        <v>621</v>
      </c>
      <c r="D883" s="4" t="s">
        <v>18</v>
      </c>
      <c r="E883" s="4"/>
      <c r="F883" s="4" t="n">
        <v>9000</v>
      </c>
      <c r="G883" s="4" t="n">
        <v>958.78</v>
      </c>
      <c r="L883" s="1" t="str">
        <f aca="false">IF(ISNUMBER(SEARCH("Bundle",C883)),"Bundles",IF(ISNUMBER(SEARCH("Airtime",C883)),"Bundles",IF(ISNUMBER(SEARCH("Merchant",C883)),"Merchant Payment",IF(ISNUMBER(SEARCH("Offnet C2B",C883)),"Merchant Payment",IF(ISNUMBER(SEARCH("Offnet B2C",C883)),"Merchant Payment",IF(ISNUMBER(SEARCH("Customer Payment to Small",C883)),"Merchant Payment",IF(ISNUMBER(SEARCH("Payment to Small Business",C883)),"Merchant Payment",IF(ISNUMBER(SEARCH("Sent to",C883)),"Sent to Person",IF(ISNUMBER(SEARCH("Customer Transfer to",C883)),"Sent to Person",IF(ISNUMBER(SEARCH("Business Payment",C883)),"Money In",IF(ISNUMBER(SEARCH("Funds Received",C883)),"Money In",IF(ISNUMBER(SEARCH("Receive International",C883)),"Money In",IF(ISNUMBER(SEARCH("Send Money Reversal",C883)),"Money In",IF(ISNUMBER(SEARCH("Pay Utility Reversal",C883)),"Money In",IF(ISNUMBER(SEARCH("Customer Transfer",C883)),"Money In",IF(ISNUMBER(SEARCH("Ziidi",C883)),"Investment",IF(ISNUMBER(SEARCH("Nabo",C883)),"Investment",IF(ISNUMBER(SEARCH("Paybill Online",C883)),"Pay Bill",IF(ISNUMBER(SEARCH("Pay Bill",C883)),"Pay Bill",IF(ISNUMBER(SEARCH("Spotify",C883)),"Pay Bill",IF(ISNUMBER(SEARCH("M-Shwari",C883)),"Mshwari",IF(ISNUMBER(SEARCH("Mshwari",C883)),"Mshwari",IF(ISNUMBER(SEARCH("Withdrawal charge",C883)),"Fees",IF(ISNUMBER(SEARCH("Customer Withdrawal",C883)),"Fees",IF(ISNUMBER(SEARCH("charge",C883)),"Fees","Other")))))))))))))))))))))))))</f>
        <v>Mshwari</v>
      </c>
      <c r="R883" s="1" t="str">
        <f aca="false">TEXT(B883,"MMM YYYY")</f>
        <v>Apr 2026</v>
      </c>
    </row>
    <row r="884" customFormat="false" ht="13.8" hidden="false" customHeight="false" outlineLevel="0" collapsed="false">
      <c r="A884" s="4" t="s">
        <v>1838</v>
      </c>
      <c r="B884" s="4" t="s">
        <v>1839</v>
      </c>
      <c r="C884" s="4" t="s">
        <v>1840</v>
      </c>
      <c r="D884" s="4" t="s">
        <v>18</v>
      </c>
      <c r="E884" s="4"/>
      <c r="F884" s="4" t="n">
        <v>100</v>
      </c>
      <c r="G884" s="4" t="n">
        <v>858.78</v>
      </c>
      <c r="L884" s="1" t="str">
        <f aca="false">IF(ISNUMBER(SEARCH("Bundle",C884)),"Bundles",IF(ISNUMBER(SEARCH("Airtime",C884)),"Bundles",IF(ISNUMBER(SEARCH("Merchant",C884)),"Merchant Payment",IF(ISNUMBER(SEARCH("Offnet C2B",C884)),"Merchant Payment",IF(ISNUMBER(SEARCH("Offnet B2C",C884)),"Merchant Payment",IF(ISNUMBER(SEARCH("Customer Payment to Small",C884)),"Merchant Payment",IF(ISNUMBER(SEARCH("Payment to Small Business",C884)),"Merchant Payment",IF(ISNUMBER(SEARCH("Sent to",C884)),"Sent to Person",IF(ISNUMBER(SEARCH("Customer Transfer to",C884)),"Sent to Person",IF(ISNUMBER(SEARCH("Business Payment",C884)),"Money In",IF(ISNUMBER(SEARCH("Funds Received",C884)),"Money In",IF(ISNUMBER(SEARCH("Receive International",C884)),"Money In",IF(ISNUMBER(SEARCH("Send Money Reversal",C884)),"Money In",IF(ISNUMBER(SEARCH("Pay Utility Reversal",C884)),"Money In",IF(ISNUMBER(SEARCH("Customer Transfer",C884)),"Money In",IF(ISNUMBER(SEARCH("Ziidi",C884)),"Investment",IF(ISNUMBER(SEARCH("Nabo",C884)),"Investment",IF(ISNUMBER(SEARCH("Paybill Online",C884)),"Pay Bill",IF(ISNUMBER(SEARCH("Pay Bill",C884)),"Pay Bill",IF(ISNUMBER(SEARCH("Spotify",C884)),"Pay Bill",IF(ISNUMBER(SEARCH("M-Shwari",C884)),"Mshwari",IF(ISNUMBER(SEARCH("Mshwari",C884)),"Mshwari",IF(ISNUMBER(SEARCH("Withdrawal charge",C884)),"Fees",IF(ISNUMBER(SEARCH("Customer Withdrawal",C884)),"Fees",IF(ISNUMBER(SEARCH("charge",C884)),"Fees","Other")))))))))))))))))))))))))</f>
        <v>Merchant Payment</v>
      </c>
      <c r="R884" s="1" t="str">
        <f aca="false">TEXT(B884,"MMM YYYY")</f>
        <v>Apr 2026</v>
      </c>
    </row>
    <row r="885" customFormat="false" ht="13.8" hidden="false" customHeight="false" outlineLevel="0" collapsed="false">
      <c r="A885" s="4" t="s">
        <v>1841</v>
      </c>
      <c r="B885" s="4" t="s">
        <v>1842</v>
      </c>
      <c r="C885" s="4" t="s">
        <v>239</v>
      </c>
      <c r="D885" s="4" t="s">
        <v>18</v>
      </c>
      <c r="E885" s="4"/>
      <c r="F885" s="4" t="n">
        <v>7</v>
      </c>
      <c r="G885" s="4" t="n">
        <v>731.78</v>
      </c>
      <c r="L885" s="1" t="str">
        <f aca="false">IF(ISNUMBER(SEARCH("Bundle",C885)),"Bundles",IF(ISNUMBER(SEARCH("Airtime",C885)),"Bundles",IF(ISNUMBER(SEARCH("Merchant",C885)),"Merchant Payment",IF(ISNUMBER(SEARCH("Offnet C2B",C885)),"Merchant Payment",IF(ISNUMBER(SEARCH("Offnet B2C",C885)),"Merchant Payment",IF(ISNUMBER(SEARCH("Customer Payment to Small",C885)),"Merchant Payment",IF(ISNUMBER(SEARCH("Payment to Small Business",C885)),"Merchant Payment",IF(ISNUMBER(SEARCH("Sent to",C885)),"Sent to Person",IF(ISNUMBER(SEARCH("Customer Transfer to",C885)),"Sent to Person",IF(ISNUMBER(SEARCH("Business Payment",C885)),"Money In",IF(ISNUMBER(SEARCH("Funds Received",C885)),"Money In",IF(ISNUMBER(SEARCH("Receive International",C885)),"Money In",IF(ISNUMBER(SEARCH("Send Money Reversal",C885)),"Money In",IF(ISNUMBER(SEARCH("Pay Utility Reversal",C885)),"Money In",IF(ISNUMBER(SEARCH("Customer Transfer",C885)),"Money In",IF(ISNUMBER(SEARCH("Ziidi",C885)),"Investment",IF(ISNUMBER(SEARCH("Nabo",C885)),"Investment",IF(ISNUMBER(SEARCH("Paybill Online",C885)),"Pay Bill",IF(ISNUMBER(SEARCH("Pay Bill",C885)),"Pay Bill",IF(ISNUMBER(SEARCH("Spotify",C885)),"Pay Bill",IF(ISNUMBER(SEARCH("M-Shwari",C885)),"Mshwari",IF(ISNUMBER(SEARCH("Mshwari",C885)),"Mshwari",IF(ISNUMBER(SEARCH("Withdrawal charge",C885)),"Fees",IF(ISNUMBER(SEARCH("Customer Withdrawal",C885)),"Fees",IF(ISNUMBER(SEARCH("charge",C885)),"Fees","Other")))))))))))))))))))))))))</f>
        <v>Money In</v>
      </c>
      <c r="R885" s="1" t="str">
        <f aca="false">TEXT(B885,"MMM YYYY")</f>
        <v>Apr 2026</v>
      </c>
    </row>
    <row r="886" customFormat="false" ht="13.8" hidden="false" customHeight="false" outlineLevel="0" collapsed="false">
      <c r="A886" s="4" t="s">
        <v>1841</v>
      </c>
      <c r="B886" s="4" t="s">
        <v>1842</v>
      </c>
      <c r="C886" s="4" t="s">
        <v>787</v>
      </c>
      <c r="D886" s="4" t="s">
        <v>18</v>
      </c>
      <c r="E886" s="4"/>
      <c r="F886" s="4" t="n">
        <v>120</v>
      </c>
      <c r="G886" s="4" t="n">
        <v>738.78</v>
      </c>
      <c r="L886" s="1" t="str">
        <f aca="false">IF(ISNUMBER(SEARCH("Bundle",C886)),"Bundles",IF(ISNUMBER(SEARCH("Airtime",C886)),"Bundles",IF(ISNUMBER(SEARCH("Merchant",C886)),"Merchant Payment",IF(ISNUMBER(SEARCH("Offnet C2B",C886)),"Merchant Payment",IF(ISNUMBER(SEARCH("Offnet B2C",C886)),"Merchant Payment",IF(ISNUMBER(SEARCH("Customer Payment to Small",C886)),"Merchant Payment",IF(ISNUMBER(SEARCH("Payment to Small Business",C886)),"Merchant Payment",IF(ISNUMBER(SEARCH("Sent to",C886)),"Sent to Person",IF(ISNUMBER(SEARCH("Customer Transfer to",C886)),"Sent to Person",IF(ISNUMBER(SEARCH("Business Payment",C886)),"Money In",IF(ISNUMBER(SEARCH("Funds Received",C886)),"Money In",IF(ISNUMBER(SEARCH("Receive International",C886)),"Money In",IF(ISNUMBER(SEARCH("Send Money Reversal",C886)),"Money In",IF(ISNUMBER(SEARCH("Pay Utility Reversal",C886)),"Money In",IF(ISNUMBER(SEARCH("Customer Transfer",C886)),"Money In",IF(ISNUMBER(SEARCH("Ziidi",C886)),"Investment",IF(ISNUMBER(SEARCH("Nabo",C886)),"Investment",IF(ISNUMBER(SEARCH("Paybill Online",C886)),"Pay Bill",IF(ISNUMBER(SEARCH("Pay Bill",C886)),"Pay Bill",IF(ISNUMBER(SEARCH("Spotify",C886)),"Pay Bill",IF(ISNUMBER(SEARCH("M-Shwari",C886)),"Mshwari",IF(ISNUMBER(SEARCH("Mshwari",C886)),"Mshwari",IF(ISNUMBER(SEARCH("Withdrawal charge",C886)),"Fees",IF(ISNUMBER(SEARCH("Customer Withdrawal",C886)),"Fees",IF(ISNUMBER(SEARCH("charge",C886)),"Fees","Other")))))))))))))))))))))))))</f>
        <v>Merchant Payment</v>
      </c>
      <c r="R886" s="1" t="str">
        <f aca="false">TEXT(B886,"MMM YYYY")</f>
        <v>Apr 2026</v>
      </c>
    </row>
    <row r="887" customFormat="false" ht="13.8" hidden="false" customHeight="false" outlineLevel="0" collapsed="false">
      <c r="A887" s="4" t="s">
        <v>1843</v>
      </c>
      <c r="B887" s="4" t="s">
        <v>1844</v>
      </c>
      <c r="C887" s="4" t="s">
        <v>17</v>
      </c>
      <c r="D887" s="4" t="s">
        <v>18</v>
      </c>
      <c r="E887" s="4"/>
      <c r="F887" s="4" t="n">
        <v>20</v>
      </c>
      <c r="G887" s="4" t="n">
        <v>711.78</v>
      </c>
      <c r="L887" s="1" t="str">
        <f aca="false">IF(ISNUMBER(SEARCH("Bundle",C887)),"Bundles",IF(ISNUMBER(SEARCH("Airtime",C887)),"Bundles",IF(ISNUMBER(SEARCH("Merchant",C887)),"Merchant Payment",IF(ISNUMBER(SEARCH("Offnet C2B",C887)),"Merchant Payment",IF(ISNUMBER(SEARCH("Offnet B2C",C887)),"Merchant Payment",IF(ISNUMBER(SEARCH("Customer Payment to Small",C887)),"Merchant Payment",IF(ISNUMBER(SEARCH("Payment to Small Business",C887)),"Merchant Payment",IF(ISNUMBER(SEARCH("Sent to",C887)),"Sent to Person",IF(ISNUMBER(SEARCH("Customer Transfer to",C887)),"Sent to Person",IF(ISNUMBER(SEARCH("Business Payment",C887)),"Money In",IF(ISNUMBER(SEARCH("Funds Received",C887)),"Money In",IF(ISNUMBER(SEARCH("Receive International",C887)),"Money In",IF(ISNUMBER(SEARCH("Send Money Reversal",C887)),"Money In",IF(ISNUMBER(SEARCH("Pay Utility Reversal",C887)),"Money In",IF(ISNUMBER(SEARCH("Customer Transfer",C887)),"Money In",IF(ISNUMBER(SEARCH("Ziidi",C887)),"Investment",IF(ISNUMBER(SEARCH("Nabo",C887)),"Investment",IF(ISNUMBER(SEARCH("Paybill Online",C887)),"Pay Bill",IF(ISNUMBER(SEARCH("Pay Bill",C887)),"Pay Bill",IF(ISNUMBER(SEARCH("Spotify",C887)),"Pay Bill",IF(ISNUMBER(SEARCH("M-Shwari",C887)),"Mshwari",IF(ISNUMBER(SEARCH("Mshwari",C887)),"Mshwari",IF(ISNUMBER(SEARCH("Withdrawal charge",C887)),"Fees",IF(ISNUMBER(SEARCH("Customer Withdrawal",C887)),"Fees",IF(ISNUMBER(SEARCH("charge",C887)),"Fees","Other")))))))))))))))))))))))))</f>
        <v>Bundles</v>
      </c>
      <c r="R887" s="1" t="str">
        <f aca="false">TEXT(B887,"MMM YYYY")</f>
        <v>Apr 2026</v>
      </c>
    </row>
    <row r="888" customFormat="false" ht="13.8" hidden="false" customHeight="false" outlineLevel="0" collapsed="false">
      <c r="A888" s="4" t="s">
        <v>1845</v>
      </c>
      <c r="B888" s="4" t="s">
        <v>1846</v>
      </c>
      <c r="C888" s="4" t="s">
        <v>29</v>
      </c>
      <c r="D888" s="4" t="s">
        <v>18</v>
      </c>
      <c r="E888" s="4"/>
      <c r="F888" s="4" t="n">
        <v>5</v>
      </c>
      <c r="G888" s="4" t="n">
        <v>706.78</v>
      </c>
      <c r="L888" s="1" t="str">
        <f aca="false">IF(ISNUMBER(SEARCH("Bundle",C888)),"Bundles",IF(ISNUMBER(SEARCH("Airtime",C888)),"Bundles",IF(ISNUMBER(SEARCH("Merchant",C888)),"Merchant Payment",IF(ISNUMBER(SEARCH("Offnet C2B",C888)),"Merchant Payment",IF(ISNUMBER(SEARCH("Offnet B2C",C888)),"Merchant Payment",IF(ISNUMBER(SEARCH("Customer Payment to Small",C888)),"Merchant Payment",IF(ISNUMBER(SEARCH("Payment to Small Business",C888)),"Merchant Payment",IF(ISNUMBER(SEARCH("Sent to",C888)),"Sent to Person",IF(ISNUMBER(SEARCH("Customer Transfer to",C888)),"Sent to Person",IF(ISNUMBER(SEARCH("Business Payment",C888)),"Money In",IF(ISNUMBER(SEARCH("Funds Received",C888)),"Money In",IF(ISNUMBER(SEARCH("Receive International",C888)),"Money In",IF(ISNUMBER(SEARCH("Send Money Reversal",C888)),"Money In",IF(ISNUMBER(SEARCH("Pay Utility Reversal",C888)),"Money In",IF(ISNUMBER(SEARCH("Customer Transfer",C888)),"Money In",IF(ISNUMBER(SEARCH("Ziidi",C888)),"Investment",IF(ISNUMBER(SEARCH("Nabo",C888)),"Investment",IF(ISNUMBER(SEARCH("Paybill Online",C888)),"Pay Bill",IF(ISNUMBER(SEARCH("Pay Bill",C888)),"Pay Bill",IF(ISNUMBER(SEARCH("Spotify",C888)),"Pay Bill",IF(ISNUMBER(SEARCH("M-Shwari",C888)),"Mshwari",IF(ISNUMBER(SEARCH("Mshwari",C888)),"Mshwari",IF(ISNUMBER(SEARCH("Withdrawal charge",C888)),"Fees",IF(ISNUMBER(SEARCH("Customer Withdrawal",C888)),"Fees",IF(ISNUMBER(SEARCH("charge",C888)),"Fees","Other")))))))))))))))))))))))))</f>
        <v>Bundles</v>
      </c>
      <c r="R888" s="1" t="str">
        <f aca="false">TEXT(B888,"MMM YYYY")</f>
        <v>Apr 2026</v>
      </c>
    </row>
    <row r="889" customFormat="false" ht="13.8" hidden="false" customHeight="false" outlineLevel="0" collapsed="false">
      <c r="A889" s="4" t="s">
        <v>1847</v>
      </c>
      <c r="B889" s="4" t="s">
        <v>1848</v>
      </c>
      <c r="C889" s="4" t="s">
        <v>17</v>
      </c>
      <c r="D889" s="4" t="s">
        <v>18</v>
      </c>
      <c r="E889" s="4"/>
      <c r="F889" s="4" t="n">
        <v>20</v>
      </c>
      <c r="G889" s="4" t="n">
        <v>686.78</v>
      </c>
      <c r="L889" s="1" t="str">
        <f aca="false">IF(ISNUMBER(SEARCH("Bundle",C889)),"Bundles",IF(ISNUMBER(SEARCH("Airtime",C889)),"Bundles",IF(ISNUMBER(SEARCH("Merchant",C889)),"Merchant Payment",IF(ISNUMBER(SEARCH("Offnet C2B",C889)),"Merchant Payment",IF(ISNUMBER(SEARCH("Offnet B2C",C889)),"Merchant Payment",IF(ISNUMBER(SEARCH("Customer Payment to Small",C889)),"Merchant Payment",IF(ISNUMBER(SEARCH("Payment to Small Business",C889)),"Merchant Payment",IF(ISNUMBER(SEARCH("Sent to",C889)),"Sent to Person",IF(ISNUMBER(SEARCH("Customer Transfer to",C889)),"Sent to Person",IF(ISNUMBER(SEARCH("Business Payment",C889)),"Money In",IF(ISNUMBER(SEARCH("Funds Received",C889)),"Money In",IF(ISNUMBER(SEARCH("Receive International",C889)),"Money In",IF(ISNUMBER(SEARCH("Send Money Reversal",C889)),"Money In",IF(ISNUMBER(SEARCH("Pay Utility Reversal",C889)),"Money In",IF(ISNUMBER(SEARCH("Customer Transfer",C889)),"Money In",IF(ISNUMBER(SEARCH("Ziidi",C889)),"Investment",IF(ISNUMBER(SEARCH("Nabo",C889)),"Investment",IF(ISNUMBER(SEARCH("Paybill Online",C889)),"Pay Bill",IF(ISNUMBER(SEARCH("Pay Bill",C889)),"Pay Bill",IF(ISNUMBER(SEARCH("Spotify",C889)),"Pay Bill",IF(ISNUMBER(SEARCH("M-Shwari",C889)),"Mshwari",IF(ISNUMBER(SEARCH("Mshwari",C889)),"Mshwari",IF(ISNUMBER(SEARCH("Withdrawal charge",C889)),"Fees",IF(ISNUMBER(SEARCH("Customer Withdrawal",C889)),"Fees",IF(ISNUMBER(SEARCH("charge",C889)),"Fees","Other")))))))))))))))))))))))))</f>
        <v>Bundles</v>
      </c>
      <c r="R889" s="1" t="str">
        <f aca="false">TEXT(B889,"MMM YYYY")</f>
        <v>Apr 2026</v>
      </c>
    </row>
    <row r="890" customFormat="false" ht="13.8" hidden="false" customHeight="false" outlineLevel="0" collapsed="false">
      <c r="A890" s="4" t="s">
        <v>1849</v>
      </c>
      <c r="B890" s="4" t="s">
        <v>1850</v>
      </c>
      <c r="C890" s="4" t="s">
        <v>1073</v>
      </c>
      <c r="D890" s="4" t="s">
        <v>18</v>
      </c>
      <c r="E890" s="4"/>
      <c r="F890" s="4" t="n">
        <v>30</v>
      </c>
      <c r="G890" s="4" t="n">
        <v>656.78</v>
      </c>
      <c r="L890" s="1" t="str">
        <f aca="false">IF(ISNUMBER(SEARCH("Bundle",C890)),"Bundles",IF(ISNUMBER(SEARCH("Airtime",C890)),"Bundles",IF(ISNUMBER(SEARCH("Merchant",C890)),"Merchant Payment",IF(ISNUMBER(SEARCH("Offnet C2B",C890)),"Merchant Payment",IF(ISNUMBER(SEARCH("Offnet B2C",C890)),"Merchant Payment",IF(ISNUMBER(SEARCH("Customer Payment to Small",C890)),"Merchant Payment",IF(ISNUMBER(SEARCH("Payment to Small Business",C890)),"Merchant Payment",IF(ISNUMBER(SEARCH("Sent to",C890)),"Sent to Person",IF(ISNUMBER(SEARCH("Customer Transfer to",C890)),"Sent to Person",IF(ISNUMBER(SEARCH("Business Payment",C890)),"Money In",IF(ISNUMBER(SEARCH("Funds Received",C890)),"Money In",IF(ISNUMBER(SEARCH("Receive International",C890)),"Money In",IF(ISNUMBER(SEARCH("Send Money Reversal",C890)),"Money In",IF(ISNUMBER(SEARCH("Pay Utility Reversal",C890)),"Money In",IF(ISNUMBER(SEARCH("Customer Transfer",C890)),"Money In",IF(ISNUMBER(SEARCH("Ziidi",C890)),"Investment",IF(ISNUMBER(SEARCH("Nabo",C890)),"Investment",IF(ISNUMBER(SEARCH("Paybill Online",C890)),"Pay Bill",IF(ISNUMBER(SEARCH("Pay Bill",C890)),"Pay Bill",IF(ISNUMBER(SEARCH("Spotify",C890)),"Pay Bill",IF(ISNUMBER(SEARCH("M-Shwari",C890)),"Mshwari",IF(ISNUMBER(SEARCH("Mshwari",C890)),"Mshwari",IF(ISNUMBER(SEARCH("Withdrawal charge",C890)),"Fees",IF(ISNUMBER(SEARCH("Customer Withdrawal",C890)),"Fees",IF(ISNUMBER(SEARCH("charge",C890)),"Fees","Other")))))))))))))))))))))))))</f>
        <v>Merchant Payment</v>
      </c>
      <c r="R890" s="1" t="str">
        <f aca="false">TEXT(B890,"MMM YYYY")</f>
        <v>Apr 2026</v>
      </c>
    </row>
    <row r="891" customFormat="false" ht="13.8" hidden="false" customHeight="false" outlineLevel="0" collapsed="false">
      <c r="A891" s="4" t="s">
        <v>1851</v>
      </c>
      <c r="B891" s="4" t="s">
        <v>1852</v>
      </c>
      <c r="C891" s="4" t="s">
        <v>29</v>
      </c>
      <c r="D891" s="4" t="s">
        <v>18</v>
      </c>
      <c r="E891" s="4"/>
      <c r="F891" s="4" t="n">
        <v>10</v>
      </c>
      <c r="G891" s="4" t="n">
        <v>646.78</v>
      </c>
      <c r="L891" s="1" t="str">
        <f aca="false">IF(ISNUMBER(SEARCH("Bundle",C891)),"Bundles",IF(ISNUMBER(SEARCH("Airtime",C891)),"Bundles",IF(ISNUMBER(SEARCH("Merchant",C891)),"Merchant Payment",IF(ISNUMBER(SEARCH("Offnet C2B",C891)),"Merchant Payment",IF(ISNUMBER(SEARCH("Offnet B2C",C891)),"Merchant Payment",IF(ISNUMBER(SEARCH("Customer Payment to Small",C891)),"Merchant Payment",IF(ISNUMBER(SEARCH("Payment to Small Business",C891)),"Merchant Payment",IF(ISNUMBER(SEARCH("Sent to",C891)),"Sent to Person",IF(ISNUMBER(SEARCH("Customer Transfer to",C891)),"Sent to Person",IF(ISNUMBER(SEARCH("Business Payment",C891)),"Money In",IF(ISNUMBER(SEARCH("Funds Received",C891)),"Money In",IF(ISNUMBER(SEARCH("Receive International",C891)),"Money In",IF(ISNUMBER(SEARCH("Send Money Reversal",C891)),"Money In",IF(ISNUMBER(SEARCH("Pay Utility Reversal",C891)),"Money In",IF(ISNUMBER(SEARCH("Customer Transfer",C891)),"Money In",IF(ISNUMBER(SEARCH("Ziidi",C891)),"Investment",IF(ISNUMBER(SEARCH("Nabo",C891)),"Investment",IF(ISNUMBER(SEARCH("Paybill Online",C891)),"Pay Bill",IF(ISNUMBER(SEARCH("Pay Bill",C891)),"Pay Bill",IF(ISNUMBER(SEARCH("Spotify",C891)),"Pay Bill",IF(ISNUMBER(SEARCH("M-Shwari",C891)),"Mshwari",IF(ISNUMBER(SEARCH("Mshwari",C891)),"Mshwari",IF(ISNUMBER(SEARCH("Withdrawal charge",C891)),"Fees",IF(ISNUMBER(SEARCH("Customer Withdrawal",C891)),"Fees",IF(ISNUMBER(SEARCH("charge",C891)),"Fees","Other")))))))))))))))))))))))))</f>
        <v>Bundles</v>
      </c>
      <c r="R891" s="1" t="str">
        <f aca="false">TEXT(B891,"MMM YYYY")</f>
        <v>Apr 2026</v>
      </c>
    </row>
    <row r="892" customFormat="false" ht="13.8" hidden="false" customHeight="false" outlineLevel="0" collapsed="false">
      <c r="A892" s="4" t="s">
        <v>1853</v>
      </c>
      <c r="B892" s="4" t="s">
        <v>1854</v>
      </c>
      <c r="C892" s="4" t="s">
        <v>49</v>
      </c>
      <c r="D892" s="4" t="s">
        <v>18</v>
      </c>
      <c r="E892" s="4"/>
      <c r="F892" s="4" t="n">
        <v>100</v>
      </c>
      <c r="G892" s="4" t="n">
        <v>546.78</v>
      </c>
      <c r="L892" s="1" t="str">
        <f aca="false">IF(ISNUMBER(SEARCH("Bundle",C892)),"Bundles",IF(ISNUMBER(SEARCH("Airtime",C892)),"Bundles",IF(ISNUMBER(SEARCH("Merchant",C892)),"Merchant Payment",IF(ISNUMBER(SEARCH("Offnet C2B",C892)),"Merchant Payment",IF(ISNUMBER(SEARCH("Offnet B2C",C892)),"Merchant Payment",IF(ISNUMBER(SEARCH("Customer Payment to Small",C892)),"Merchant Payment",IF(ISNUMBER(SEARCH("Payment to Small Business",C892)),"Merchant Payment",IF(ISNUMBER(SEARCH("Sent to",C892)),"Sent to Person",IF(ISNUMBER(SEARCH("Customer Transfer to",C892)),"Sent to Person",IF(ISNUMBER(SEARCH("Business Payment",C892)),"Money In",IF(ISNUMBER(SEARCH("Funds Received",C892)),"Money In",IF(ISNUMBER(SEARCH("Receive International",C892)),"Money In",IF(ISNUMBER(SEARCH("Send Money Reversal",C892)),"Money In",IF(ISNUMBER(SEARCH("Pay Utility Reversal",C892)),"Money In",IF(ISNUMBER(SEARCH("Customer Transfer",C892)),"Money In",IF(ISNUMBER(SEARCH("Ziidi",C892)),"Investment",IF(ISNUMBER(SEARCH("Nabo",C892)),"Investment",IF(ISNUMBER(SEARCH("Paybill Online",C892)),"Pay Bill",IF(ISNUMBER(SEARCH("Pay Bill",C892)),"Pay Bill",IF(ISNUMBER(SEARCH("Spotify",C892)),"Pay Bill",IF(ISNUMBER(SEARCH("M-Shwari",C892)),"Mshwari",IF(ISNUMBER(SEARCH("Mshwari",C892)),"Mshwari",IF(ISNUMBER(SEARCH("Withdrawal charge",C892)),"Fees",IF(ISNUMBER(SEARCH("Customer Withdrawal",C892)),"Fees",IF(ISNUMBER(SEARCH("charge",C892)),"Fees","Other")))))))))))))))))))))))))</f>
        <v>Merchant Payment</v>
      </c>
      <c r="R892" s="1" t="str">
        <f aca="false">TEXT(B892,"MMM YYYY")</f>
        <v>Apr 2026</v>
      </c>
    </row>
    <row r="893" customFormat="false" ht="13.8" hidden="false" customHeight="false" outlineLevel="0" collapsed="false">
      <c r="A893" s="4" t="s">
        <v>1855</v>
      </c>
      <c r="B893" s="4" t="s">
        <v>1856</v>
      </c>
      <c r="C893" s="4" t="s">
        <v>818</v>
      </c>
      <c r="D893" s="4" t="s">
        <v>18</v>
      </c>
      <c r="E893" s="4"/>
      <c r="F893" s="4" t="n">
        <v>50</v>
      </c>
      <c r="G893" s="4" t="n">
        <v>496.78</v>
      </c>
      <c r="L893" s="1" t="str">
        <f aca="false">IF(ISNUMBER(SEARCH("Bundle",C893)),"Bundles",IF(ISNUMBER(SEARCH("Airtime",C893)),"Bundles",IF(ISNUMBER(SEARCH("Merchant",C893)),"Merchant Payment",IF(ISNUMBER(SEARCH("Offnet C2B",C893)),"Merchant Payment",IF(ISNUMBER(SEARCH("Offnet B2C",C893)),"Merchant Payment",IF(ISNUMBER(SEARCH("Customer Payment to Small",C893)),"Merchant Payment",IF(ISNUMBER(SEARCH("Payment to Small Business",C893)),"Merchant Payment",IF(ISNUMBER(SEARCH("Sent to",C893)),"Sent to Person",IF(ISNUMBER(SEARCH("Customer Transfer to",C893)),"Sent to Person",IF(ISNUMBER(SEARCH("Business Payment",C893)),"Money In",IF(ISNUMBER(SEARCH("Funds Received",C893)),"Money In",IF(ISNUMBER(SEARCH("Receive International",C893)),"Money In",IF(ISNUMBER(SEARCH("Send Money Reversal",C893)),"Money In",IF(ISNUMBER(SEARCH("Pay Utility Reversal",C893)),"Money In",IF(ISNUMBER(SEARCH("Customer Transfer",C893)),"Money In",IF(ISNUMBER(SEARCH("Ziidi",C893)),"Investment",IF(ISNUMBER(SEARCH("Nabo",C893)),"Investment",IF(ISNUMBER(SEARCH("Paybill Online",C893)),"Pay Bill",IF(ISNUMBER(SEARCH("Pay Bill",C893)),"Pay Bill",IF(ISNUMBER(SEARCH("Spotify",C893)),"Pay Bill",IF(ISNUMBER(SEARCH("M-Shwari",C893)),"Mshwari",IF(ISNUMBER(SEARCH("Mshwari",C893)),"Mshwari",IF(ISNUMBER(SEARCH("Withdrawal charge",C893)),"Fees",IF(ISNUMBER(SEARCH("Customer Withdrawal",C893)),"Fees",IF(ISNUMBER(SEARCH("charge",C893)),"Fees","Other")))))))))))))))))))))))))</f>
        <v>Merchant Payment</v>
      </c>
      <c r="R893" s="1" t="str">
        <f aca="false">TEXT(B893,"MMM YYYY")</f>
        <v>Apr 2026</v>
      </c>
    </row>
    <row r="894" customFormat="false" ht="13.8" hidden="false" customHeight="false" outlineLevel="0" collapsed="false">
      <c r="A894" s="4" t="s">
        <v>1857</v>
      </c>
      <c r="B894" s="4" t="s">
        <v>1858</v>
      </c>
      <c r="C894" s="4" t="s">
        <v>29</v>
      </c>
      <c r="D894" s="4" t="s">
        <v>18</v>
      </c>
      <c r="E894" s="4"/>
      <c r="F894" s="4" t="n">
        <v>10</v>
      </c>
      <c r="G894" s="4" t="n">
        <v>486.78</v>
      </c>
      <c r="L894" s="1" t="str">
        <f aca="false">IF(ISNUMBER(SEARCH("Bundle",C894)),"Bundles",IF(ISNUMBER(SEARCH("Airtime",C894)),"Bundles",IF(ISNUMBER(SEARCH("Merchant",C894)),"Merchant Payment",IF(ISNUMBER(SEARCH("Offnet C2B",C894)),"Merchant Payment",IF(ISNUMBER(SEARCH("Offnet B2C",C894)),"Merchant Payment",IF(ISNUMBER(SEARCH("Customer Payment to Small",C894)),"Merchant Payment",IF(ISNUMBER(SEARCH("Payment to Small Business",C894)),"Merchant Payment",IF(ISNUMBER(SEARCH("Sent to",C894)),"Sent to Person",IF(ISNUMBER(SEARCH("Customer Transfer to",C894)),"Sent to Person",IF(ISNUMBER(SEARCH("Business Payment",C894)),"Money In",IF(ISNUMBER(SEARCH("Funds Received",C894)),"Money In",IF(ISNUMBER(SEARCH("Receive International",C894)),"Money In",IF(ISNUMBER(SEARCH("Send Money Reversal",C894)),"Money In",IF(ISNUMBER(SEARCH("Pay Utility Reversal",C894)),"Money In",IF(ISNUMBER(SEARCH("Customer Transfer",C894)),"Money In",IF(ISNUMBER(SEARCH("Ziidi",C894)),"Investment",IF(ISNUMBER(SEARCH("Nabo",C894)),"Investment",IF(ISNUMBER(SEARCH("Paybill Online",C894)),"Pay Bill",IF(ISNUMBER(SEARCH("Pay Bill",C894)),"Pay Bill",IF(ISNUMBER(SEARCH("Spotify",C894)),"Pay Bill",IF(ISNUMBER(SEARCH("M-Shwari",C894)),"Mshwari",IF(ISNUMBER(SEARCH("Mshwari",C894)),"Mshwari",IF(ISNUMBER(SEARCH("Withdrawal charge",C894)),"Fees",IF(ISNUMBER(SEARCH("Customer Withdrawal",C894)),"Fees",IF(ISNUMBER(SEARCH("charge",C894)),"Fees","Other")))))))))))))))))))))))))</f>
        <v>Bundles</v>
      </c>
      <c r="R894" s="1" t="str">
        <f aca="false">TEXT(B894,"MMM YYYY")</f>
        <v>Apr 2026</v>
      </c>
    </row>
    <row r="895" customFormat="false" ht="13.8" hidden="false" customHeight="false" outlineLevel="0" collapsed="false">
      <c r="A895" s="4" t="s">
        <v>1859</v>
      </c>
      <c r="B895" s="4" t="s">
        <v>1860</v>
      </c>
      <c r="C895" s="4" t="s">
        <v>192</v>
      </c>
      <c r="D895" s="4" t="s">
        <v>18</v>
      </c>
      <c r="E895" s="4" t="n">
        <v>1850</v>
      </c>
      <c r="F895" s="4"/>
      <c r="G895" s="4" t="n">
        <v>2336.78</v>
      </c>
      <c r="L895" s="1" t="str">
        <f aca="false">IF(ISNUMBER(SEARCH("Bundle",C895)),"Bundles",IF(ISNUMBER(SEARCH("Airtime",C895)),"Bundles",IF(ISNUMBER(SEARCH("Merchant",C895)),"Merchant Payment",IF(ISNUMBER(SEARCH("Offnet C2B",C895)),"Merchant Payment",IF(ISNUMBER(SEARCH("Offnet B2C",C895)),"Merchant Payment",IF(ISNUMBER(SEARCH("Customer Payment to Small",C895)),"Merchant Payment",IF(ISNUMBER(SEARCH("Payment to Small Business",C895)),"Merchant Payment",IF(ISNUMBER(SEARCH("Sent to",C895)),"Sent to Person",IF(ISNUMBER(SEARCH("Customer Transfer to",C895)),"Sent to Person",IF(ISNUMBER(SEARCH("Business Payment",C895)),"Money In",IF(ISNUMBER(SEARCH("Funds Received",C895)),"Money In",IF(ISNUMBER(SEARCH("Receive International",C895)),"Money In",IF(ISNUMBER(SEARCH("Send Money Reversal",C895)),"Money In",IF(ISNUMBER(SEARCH("Pay Utility Reversal",C895)),"Money In",IF(ISNUMBER(SEARCH("Customer Transfer",C895)),"Money In",IF(ISNUMBER(SEARCH("Ziidi",C895)),"Investment",IF(ISNUMBER(SEARCH("Nabo",C895)),"Investment",IF(ISNUMBER(SEARCH("Paybill Online",C895)),"Pay Bill",IF(ISNUMBER(SEARCH("Pay Bill",C895)),"Pay Bill",IF(ISNUMBER(SEARCH("Spotify",C895)),"Pay Bill",IF(ISNUMBER(SEARCH("M-Shwari",C895)),"Mshwari",IF(ISNUMBER(SEARCH("Mshwari",C895)),"Mshwari",IF(ISNUMBER(SEARCH("Withdrawal charge",C895)),"Fees",IF(ISNUMBER(SEARCH("Customer Withdrawal",C895)),"Fees",IF(ISNUMBER(SEARCH("charge",C895)),"Fees","Other")))))))))))))))))))))))))</f>
        <v>Mshwari</v>
      </c>
      <c r="R895" s="1" t="str">
        <f aca="false">TEXT(B895,"MMM YYYY")</f>
        <v>May 2026</v>
      </c>
    </row>
    <row r="896" customFormat="false" ht="13.8" hidden="false" customHeight="false" outlineLevel="0" collapsed="false">
      <c r="A896" s="4" t="s">
        <v>1861</v>
      </c>
      <c r="B896" s="4" t="s">
        <v>1862</v>
      </c>
      <c r="C896" s="4" t="s">
        <v>182</v>
      </c>
      <c r="D896" s="4" t="s">
        <v>18</v>
      </c>
      <c r="E896" s="4"/>
      <c r="F896" s="4" t="n">
        <v>20</v>
      </c>
      <c r="G896" s="4" t="n">
        <v>2316.78</v>
      </c>
      <c r="L896" s="1" t="str">
        <f aca="false">IF(ISNUMBER(SEARCH("Bundle",C896)),"Bundles",IF(ISNUMBER(SEARCH("Airtime",C896)),"Bundles",IF(ISNUMBER(SEARCH("Merchant",C896)),"Merchant Payment",IF(ISNUMBER(SEARCH("Offnet C2B",C896)),"Merchant Payment",IF(ISNUMBER(SEARCH("Offnet B2C",C896)),"Merchant Payment",IF(ISNUMBER(SEARCH("Customer Payment to Small",C896)),"Merchant Payment",IF(ISNUMBER(SEARCH("Payment to Small Business",C896)),"Merchant Payment",IF(ISNUMBER(SEARCH("Sent to",C896)),"Sent to Person",IF(ISNUMBER(SEARCH("Customer Transfer to",C896)),"Sent to Person",IF(ISNUMBER(SEARCH("Business Payment",C896)),"Money In",IF(ISNUMBER(SEARCH("Funds Received",C896)),"Money In",IF(ISNUMBER(SEARCH("Receive International",C896)),"Money In",IF(ISNUMBER(SEARCH("Send Money Reversal",C896)),"Money In",IF(ISNUMBER(SEARCH("Pay Utility Reversal",C896)),"Money In",IF(ISNUMBER(SEARCH("Customer Transfer",C896)),"Money In",IF(ISNUMBER(SEARCH("Ziidi",C896)),"Investment",IF(ISNUMBER(SEARCH("Nabo",C896)),"Investment",IF(ISNUMBER(SEARCH("Paybill Online",C896)),"Pay Bill",IF(ISNUMBER(SEARCH("Pay Bill",C896)),"Pay Bill",IF(ISNUMBER(SEARCH("Spotify",C896)),"Pay Bill",IF(ISNUMBER(SEARCH("M-Shwari",C896)),"Mshwari",IF(ISNUMBER(SEARCH("Mshwari",C896)),"Mshwari",IF(ISNUMBER(SEARCH("Withdrawal charge",C896)),"Fees",IF(ISNUMBER(SEARCH("Customer Withdrawal",C896)),"Fees",IF(ISNUMBER(SEARCH("charge",C896)),"Fees","Other")))))))))))))))))))))))))</f>
        <v>Pay Bill</v>
      </c>
      <c r="R896" s="1" t="str">
        <f aca="false">TEXT(B896,"MMM YYYY")</f>
        <v>May 2026</v>
      </c>
    </row>
    <row r="897" customFormat="false" ht="13.8" hidden="false" customHeight="false" outlineLevel="0" collapsed="false">
      <c r="A897" s="4" t="s">
        <v>1861</v>
      </c>
      <c r="B897" s="4" t="s">
        <v>1862</v>
      </c>
      <c r="C897" s="4" t="s">
        <v>1863</v>
      </c>
      <c r="D897" s="4" t="s">
        <v>18</v>
      </c>
      <c r="E897" s="4"/>
      <c r="F897" s="4" t="n">
        <v>1850</v>
      </c>
      <c r="G897" s="4" t="n">
        <v>466.78</v>
      </c>
      <c r="L897" s="1" t="str">
        <f aca="false">IF(ISNUMBER(SEARCH("Bundle",C897)),"Bundles",IF(ISNUMBER(SEARCH("Airtime",C897)),"Bundles",IF(ISNUMBER(SEARCH("Merchant",C897)),"Merchant Payment",IF(ISNUMBER(SEARCH("Offnet C2B",C897)),"Merchant Payment",IF(ISNUMBER(SEARCH("Offnet B2C",C897)),"Merchant Payment",IF(ISNUMBER(SEARCH("Customer Payment to Small",C897)),"Merchant Payment",IF(ISNUMBER(SEARCH("Payment to Small Business",C897)),"Merchant Payment",IF(ISNUMBER(SEARCH("Sent to",C897)),"Sent to Person",IF(ISNUMBER(SEARCH("Customer Transfer to",C897)),"Sent to Person",IF(ISNUMBER(SEARCH("Business Payment",C897)),"Money In",IF(ISNUMBER(SEARCH("Funds Received",C897)),"Money In",IF(ISNUMBER(SEARCH("Receive International",C897)),"Money In",IF(ISNUMBER(SEARCH("Send Money Reversal",C897)),"Money In",IF(ISNUMBER(SEARCH("Pay Utility Reversal",C897)),"Money In",IF(ISNUMBER(SEARCH("Customer Transfer",C897)),"Money In",IF(ISNUMBER(SEARCH("Ziidi",C897)),"Investment",IF(ISNUMBER(SEARCH("Nabo",C897)),"Investment",IF(ISNUMBER(SEARCH("Paybill Online",C897)),"Pay Bill",IF(ISNUMBER(SEARCH("Pay Bill",C897)),"Pay Bill",IF(ISNUMBER(SEARCH("Spotify",C897)),"Pay Bill",IF(ISNUMBER(SEARCH("M-Shwari",C897)),"Mshwari",IF(ISNUMBER(SEARCH("Mshwari",C897)),"Mshwari",IF(ISNUMBER(SEARCH("Withdrawal charge",C897)),"Fees",IF(ISNUMBER(SEARCH("Customer Withdrawal",C897)),"Fees",IF(ISNUMBER(SEARCH("charge",C897)),"Fees","Other")))))))))))))))))))))))))</f>
        <v>Pay Bill</v>
      </c>
      <c r="R897" s="1" t="str">
        <f aca="false">TEXT(B897,"MMM YYYY")</f>
        <v>May 2026</v>
      </c>
    </row>
    <row r="898" customFormat="false" ht="13.8" hidden="false" customHeight="false" outlineLevel="0" collapsed="false">
      <c r="A898" s="4" t="s">
        <v>1864</v>
      </c>
      <c r="B898" s="4" t="s">
        <v>1865</v>
      </c>
      <c r="C898" s="4" t="s">
        <v>29</v>
      </c>
      <c r="D898" s="4" t="s">
        <v>18</v>
      </c>
      <c r="E898" s="4"/>
      <c r="F898" s="4" t="n">
        <v>10</v>
      </c>
      <c r="G898" s="4" t="n">
        <v>456.78</v>
      </c>
      <c r="L898" s="1" t="str">
        <f aca="false">IF(ISNUMBER(SEARCH("Bundle",C898)),"Bundles",IF(ISNUMBER(SEARCH("Airtime",C898)),"Bundles",IF(ISNUMBER(SEARCH("Merchant",C898)),"Merchant Payment",IF(ISNUMBER(SEARCH("Offnet C2B",C898)),"Merchant Payment",IF(ISNUMBER(SEARCH("Offnet B2C",C898)),"Merchant Payment",IF(ISNUMBER(SEARCH("Customer Payment to Small",C898)),"Merchant Payment",IF(ISNUMBER(SEARCH("Payment to Small Business",C898)),"Merchant Payment",IF(ISNUMBER(SEARCH("Sent to",C898)),"Sent to Person",IF(ISNUMBER(SEARCH("Customer Transfer to",C898)),"Sent to Person",IF(ISNUMBER(SEARCH("Business Payment",C898)),"Money In",IF(ISNUMBER(SEARCH("Funds Received",C898)),"Money In",IF(ISNUMBER(SEARCH("Receive International",C898)),"Money In",IF(ISNUMBER(SEARCH("Send Money Reversal",C898)),"Money In",IF(ISNUMBER(SEARCH("Pay Utility Reversal",C898)),"Money In",IF(ISNUMBER(SEARCH("Customer Transfer",C898)),"Money In",IF(ISNUMBER(SEARCH("Ziidi",C898)),"Investment",IF(ISNUMBER(SEARCH("Nabo",C898)),"Investment",IF(ISNUMBER(SEARCH("Paybill Online",C898)),"Pay Bill",IF(ISNUMBER(SEARCH("Pay Bill",C898)),"Pay Bill",IF(ISNUMBER(SEARCH("Spotify",C898)),"Pay Bill",IF(ISNUMBER(SEARCH("M-Shwari",C898)),"Mshwari",IF(ISNUMBER(SEARCH("Mshwari",C898)),"Mshwari",IF(ISNUMBER(SEARCH("Withdrawal charge",C898)),"Fees",IF(ISNUMBER(SEARCH("Customer Withdrawal",C898)),"Fees",IF(ISNUMBER(SEARCH("charge",C898)),"Fees","Other")))))))))))))))))))))))))</f>
        <v>Bundles</v>
      </c>
      <c r="R898" s="1" t="str">
        <f aca="false">TEXT(B898,"MMM YYYY")</f>
        <v>May 2026</v>
      </c>
    </row>
    <row r="899" customFormat="false" ht="13.8" hidden="false" customHeight="false" outlineLevel="0" collapsed="false">
      <c r="A899" s="4" t="s">
        <v>1866</v>
      </c>
      <c r="B899" s="4" t="s">
        <v>1867</v>
      </c>
      <c r="C899" s="4" t="s">
        <v>1868</v>
      </c>
      <c r="D899" s="4" t="s">
        <v>18</v>
      </c>
      <c r="E899" s="4"/>
      <c r="F899" s="4" t="n">
        <v>100</v>
      </c>
      <c r="G899" s="4" t="n">
        <v>356.78</v>
      </c>
      <c r="L899" s="1" t="str">
        <f aca="false">IF(ISNUMBER(SEARCH("Bundle",C899)),"Bundles",IF(ISNUMBER(SEARCH("Airtime",C899)),"Bundles",IF(ISNUMBER(SEARCH("Merchant",C899)),"Merchant Payment",IF(ISNUMBER(SEARCH("Offnet C2B",C899)),"Merchant Payment",IF(ISNUMBER(SEARCH("Offnet B2C",C899)),"Merchant Payment",IF(ISNUMBER(SEARCH("Customer Payment to Small",C899)),"Merchant Payment",IF(ISNUMBER(SEARCH("Payment to Small Business",C899)),"Merchant Payment",IF(ISNUMBER(SEARCH("Sent to",C899)),"Sent to Person",IF(ISNUMBER(SEARCH("Customer Transfer to",C899)),"Sent to Person",IF(ISNUMBER(SEARCH("Business Payment",C899)),"Money In",IF(ISNUMBER(SEARCH("Funds Received",C899)),"Money In",IF(ISNUMBER(SEARCH("Receive International",C899)),"Money In",IF(ISNUMBER(SEARCH("Send Money Reversal",C899)),"Money In",IF(ISNUMBER(SEARCH("Pay Utility Reversal",C899)),"Money In",IF(ISNUMBER(SEARCH("Customer Transfer",C899)),"Money In",IF(ISNUMBER(SEARCH("Ziidi",C899)),"Investment",IF(ISNUMBER(SEARCH("Nabo",C899)),"Investment",IF(ISNUMBER(SEARCH("Paybill Online",C899)),"Pay Bill",IF(ISNUMBER(SEARCH("Pay Bill",C899)),"Pay Bill",IF(ISNUMBER(SEARCH("Spotify",C899)),"Pay Bill",IF(ISNUMBER(SEARCH("M-Shwari",C899)),"Mshwari",IF(ISNUMBER(SEARCH("Mshwari",C899)),"Mshwari",IF(ISNUMBER(SEARCH("Withdrawal charge",C899)),"Fees",IF(ISNUMBER(SEARCH("Customer Withdrawal",C899)),"Fees",IF(ISNUMBER(SEARCH("charge",C899)),"Fees","Other")))))))))))))))))))))))))</f>
        <v>Pay Bill</v>
      </c>
      <c r="R899" s="1" t="str">
        <f aca="false">TEXT(B899,"MMM YYYY")</f>
        <v>May 2026</v>
      </c>
    </row>
    <row r="900" customFormat="false" ht="13.8" hidden="false" customHeight="false" outlineLevel="0" collapsed="false">
      <c r="A900" s="4" t="s">
        <v>1869</v>
      </c>
      <c r="B900" s="4" t="s">
        <v>1870</v>
      </c>
      <c r="C900" s="4" t="s">
        <v>1010</v>
      </c>
      <c r="D900" s="4" t="s">
        <v>18</v>
      </c>
      <c r="E900" s="4"/>
      <c r="F900" s="4" t="n">
        <v>80</v>
      </c>
      <c r="G900" s="4" t="n">
        <v>276.78</v>
      </c>
      <c r="L900" s="1" t="str">
        <f aca="false">IF(ISNUMBER(SEARCH("Bundle",C900)),"Bundles",IF(ISNUMBER(SEARCH("Airtime",C900)),"Bundles",IF(ISNUMBER(SEARCH("Merchant",C900)),"Merchant Payment",IF(ISNUMBER(SEARCH("Offnet C2B",C900)),"Merchant Payment",IF(ISNUMBER(SEARCH("Offnet B2C",C900)),"Merchant Payment",IF(ISNUMBER(SEARCH("Customer Payment to Small",C900)),"Merchant Payment",IF(ISNUMBER(SEARCH("Payment to Small Business",C900)),"Merchant Payment",IF(ISNUMBER(SEARCH("Sent to",C900)),"Sent to Person",IF(ISNUMBER(SEARCH("Customer Transfer to",C900)),"Sent to Person",IF(ISNUMBER(SEARCH("Business Payment",C900)),"Money In",IF(ISNUMBER(SEARCH("Funds Received",C900)),"Money In",IF(ISNUMBER(SEARCH("Receive International",C900)),"Money In",IF(ISNUMBER(SEARCH("Send Money Reversal",C900)),"Money In",IF(ISNUMBER(SEARCH("Pay Utility Reversal",C900)),"Money In",IF(ISNUMBER(SEARCH("Customer Transfer",C900)),"Money In",IF(ISNUMBER(SEARCH("Ziidi",C900)),"Investment",IF(ISNUMBER(SEARCH("Nabo",C900)),"Investment",IF(ISNUMBER(SEARCH("Paybill Online",C900)),"Pay Bill",IF(ISNUMBER(SEARCH("Pay Bill",C900)),"Pay Bill",IF(ISNUMBER(SEARCH("Spotify",C900)),"Pay Bill",IF(ISNUMBER(SEARCH("M-Shwari",C900)),"Mshwari",IF(ISNUMBER(SEARCH("Mshwari",C900)),"Mshwari",IF(ISNUMBER(SEARCH("Withdrawal charge",C900)),"Fees",IF(ISNUMBER(SEARCH("Customer Withdrawal",C900)),"Fees",IF(ISNUMBER(SEARCH("charge",C900)),"Fees","Other")))))))))))))))))))))))))</f>
        <v>Merchant Payment</v>
      </c>
      <c r="R900" s="1" t="str">
        <f aca="false">TEXT(B900,"MMM YYYY")</f>
        <v>May 2026</v>
      </c>
    </row>
    <row r="901" customFormat="false" ht="13.8" hidden="false" customHeight="false" outlineLevel="0" collapsed="false">
      <c r="A901" s="4" t="s">
        <v>1871</v>
      </c>
      <c r="B901" s="4" t="s">
        <v>1872</v>
      </c>
      <c r="C901" s="4" t="s">
        <v>834</v>
      </c>
      <c r="D901" s="4" t="s">
        <v>18</v>
      </c>
      <c r="E901" s="4"/>
      <c r="F901" s="4" t="n">
        <v>20</v>
      </c>
      <c r="G901" s="4" t="n">
        <v>256.78</v>
      </c>
      <c r="L901" s="1" t="str">
        <f aca="false">IF(ISNUMBER(SEARCH("Bundle",C901)),"Bundles",IF(ISNUMBER(SEARCH("Airtime",C901)),"Bundles",IF(ISNUMBER(SEARCH("Merchant",C901)),"Merchant Payment",IF(ISNUMBER(SEARCH("Offnet C2B",C901)),"Merchant Payment",IF(ISNUMBER(SEARCH("Offnet B2C",C901)),"Merchant Payment",IF(ISNUMBER(SEARCH("Customer Payment to Small",C901)),"Merchant Payment",IF(ISNUMBER(SEARCH("Payment to Small Business",C901)),"Merchant Payment",IF(ISNUMBER(SEARCH("Sent to",C901)),"Sent to Person",IF(ISNUMBER(SEARCH("Customer Transfer to",C901)),"Sent to Person",IF(ISNUMBER(SEARCH("Business Payment",C901)),"Money In",IF(ISNUMBER(SEARCH("Funds Received",C901)),"Money In",IF(ISNUMBER(SEARCH("Receive International",C901)),"Money In",IF(ISNUMBER(SEARCH("Send Money Reversal",C901)),"Money In",IF(ISNUMBER(SEARCH("Pay Utility Reversal",C901)),"Money In",IF(ISNUMBER(SEARCH("Customer Transfer",C901)),"Money In",IF(ISNUMBER(SEARCH("Ziidi",C901)),"Investment",IF(ISNUMBER(SEARCH("Nabo",C901)),"Investment",IF(ISNUMBER(SEARCH("Paybill Online",C901)),"Pay Bill",IF(ISNUMBER(SEARCH("Pay Bill",C901)),"Pay Bill",IF(ISNUMBER(SEARCH("Spotify",C901)),"Pay Bill",IF(ISNUMBER(SEARCH("M-Shwari",C901)),"Mshwari",IF(ISNUMBER(SEARCH("Mshwari",C901)),"Mshwari",IF(ISNUMBER(SEARCH("Withdrawal charge",C901)),"Fees",IF(ISNUMBER(SEARCH("Customer Withdrawal",C901)),"Fees",IF(ISNUMBER(SEARCH("charge",C901)),"Fees","Other")))))))))))))))))))))))))</f>
        <v>Merchant Payment</v>
      </c>
      <c r="R901" s="1" t="str">
        <f aca="false">TEXT(B901,"MMM YYYY")</f>
        <v>May 2026</v>
      </c>
    </row>
    <row r="902" customFormat="false" ht="13.8" hidden="false" customHeight="false" outlineLevel="0" collapsed="false">
      <c r="A902" s="4" t="s">
        <v>1873</v>
      </c>
      <c r="B902" s="4" t="s">
        <v>1874</v>
      </c>
      <c r="C902" s="4" t="s">
        <v>834</v>
      </c>
      <c r="D902" s="4" t="s">
        <v>18</v>
      </c>
      <c r="E902" s="4"/>
      <c r="F902" s="4" t="n">
        <v>10</v>
      </c>
      <c r="G902" s="4" t="n">
        <v>246.78</v>
      </c>
      <c r="L902" s="1" t="str">
        <f aca="false">IF(ISNUMBER(SEARCH("Bundle",C902)),"Bundles",IF(ISNUMBER(SEARCH("Airtime",C902)),"Bundles",IF(ISNUMBER(SEARCH("Merchant",C902)),"Merchant Payment",IF(ISNUMBER(SEARCH("Offnet C2B",C902)),"Merchant Payment",IF(ISNUMBER(SEARCH("Offnet B2C",C902)),"Merchant Payment",IF(ISNUMBER(SEARCH("Customer Payment to Small",C902)),"Merchant Payment",IF(ISNUMBER(SEARCH("Payment to Small Business",C902)),"Merchant Payment",IF(ISNUMBER(SEARCH("Sent to",C902)),"Sent to Person",IF(ISNUMBER(SEARCH("Customer Transfer to",C902)),"Sent to Person",IF(ISNUMBER(SEARCH("Business Payment",C902)),"Money In",IF(ISNUMBER(SEARCH("Funds Received",C902)),"Money In",IF(ISNUMBER(SEARCH("Receive International",C902)),"Money In",IF(ISNUMBER(SEARCH("Send Money Reversal",C902)),"Money In",IF(ISNUMBER(SEARCH("Pay Utility Reversal",C902)),"Money In",IF(ISNUMBER(SEARCH("Customer Transfer",C902)),"Money In",IF(ISNUMBER(SEARCH("Ziidi",C902)),"Investment",IF(ISNUMBER(SEARCH("Nabo",C902)),"Investment",IF(ISNUMBER(SEARCH("Paybill Online",C902)),"Pay Bill",IF(ISNUMBER(SEARCH("Pay Bill",C902)),"Pay Bill",IF(ISNUMBER(SEARCH("Spotify",C902)),"Pay Bill",IF(ISNUMBER(SEARCH("M-Shwari",C902)),"Mshwari",IF(ISNUMBER(SEARCH("Mshwari",C902)),"Mshwari",IF(ISNUMBER(SEARCH("Withdrawal charge",C902)),"Fees",IF(ISNUMBER(SEARCH("Customer Withdrawal",C902)),"Fees",IF(ISNUMBER(SEARCH("charge",C902)),"Fees","Other")))))))))))))))))))))))))</f>
        <v>Merchant Payment</v>
      </c>
      <c r="R902" s="1" t="str">
        <f aca="false">TEXT(B902,"MMM YYYY")</f>
        <v>May 2026</v>
      </c>
    </row>
    <row r="903" customFormat="false" ht="13.8" hidden="false" customHeight="false" outlineLevel="0" collapsed="false">
      <c r="A903" s="4" t="s">
        <v>1875</v>
      </c>
      <c r="B903" s="4" t="s">
        <v>1876</v>
      </c>
      <c r="C903" s="4" t="s">
        <v>45</v>
      </c>
      <c r="D903" s="4" t="s">
        <v>18</v>
      </c>
      <c r="E903" s="4"/>
      <c r="F903" s="4" t="n">
        <v>60</v>
      </c>
      <c r="G903" s="4" t="n">
        <v>186.78</v>
      </c>
      <c r="L903" s="1" t="str">
        <f aca="false">IF(ISNUMBER(SEARCH("Bundle",C903)),"Bundles",IF(ISNUMBER(SEARCH("Airtime",C903)),"Bundles",IF(ISNUMBER(SEARCH("Merchant",C903)),"Merchant Payment",IF(ISNUMBER(SEARCH("Offnet C2B",C903)),"Merchant Payment",IF(ISNUMBER(SEARCH("Offnet B2C",C903)),"Merchant Payment",IF(ISNUMBER(SEARCH("Customer Payment to Small",C903)),"Merchant Payment",IF(ISNUMBER(SEARCH("Payment to Small Business",C903)),"Merchant Payment",IF(ISNUMBER(SEARCH("Sent to",C903)),"Sent to Person",IF(ISNUMBER(SEARCH("Customer Transfer to",C903)),"Sent to Person",IF(ISNUMBER(SEARCH("Business Payment",C903)),"Money In",IF(ISNUMBER(SEARCH("Funds Received",C903)),"Money In",IF(ISNUMBER(SEARCH("Receive International",C903)),"Money In",IF(ISNUMBER(SEARCH("Send Money Reversal",C903)),"Money In",IF(ISNUMBER(SEARCH("Pay Utility Reversal",C903)),"Money In",IF(ISNUMBER(SEARCH("Customer Transfer",C903)),"Money In",IF(ISNUMBER(SEARCH("Ziidi",C903)),"Investment",IF(ISNUMBER(SEARCH("Nabo",C903)),"Investment",IF(ISNUMBER(SEARCH("Paybill Online",C903)),"Pay Bill",IF(ISNUMBER(SEARCH("Pay Bill",C903)),"Pay Bill",IF(ISNUMBER(SEARCH("Spotify",C903)),"Pay Bill",IF(ISNUMBER(SEARCH("M-Shwari",C903)),"Mshwari",IF(ISNUMBER(SEARCH("Mshwari",C903)),"Mshwari",IF(ISNUMBER(SEARCH("Withdrawal charge",C903)),"Fees",IF(ISNUMBER(SEARCH("Customer Withdrawal",C903)),"Fees",IF(ISNUMBER(SEARCH("charge",C903)),"Fees","Other")))))))))))))))))))))))))</f>
        <v>Merchant Payment</v>
      </c>
      <c r="R903" s="1" t="str">
        <f aca="false">TEXT(B903,"MMM YYYY")</f>
        <v>May 2026</v>
      </c>
    </row>
    <row r="904" customFormat="false" ht="13.8" hidden="false" customHeight="false" outlineLevel="0" collapsed="false">
      <c r="A904" s="4" t="s">
        <v>1877</v>
      </c>
      <c r="B904" s="4" t="s">
        <v>1878</v>
      </c>
      <c r="C904" s="4" t="s">
        <v>1583</v>
      </c>
      <c r="D904" s="4" t="s">
        <v>18</v>
      </c>
      <c r="E904" s="4"/>
      <c r="F904" s="4" t="n">
        <v>100</v>
      </c>
      <c r="G904" s="4" t="n">
        <v>86.78</v>
      </c>
      <c r="L904" s="1" t="str">
        <f aca="false">IF(ISNUMBER(SEARCH("Bundle",C904)),"Bundles",IF(ISNUMBER(SEARCH("Airtime",C904)),"Bundles",IF(ISNUMBER(SEARCH("Merchant",C904)),"Merchant Payment",IF(ISNUMBER(SEARCH("Offnet C2B",C904)),"Merchant Payment",IF(ISNUMBER(SEARCH("Offnet B2C",C904)),"Merchant Payment",IF(ISNUMBER(SEARCH("Customer Payment to Small",C904)),"Merchant Payment",IF(ISNUMBER(SEARCH("Payment to Small Business",C904)),"Merchant Payment",IF(ISNUMBER(SEARCH("Sent to",C904)),"Sent to Person",IF(ISNUMBER(SEARCH("Customer Transfer to",C904)),"Sent to Person",IF(ISNUMBER(SEARCH("Business Payment",C904)),"Money In",IF(ISNUMBER(SEARCH("Funds Received",C904)),"Money In",IF(ISNUMBER(SEARCH("Receive International",C904)),"Money In",IF(ISNUMBER(SEARCH("Send Money Reversal",C904)),"Money In",IF(ISNUMBER(SEARCH("Pay Utility Reversal",C904)),"Money In",IF(ISNUMBER(SEARCH("Customer Transfer",C904)),"Money In",IF(ISNUMBER(SEARCH("Ziidi",C904)),"Investment",IF(ISNUMBER(SEARCH("Nabo",C904)),"Investment",IF(ISNUMBER(SEARCH("Paybill Online",C904)),"Pay Bill",IF(ISNUMBER(SEARCH("Pay Bill",C904)),"Pay Bill",IF(ISNUMBER(SEARCH("Spotify",C904)),"Pay Bill",IF(ISNUMBER(SEARCH("M-Shwari",C904)),"Mshwari",IF(ISNUMBER(SEARCH("Mshwari",C904)),"Mshwari",IF(ISNUMBER(SEARCH("Withdrawal charge",C904)),"Fees",IF(ISNUMBER(SEARCH("Customer Withdrawal",C904)),"Fees",IF(ISNUMBER(SEARCH("charge",C904)),"Fees","Other")))))))))))))))))))))))))</f>
        <v>Merchant Payment</v>
      </c>
      <c r="R904" s="1" t="str">
        <f aca="false">TEXT(B904,"MMM YYYY")</f>
        <v>May 2026</v>
      </c>
    </row>
    <row r="905" customFormat="false" ht="13.8" hidden="false" customHeight="false" outlineLevel="0" collapsed="false">
      <c r="A905" s="4" t="s">
        <v>1879</v>
      </c>
      <c r="B905" s="4" t="s">
        <v>1880</v>
      </c>
      <c r="C905" s="4" t="s">
        <v>17</v>
      </c>
      <c r="D905" s="4" t="s">
        <v>18</v>
      </c>
      <c r="E905" s="4"/>
      <c r="F905" s="4" t="n">
        <v>20</v>
      </c>
      <c r="G905" s="4" t="n">
        <v>66.78</v>
      </c>
      <c r="L905" s="1" t="str">
        <f aca="false">IF(ISNUMBER(SEARCH("Bundle",C905)),"Bundles",IF(ISNUMBER(SEARCH("Airtime",C905)),"Bundles",IF(ISNUMBER(SEARCH("Merchant",C905)),"Merchant Payment",IF(ISNUMBER(SEARCH("Offnet C2B",C905)),"Merchant Payment",IF(ISNUMBER(SEARCH("Offnet B2C",C905)),"Merchant Payment",IF(ISNUMBER(SEARCH("Customer Payment to Small",C905)),"Merchant Payment",IF(ISNUMBER(SEARCH("Payment to Small Business",C905)),"Merchant Payment",IF(ISNUMBER(SEARCH("Sent to",C905)),"Sent to Person",IF(ISNUMBER(SEARCH("Customer Transfer to",C905)),"Sent to Person",IF(ISNUMBER(SEARCH("Business Payment",C905)),"Money In",IF(ISNUMBER(SEARCH("Funds Received",C905)),"Money In",IF(ISNUMBER(SEARCH("Receive International",C905)),"Money In",IF(ISNUMBER(SEARCH("Send Money Reversal",C905)),"Money In",IF(ISNUMBER(SEARCH("Pay Utility Reversal",C905)),"Money In",IF(ISNUMBER(SEARCH("Customer Transfer",C905)),"Money In",IF(ISNUMBER(SEARCH("Ziidi",C905)),"Investment",IF(ISNUMBER(SEARCH("Nabo",C905)),"Investment",IF(ISNUMBER(SEARCH("Paybill Online",C905)),"Pay Bill",IF(ISNUMBER(SEARCH("Pay Bill",C905)),"Pay Bill",IF(ISNUMBER(SEARCH("Spotify",C905)),"Pay Bill",IF(ISNUMBER(SEARCH("M-Shwari",C905)),"Mshwari",IF(ISNUMBER(SEARCH("Mshwari",C905)),"Mshwari",IF(ISNUMBER(SEARCH("Withdrawal charge",C905)),"Fees",IF(ISNUMBER(SEARCH("Customer Withdrawal",C905)),"Fees",IF(ISNUMBER(SEARCH("charge",C905)),"Fees","Other")))))))))))))))))))))))))</f>
        <v>Bundles</v>
      </c>
      <c r="R905" s="1" t="str">
        <f aca="false">TEXT(B905,"MMM YYYY")</f>
        <v>May 2026</v>
      </c>
    </row>
    <row r="906" customFormat="false" ht="13.8" hidden="false" customHeight="false" outlineLevel="0" collapsed="false">
      <c r="A906" s="4" t="s">
        <v>1881</v>
      </c>
      <c r="B906" s="4" t="s">
        <v>1882</v>
      </c>
      <c r="C906" s="4" t="s">
        <v>430</v>
      </c>
      <c r="D906" s="4" t="s">
        <v>18</v>
      </c>
      <c r="E906" s="4" t="n">
        <v>2000</v>
      </c>
      <c r="F906" s="4"/>
      <c r="G906" s="4" t="n">
        <v>2066.78</v>
      </c>
      <c r="L906" s="1" t="str">
        <f aca="false">IF(ISNUMBER(SEARCH("Bundle",C906)),"Bundles",IF(ISNUMBER(SEARCH("Airtime",C906)),"Bundles",IF(ISNUMBER(SEARCH("Merchant",C906)),"Merchant Payment",IF(ISNUMBER(SEARCH("Offnet C2B",C906)),"Merchant Payment",IF(ISNUMBER(SEARCH("Offnet B2C",C906)),"Merchant Payment",IF(ISNUMBER(SEARCH("Customer Payment to Small",C906)),"Merchant Payment",IF(ISNUMBER(SEARCH("Payment to Small Business",C906)),"Merchant Payment",IF(ISNUMBER(SEARCH("Sent to",C906)),"Sent to Person",IF(ISNUMBER(SEARCH("Customer Transfer to",C906)),"Sent to Person",IF(ISNUMBER(SEARCH("Business Payment",C906)),"Money In",IF(ISNUMBER(SEARCH("Funds Received",C906)),"Money In",IF(ISNUMBER(SEARCH("Receive International",C906)),"Money In",IF(ISNUMBER(SEARCH("Send Money Reversal",C906)),"Money In",IF(ISNUMBER(SEARCH("Pay Utility Reversal",C906)),"Money In",IF(ISNUMBER(SEARCH("Customer Transfer",C906)),"Money In",IF(ISNUMBER(SEARCH("Ziidi",C906)),"Investment",IF(ISNUMBER(SEARCH("Nabo",C906)),"Investment",IF(ISNUMBER(SEARCH("Paybill Online",C906)),"Pay Bill",IF(ISNUMBER(SEARCH("Pay Bill",C906)),"Pay Bill",IF(ISNUMBER(SEARCH("Spotify",C906)),"Pay Bill",IF(ISNUMBER(SEARCH("M-Shwari",C906)),"Mshwari",IF(ISNUMBER(SEARCH("Mshwari",C906)),"Mshwari",IF(ISNUMBER(SEARCH("Withdrawal charge",C906)),"Fees",IF(ISNUMBER(SEARCH("Customer Withdrawal",C906)),"Fees",IF(ISNUMBER(SEARCH("charge",C906)),"Fees","Other")))))))))))))))))))))))))</f>
        <v>Money In</v>
      </c>
      <c r="R906" s="1" t="str">
        <f aca="false">TEXT(B906,"MMM YYYY")</f>
        <v>May 2026</v>
      </c>
    </row>
    <row r="907" customFormat="false" ht="13.8" hidden="false" customHeight="false" outlineLevel="0" collapsed="false">
      <c r="A907" s="4" t="s">
        <v>1883</v>
      </c>
      <c r="B907" s="4" t="s">
        <v>1884</v>
      </c>
      <c r="C907" s="4" t="s">
        <v>1885</v>
      </c>
      <c r="D907" s="4" t="s">
        <v>18</v>
      </c>
      <c r="E907" s="4"/>
      <c r="F907" s="4" t="n">
        <v>229</v>
      </c>
      <c r="G907" s="4" t="n">
        <v>1837.78</v>
      </c>
      <c r="L907" s="1" t="str">
        <f aca="false">IF(ISNUMBER(SEARCH("Bundle",C907)),"Bundles",IF(ISNUMBER(SEARCH("Airtime",C907)),"Bundles",IF(ISNUMBER(SEARCH("Merchant",C907)),"Merchant Payment",IF(ISNUMBER(SEARCH("Offnet C2B",C907)),"Merchant Payment",IF(ISNUMBER(SEARCH("Offnet B2C",C907)),"Merchant Payment",IF(ISNUMBER(SEARCH("Customer Payment to Small",C907)),"Merchant Payment",IF(ISNUMBER(SEARCH("Payment to Small Business",C907)),"Merchant Payment",IF(ISNUMBER(SEARCH("Sent to",C907)),"Sent to Person",IF(ISNUMBER(SEARCH("Customer Transfer to",C907)),"Sent to Person",IF(ISNUMBER(SEARCH("Business Payment",C907)),"Money In",IF(ISNUMBER(SEARCH("Funds Received",C907)),"Money In",IF(ISNUMBER(SEARCH("Receive International",C907)),"Money In",IF(ISNUMBER(SEARCH("Send Money Reversal",C907)),"Money In",IF(ISNUMBER(SEARCH("Pay Utility Reversal",C907)),"Money In",IF(ISNUMBER(SEARCH("Customer Transfer",C907)),"Money In",IF(ISNUMBER(SEARCH("Ziidi",C907)),"Investment",IF(ISNUMBER(SEARCH("Nabo",C907)),"Investment",IF(ISNUMBER(SEARCH("Paybill Online",C907)),"Pay Bill",IF(ISNUMBER(SEARCH("Pay Bill",C907)),"Pay Bill",IF(ISNUMBER(SEARCH("Spotify",C907)),"Pay Bill",IF(ISNUMBER(SEARCH("M-Shwari",C907)),"Mshwari",IF(ISNUMBER(SEARCH("Mshwari",C907)),"Mshwari",IF(ISNUMBER(SEARCH("Withdrawal charge",C907)),"Fees",IF(ISNUMBER(SEARCH("Customer Withdrawal",C907)),"Fees",IF(ISNUMBER(SEARCH("charge",C907)),"Fees","Other")))))))))))))))))))))))))</f>
        <v>Pay Bill</v>
      </c>
      <c r="R907" s="1" t="str">
        <f aca="false">TEXT(B907,"MMM YYYY")</f>
        <v>May 2026</v>
      </c>
    </row>
    <row r="908" customFormat="false" ht="13.8" hidden="false" customHeight="false" outlineLevel="0" collapsed="false">
      <c r="A908" s="4" t="s">
        <v>1886</v>
      </c>
      <c r="B908" s="4" t="s">
        <v>1887</v>
      </c>
      <c r="C908" s="4" t="s">
        <v>17</v>
      </c>
      <c r="D908" s="4" t="s">
        <v>18</v>
      </c>
      <c r="E908" s="4"/>
      <c r="F908" s="4" t="n">
        <v>20</v>
      </c>
      <c r="G908" s="4" t="n">
        <v>1817.78</v>
      </c>
      <c r="L908" s="1" t="str">
        <f aca="false">IF(ISNUMBER(SEARCH("Bundle",C908)),"Bundles",IF(ISNUMBER(SEARCH("Airtime",C908)),"Bundles",IF(ISNUMBER(SEARCH("Merchant",C908)),"Merchant Payment",IF(ISNUMBER(SEARCH("Offnet C2B",C908)),"Merchant Payment",IF(ISNUMBER(SEARCH("Offnet B2C",C908)),"Merchant Payment",IF(ISNUMBER(SEARCH("Customer Payment to Small",C908)),"Merchant Payment",IF(ISNUMBER(SEARCH("Payment to Small Business",C908)),"Merchant Payment",IF(ISNUMBER(SEARCH("Sent to",C908)),"Sent to Person",IF(ISNUMBER(SEARCH("Customer Transfer to",C908)),"Sent to Person",IF(ISNUMBER(SEARCH("Business Payment",C908)),"Money In",IF(ISNUMBER(SEARCH("Funds Received",C908)),"Money In",IF(ISNUMBER(SEARCH("Receive International",C908)),"Money In",IF(ISNUMBER(SEARCH("Send Money Reversal",C908)),"Money In",IF(ISNUMBER(SEARCH("Pay Utility Reversal",C908)),"Money In",IF(ISNUMBER(SEARCH("Customer Transfer",C908)),"Money In",IF(ISNUMBER(SEARCH("Ziidi",C908)),"Investment",IF(ISNUMBER(SEARCH("Nabo",C908)),"Investment",IF(ISNUMBER(SEARCH("Paybill Online",C908)),"Pay Bill",IF(ISNUMBER(SEARCH("Pay Bill",C908)),"Pay Bill",IF(ISNUMBER(SEARCH("Spotify",C908)),"Pay Bill",IF(ISNUMBER(SEARCH("M-Shwari",C908)),"Mshwari",IF(ISNUMBER(SEARCH("Mshwari",C908)),"Mshwari",IF(ISNUMBER(SEARCH("Withdrawal charge",C908)),"Fees",IF(ISNUMBER(SEARCH("Customer Withdrawal",C908)),"Fees",IF(ISNUMBER(SEARCH("charge",C908)),"Fees","Other")))))))))))))))))))))))))</f>
        <v>Bundles</v>
      </c>
      <c r="R908" s="1" t="str">
        <f aca="false">TEXT(B908,"MMM YYYY")</f>
        <v>May 2026</v>
      </c>
    </row>
    <row r="909" customFormat="false" ht="13.8" hidden="false" customHeight="false" outlineLevel="0" collapsed="false">
      <c r="A909" s="4" t="s">
        <v>1888</v>
      </c>
      <c r="B909" s="4" t="s">
        <v>1889</v>
      </c>
      <c r="C909" s="4" t="s">
        <v>29</v>
      </c>
      <c r="D909" s="4" t="s">
        <v>18</v>
      </c>
      <c r="E909" s="4"/>
      <c r="F909" s="4" t="n">
        <v>10</v>
      </c>
      <c r="G909" s="4" t="n">
        <v>1807.78</v>
      </c>
      <c r="L909" s="1" t="str">
        <f aca="false">IF(ISNUMBER(SEARCH("Bundle",C909)),"Bundles",IF(ISNUMBER(SEARCH("Airtime",C909)),"Bundles",IF(ISNUMBER(SEARCH("Merchant",C909)),"Merchant Payment",IF(ISNUMBER(SEARCH("Offnet C2B",C909)),"Merchant Payment",IF(ISNUMBER(SEARCH("Offnet B2C",C909)),"Merchant Payment",IF(ISNUMBER(SEARCH("Customer Payment to Small",C909)),"Merchant Payment",IF(ISNUMBER(SEARCH("Payment to Small Business",C909)),"Merchant Payment",IF(ISNUMBER(SEARCH("Sent to",C909)),"Sent to Person",IF(ISNUMBER(SEARCH("Customer Transfer to",C909)),"Sent to Person",IF(ISNUMBER(SEARCH("Business Payment",C909)),"Money In",IF(ISNUMBER(SEARCH("Funds Received",C909)),"Money In",IF(ISNUMBER(SEARCH("Receive International",C909)),"Money In",IF(ISNUMBER(SEARCH("Send Money Reversal",C909)),"Money In",IF(ISNUMBER(SEARCH("Pay Utility Reversal",C909)),"Money In",IF(ISNUMBER(SEARCH("Customer Transfer",C909)),"Money In",IF(ISNUMBER(SEARCH("Ziidi",C909)),"Investment",IF(ISNUMBER(SEARCH("Nabo",C909)),"Investment",IF(ISNUMBER(SEARCH("Paybill Online",C909)),"Pay Bill",IF(ISNUMBER(SEARCH("Pay Bill",C909)),"Pay Bill",IF(ISNUMBER(SEARCH("Spotify",C909)),"Pay Bill",IF(ISNUMBER(SEARCH("M-Shwari",C909)),"Mshwari",IF(ISNUMBER(SEARCH("Mshwari",C909)),"Mshwari",IF(ISNUMBER(SEARCH("Withdrawal charge",C909)),"Fees",IF(ISNUMBER(SEARCH("Customer Withdrawal",C909)),"Fees",IF(ISNUMBER(SEARCH("charge",C909)),"Fees","Other")))))))))))))))))))))))))</f>
        <v>Bundles</v>
      </c>
      <c r="R909" s="1" t="str">
        <f aca="false">TEXT(B909,"MMM YYYY")</f>
        <v>May 2026</v>
      </c>
    </row>
    <row r="910" customFormat="false" ht="13.8" hidden="false" customHeight="false" outlineLevel="0" collapsed="false">
      <c r="A910" s="4" t="s">
        <v>1890</v>
      </c>
      <c r="B910" s="4" t="s">
        <v>1891</v>
      </c>
      <c r="C910" s="4" t="s">
        <v>239</v>
      </c>
      <c r="D910" s="4" t="s">
        <v>18</v>
      </c>
      <c r="E910" s="4"/>
      <c r="F910" s="4" t="n">
        <v>7</v>
      </c>
      <c r="G910" s="4" t="n">
        <v>1635.78</v>
      </c>
      <c r="L910" s="1" t="str">
        <f aca="false">IF(ISNUMBER(SEARCH("Bundle",C910)),"Bundles",IF(ISNUMBER(SEARCH("Airtime",C910)),"Bundles",IF(ISNUMBER(SEARCH("Merchant",C910)),"Merchant Payment",IF(ISNUMBER(SEARCH("Offnet C2B",C910)),"Merchant Payment",IF(ISNUMBER(SEARCH("Offnet B2C",C910)),"Merchant Payment",IF(ISNUMBER(SEARCH("Customer Payment to Small",C910)),"Merchant Payment",IF(ISNUMBER(SEARCH("Payment to Small Business",C910)),"Merchant Payment",IF(ISNUMBER(SEARCH("Sent to",C910)),"Sent to Person",IF(ISNUMBER(SEARCH("Customer Transfer to",C910)),"Sent to Person",IF(ISNUMBER(SEARCH("Business Payment",C910)),"Money In",IF(ISNUMBER(SEARCH("Funds Received",C910)),"Money In",IF(ISNUMBER(SEARCH("Receive International",C910)),"Money In",IF(ISNUMBER(SEARCH("Send Money Reversal",C910)),"Money In",IF(ISNUMBER(SEARCH("Pay Utility Reversal",C910)),"Money In",IF(ISNUMBER(SEARCH("Customer Transfer",C910)),"Money In",IF(ISNUMBER(SEARCH("Ziidi",C910)),"Investment",IF(ISNUMBER(SEARCH("Nabo",C910)),"Investment",IF(ISNUMBER(SEARCH("Paybill Online",C910)),"Pay Bill",IF(ISNUMBER(SEARCH("Pay Bill",C910)),"Pay Bill",IF(ISNUMBER(SEARCH("Spotify",C910)),"Pay Bill",IF(ISNUMBER(SEARCH("M-Shwari",C910)),"Mshwari",IF(ISNUMBER(SEARCH("Mshwari",C910)),"Mshwari",IF(ISNUMBER(SEARCH("Withdrawal charge",C910)),"Fees",IF(ISNUMBER(SEARCH("Customer Withdrawal",C910)),"Fees",IF(ISNUMBER(SEARCH("charge",C910)),"Fees","Other")))))))))))))))))))))))))</f>
        <v>Money In</v>
      </c>
      <c r="R910" s="1" t="str">
        <f aca="false">TEXT(B910,"MMM YYYY")</f>
        <v>May 2026</v>
      </c>
    </row>
    <row r="911" customFormat="false" ht="13.8" hidden="false" customHeight="false" outlineLevel="0" collapsed="false">
      <c r="A911" s="4" t="s">
        <v>1890</v>
      </c>
      <c r="B911" s="4" t="s">
        <v>1891</v>
      </c>
      <c r="C911" s="4" t="s">
        <v>787</v>
      </c>
      <c r="D911" s="4" t="s">
        <v>18</v>
      </c>
      <c r="E911" s="4"/>
      <c r="F911" s="4" t="n">
        <v>165</v>
      </c>
      <c r="G911" s="4" t="n">
        <v>1642.78</v>
      </c>
      <c r="L911" s="1" t="str">
        <f aca="false">IF(ISNUMBER(SEARCH("Bundle",C911)),"Bundles",IF(ISNUMBER(SEARCH("Airtime",C911)),"Bundles",IF(ISNUMBER(SEARCH("Merchant",C911)),"Merchant Payment",IF(ISNUMBER(SEARCH("Offnet C2B",C911)),"Merchant Payment",IF(ISNUMBER(SEARCH("Offnet B2C",C911)),"Merchant Payment",IF(ISNUMBER(SEARCH("Customer Payment to Small",C911)),"Merchant Payment",IF(ISNUMBER(SEARCH("Payment to Small Business",C911)),"Merchant Payment",IF(ISNUMBER(SEARCH("Sent to",C911)),"Sent to Person",IF(ISNUMBER(SEARCH("Customer Transfer to",C911)),"Sent to Person",IF(ISNUMBER(SEARCH("Business Payment",C911)),"Money In",IF(ISNUMBER(SEARCH("Funds Received",C911)),"Money In",IF(ISNUMBER(SEARCH("Receive International",C911)),"Money In",IF(ISNUMBER(SEARCH("Send Money Reversal",C911)),"Money In",IF(ISNUMBER(SEARCH("Pay Utility Reversal",C911)),"Money In",IF(ISNUMBER(SEARCH("Customer Transfer",C911)),"Money In",IF(ISNUMBER(SEARCH("Ziidi",C911)),"Investment",IF(ISNUMBER(SEARCH("Nabo",C911)),"Investment",IF(ISNUMBER(SEARCH("Paybill Online",C911)),"Pay Bill",IF(ISNUMBER(SEARCH("Pay Bill",C911)),"Pay Bill",IF(ISNUMBER(SEARCH("Spotify",C911)),"Pay Bill",IF(ISNUMBER(SEARCH("M-Shwari",C911)),"Mshwari",IF(ISNUMBER(SEARCH("Mshwari",C911)),"Mshwari",IF(ISNUMBER(SEARCH("Withdrawal charge",C911)),"Fees",IF(ISNUMBER(SEARCH("Customer Withdrawal",C911)),"Fees",IF(ISNUMBER(SEARCH("charge",C911)),"Fees","Other")))))))))))))))))))))))))</f>
        <v>Merchant Payment</v>
      </c>
      <c r="R911" s="1" t="str">
        <f aca="false">TEXT(B911,"MMM YYYY")</f>
        <v>May 2026</v>
      </c>
    </row>
    <row r="912" customFormat="false" ht="13.8" hidden="false" customHeight="false" outlineLevel="0" collapsed="false">
      <c r="A912" s="4" t="s">
        <v>1892</v>
      </c>
      <c r="B912" s="4" t="s">
        <v>1893</v>
      </c>
      <c r="C912" s="4" t="s">
        <v>1073</v>
      </c>
      <c r="D912" s="4" t="s">
        <v>18</v>
      </c>
      <c r="E912" s="4"/>
      <c r="F912" s="4" t="n">
        <v>30</v>
      </c>
      <c r="G912" s="4" t="n">
        <v>1605.78</v>
      </c>
      <c r="L912" s="1" t="str">
        <f aca="false">IF(ISNUMBER(SEARCH("Bundle",C912)),"Bundles",IF(ISNUMBER(SEARCH("Airtime",C912)),"Bundles",IF(ISNUMBER(SEARCH("Merchant",C912)),"Merchant Payment",IF(ISNUMBER(SEARCH("Offnet C2B",C912)),"Merchant Payment",IF(ISNUMBER(SEARCH("Offnet B2C",C912)),"Merchant Payment",IF(ISNUMBER(SEARCH("Customer Payment to Small",C912)),"Merchant Payment",IF(ISNUMBER(SEARCH("Payment to Small Business",C912)),"Merchant Payment",IF(ISNUMBER(SEARCH("Sent to",C912)),"Sent to Person",IF(ISNUMBER(SEARCH("Customer Transfer to",C912)),"Sent to Person",IF(ISNUMBER(SEARCH("Business Payment",C912)),"Money In",IF(ISNUMBER(SEARCH("Funds Received",C912)),"Money In",IF(ISNUMBER(SEARCH("Receive International",C912)),"Money In",IF(ISNUMBER(SEARCH("Send Money Reversal",C912)),"Money In",IF(ISNUMBER(SEARCH("Pay Utility Reversal",C912)),"Money In",IF(ISNUMBER(SEARCH("Customer Transfer",C912)),"Money In",IF(ISNUMBER(SEARCH("Ziidi",C912)),"Investment",IF(ISNUMBER(SEARCH("Nabo",C912)),"Investment",IF(ISNUMBER(SEARCH("Paybill Online",C912)),"Pay Bill",IF(ISNUMBER(SEARCH("Pay Bill",C912)),"Pay Bill",IF(ISNUMBER(SEARCH("Spotify",C912)),"Pay Bill",IF(ISNUMBER(SEARCH("M-Shwari",C912)),"Mshwari",IF(ISNUMBER(SEARCH("Mshwari",C912)),"Mshwari",IF(ISNUMBER(SEARCH("Withdrawal charge",C912)),"Fees",IF(ISNUMBER(SEARCH("Customer Withdrawal",C912)),"Fees",IF(ISNUMBER(SEARCH("charge",C912)),"Fees","Other")))))))))))))))))))))))))</f>
        <v>Merchant Payment</v>
      </c>
      <c r="R912" s="1" t="str">
        <f aca="false">TEXT(B912,"MMM YYYY")</f>
        <v>May 2026</v>
      </c>
      <c r="V912" s="8" t="n">
        <f aca="false">COUNTBLANK(Data!M2:M1267)</f>
        <v>1266</v>
      </c>
    </row>
    <row r="913" customFormat="false" ht="13.8" hidden="false" customHeight="false" outlineLevel="0" collapsed="false">
      <c r="A913" s="4" t="s">
        <v>1894</v>
      </c>
      <c r="B913" s="4" t="s">
        <v>1895</v>
      </c>
      <c r="C913" s="4" t="s">
        <v>435</v>
      </c>
      <c r="D913" s="4" t="s">
        <v>18</v>
      </c>
      <c r="E913" s="4"/>
      <c r="F913" s="4" t="n">
        <v>80</v>
      </c>
      <c r="G913" s="4" t="n">
        <v>1525.78</v>
      </c>
      <c r="L913" s="1" t="str">
        <f aca="false">IF(ISNUMBER(SEARCH("Bundle",C913)),"Bundles",IF(ISNUMBER(SEARCH("Airtime",C913)),"Bundles",IF(ISNUMBER(SEARCH("Merchant",C913)),"Merchant Payment",IF(ISNUMBER(SEARCH("Offnet C2B",C913)),"Merchant Payment",IF(ISNUMBER(SEARCH("Offnet B2C",C913)),"Merchant Payment",IF(ISNUMBER(SEARCH("Customer Payment to Small",C913)),"Merchant Payment",IF(ISNUMBER(SEARCH("Payment to Small Business",C913)),"Merchant Payment",IF(ISNUMBER(SEARCH("Sent to",C913)),"Sent to Person",IF(ISNUMBER(SEARCH("Customer Transfer to",C913)),"Sent to Person",IF(ISNUMBER(SEARCH("Business Payment",C913)),"Money In",IF(ISNUMBER(SEARCH("Funds Received",C913)),"Money In",IF(ISNUMBER(SEARCH("Receive International",C913)),"Money In",IF(ISNUMBER(SEARCH("Send Money Reversal",C913)),"Money In",IF(ISNUMBER(SEARCH("Pay Utility Reversal",C913)),"Money In",IF(ISNUMBER(SEARCH("Customer Transfer",C913)),"Money In",IF(ISNUMBER(SEARCH("Ziidi",C913)),"Investment",IF(ISNUMBER(SEARCH("Nabo",C913)),"Investment",IF(ISNUMBER(SEARCH("Paybill Online",C913)),"Pay Bill",IF(ISNUMBER(SEARCH("Pay Bill",C913)),"Pay Bill",IF(ISNUMBER(SEARCH("Spotify",C913)),"Pay Bill",IF(ISNUMBER(SEARCH("M-Shwari",C913)),"Mshwari",IF(ISNUMBER(SEARCH("Mshwari",C913)),"Mshwari",IF(ISNUMBER(SEARCH("Withdrawal charge",C913)),"Fees",IF(ISNUMBER(SEARCH("Customer Withdrawal",C913)),"Fees",IF(ISNUMBER(SEARCH("charge",C913)),"Fees","Other")))))))))))))))))))))))))</f>
        <v>Merchant Payment</v>
      </c>
      <c r="R913" s="1" t="str">
        <f aca="false">TEXT(B913,"MMM YYYY")</f>
        <v>May 2026</v>
      </c>
    </row>
    <row r="914" customFormat="false" ht="13.8" hidden="false" customHeight="false" outlineLevel="0" collapsed="false">
      <c r="A914" s="4" t="s">
        <v>1896</v>
      </c>
      <c r="B914" s="4" t="s">
        <v>1897</v>
      </c>
      <c r="C914" s="4" t="s">
        <v>29</v>
      </c>
      <c r="D914" s="4" t="s">
        <v>18</v>
      </c>
      <c r="E914" s="4"/>
      <c r="F914" s="4" t="n">
        <v>10</v>
      </c>
      <c r="G914" s="4" t="n">
        <v>1515.78</v>
      </c>
      <c r="L914" s="1" t="str">
        <f aca="false">IF(ISNUMBER(SEARCH("Bundle",C914)),"Bundles",IF(ISNUMBER(SEARCH("Airtime",C914)),"Bundles",IF(ISNUMBER(SEARCH("Merchant",C914)),"Merchant Payment",IF(ISNUMBER(SEARCH("Offnet C2B",C914)),"Merchant Payment",IF(ISNUMBER(SEARCH("Offnet B2C",C914)),"Merchant Payment",IF(ISNUMBER(SEARCH("Customer Payment to Small",C914)),"Merchant Payment",IF(ISNUMBER(SEARCH("Payment to Small Business",C914)),"Merchant Payment",IF(ISNUMBER(SEARCH("Sent to",C914)),"Sent to Person",IF(ISNUMBER(SEARCH("Customer Transfer to",C914)),"Sent to Person",IF(ISNUMBER(SEARCH("Business Payment",C914)),"Money In",IF(ISNUMBER(SEARCH("Funds Received",C914)),"Money In",IF(ISNUMBER(SEARCH("Receive International",C914)),"Money In",IF(ISNUMBER(SEARCH("Send Money Reversal",C914)),"Money In",IF(ISNUMBER(SEARCH("Pay Utility Reversal",C914)),"Money In",IF(ISNUMBER(SEARCH("Customer Transfer",C914)),"Money In",IF(ISNUMBER(SEARCH("Ziidi",C914)),"Investment",IF(ISNUMBER(SEARCH("Nabo",C914)),"Investment",IF(ISNUMBER(SEARCH("Paybill Online",C914)),"Pay Bill",IF(ISNUMBER(SEARCH("Pay Bill",C914)),"Pay Bill",IF(ISNUMBER(SEARCH("Spotify",C914)),"Pay Bill",IF(ISNUMBER(SEARCH("M-Shwari",C914)),"Mshwari",IF(ISNUMBER(SEARCH("Mshwari",C914)),"Mshwari",IF(ISNUMBER(SEARCH("Withdrawal charge",C914)),"Fees",IF(ISNUMBER(SEARCH("Customer Withdrawal",C914)),"Fees",IF(ISNUMBER(SEARCH("charge",C914)),"Fees","Other")))))))))))))))))))))))))</f>
        <v>Bundles</v>
      </c>
      <c r="R914" s="1" t="str">
        <f aca="false">TEXT(B914,"MMM YYYY")</f>
        <v>May 2026</v>
      </c>
    </row>
    <row r="915" customFormat="false" ht="13.8" hidden="false" customHeight="false" outlineLevel="0" collapsed="false">
      <c r="A915" s="4" t="s">
        <v>1898</v>
      </c>
      <c r="B915" s="4" t="s">
        <v>1899</v>
      </c>
      <c r="C915" s="4" t="s">
        <v>29</v>
      </c>
      <c r="D915" s="4" t="s">
        <v>18</v>
      </c>
      <c r="E915" s="4"/>
      <c r="F915" s="4" t="n">
        <v>20</v>
      </c>
      <c r="G915" s="4" t="n">
        <v>1495.78</v>
      </c>
      <c r="L915" s="1" t="str">
        <f aca="false">IF(ISNUMBER(SEARCH("Bundle",C915)),"Bundles",IF(ISNUMBER(SEARCH("Airtime",C915)),"Bundles",IF(ISNUMBER(SEARCH("Merchant",C915)),"Merchant Payment",IF(ISNUMBER(SEARCH("Offnet C2B",C915)),"Merchant Payment",IF(ISNUMBER(SEARCH("Offnet B2C",C915)),"Merchant Payment",IF(ISNUMBER(SEARCH("Customer Payment to Small",C915)),"Merchant Payment",IF(ISNUMBER(SEARCH("Payment to Small Business",C915)),"Merchant Payment",IF(ISNUMBER(SEARCH("Sent to",C915)),"Sent to Person",IF(ISNUMBER(SEARCH("Customer Transfer to",C915)),"Sent to Person",IF(ISNUMBER(SEARCH("Business Payment",C915)),"Money In",IF(ISNUMBER(SEARCH("Funds Received",C915)),"Money In",IF(ISNUMBER(SEARCH("Receive International",C915)),"Money In",IF(ISNUMBER(SEARCH("Send Money Reversal",C915)),"Money In",IF(ISNUMBER(SEARCH("Pay Utility Reversal",C915)),"Money In",IF(ISNUMBER(SEARCH("Customer Transfer",C915)),"Money In",IF(ISNUMBER(SEARCH("Ziidi",C915)),"Investment",IF(ISNUMBER(SEARCH("Nabo",C915)),"Investment",IF(ISNUMBER(SEARCH("Paybill Online",C915)),"Pay Bill",IF(ISNUMBER(SEARCH("Pay Bill",C915)),"Pay Bill",IF(ISNUMBER(SEARCH("Spotify",C915)),"Pay Bill",IF(ISNUMBER(SEARCH("M-Shwari",C915)),"Mshwari",IF(ISNUMBER(SEARCH("Mshwari",C915)),"Mshwari",IF(ISNUMBER(SEARCH("Withdrawal charge",C915)),"Fees",IF(ISNUMBER(SEARCH("Customer Withdrawal",C915)),"Fees",IF(ISNUMBER(SEARCH("charge",C915)),"Fees","Other")))))))))))))))))))))))))</f>
        <v>Bundles</v>
      </c>
      <c r="R915" s="1" t="str">
        <f aca="false">TEXT(B915,"MMM YYYY")</f>
        <v>May 2026</v>
      </c>
    </row>
    <row r="916" customFormat="false" ht="13.8" hidden="false" customHeight="false" outlineLevel="0" collapsed="false">
      <c r="A916" s="4" t="s">
        <v>1900</v>
      </c>
      <c r="B916" s="4" t="s">
        <v>1901</v>
      </c>
      <c r="C916" s="4" t="s">
        <v>29</v>
      </c>
      <c r="D916" s="4" t="s">
        <v>18</v>
      </c>
      <c r="E916" s="4"/>
      <c r="F916" s="4" t="n">
        <v>10</v>
      </c>
      <c r="G916" s="4" t="n">
        <v>1485.78</v>
      </c>
      <c r="L916" s="1" t="str">
        <f aca="false">IF(ISNUMBER(SEARCH("Bundle",C916)),"Bundles",IF(ISNUMBER(SEARCH("Airtime",C916)),"Bundles",IF(ISNUMBER(SEARCH("Merchant",C916)),"Merchant Payment",IF(ISNUMBER(SEARCH("Offnet C2B",C916)),"Merchant Payment",IF(ISNUMBER(SEARCH("Offnet B2C",C916)),"Merchant Payment",IF(ISNUMBER(SEARCH("Customer Payment to Small",C916)),"Merchant Payment",IF(ISNUMBER(SEARCH("Payment to Small Business",C916)),"Merchant Payment",IF(ISNUMBER(SEARCH("Sent to",C916)),"Sent to Person",IF(ISNUMBER(SEARCH("Customer Transfer to",C916)),"Sent to Person",IF(ISNUMBER(SEARCH("Business Payment",C916)),"Money In",IF(ISNUMBER(SEARCH("Funds Received",C916)),"Money In",IF(ISNUMBER(SEARCH("Receive International",C916)),"Money In",IF(ISNUMBER(SEARCH("Send Money Reversal",C916)),"Money In",IF(ISNUMBER(SEARCH("Pay Utility Reversal",C916)),"Money In",IF(ISNUMBER(SEARCH("Customer Transfer",C916)),"Money In",IF(ISNUMBER(SEARCH("Ziidi",C916)),"Investment",IF(ISNUMBER(SEARCH("Nabo",C916)),"Investment",IF(ISNUMBER(SEARCH("Paybill Online",C916)),"Pay Bill",IF(ISNUMBER(SEARCH("Pay Bill",C916)),"Pay Bill",IF(ISNUMBER(SEARCH("Spotify",C916)),"Pay Bill",IF(ISNUMBER(SEARCH("M-Shwari",C916)),"Mshwari",IF(ISNUMBER(SEARCH("Mshwari",C916)),"Mshwari",IF(ISNUMBER(SEARCH("Withdrawal charge",C916)),"Fees",IF(ISNUMBER(SEARCH("Customer Withdrawal",C916)),"Fees",IF(ISNUMBER(SEARCH("charge",C916)),"Fees","Other")))))))))))))))))))))))))</f>
        <v>Bundles</v>
      </c>
      <c r="R916" s="1" t="str">
        <f aca="false">TEXT(B916,"MMM YYYY")</f>
        <v>May 2026</v>
      </c>
    </row>
    <row r="917" customFormat="false" ht="13.8" hidden="false" customHeight="false" outlineLevel="0" collapsed="false">
      <c r="A917" s="4" t="s">
        <v>1902</v>
      </c>
      <c r="B917" s="4" t="s">
        <v>1903</v>
      </c>
      <c r="C917" s="4" t="s">
        <v>29</v>
      </c>
      <c r="D917" s="4" t="s">
        <v>18</v>
      </c>
      <c r="E917" s="4"/>
      <c r="F917" s="4" t="n">
        <v>10</v>
      </c>
      <c r="G917" s="4" t="n">
        <v>1475.78</v>
      </c>
      <c r="L917" s="1" t="str">
        <f aca="false">IF(ISNUMBER(SEARCH("Bundle",C917)),"Bundles",IF(ISNUMBER(SEARCH("Airtime",C917)),"Bundles",IF(ISNUMBER(SEARCH("Merchant",C917)),"Merchant Payment",IF(ISNUMBER(SEARCH("Offnet C2B",C917)),"Merchant Payment",IF(ISNUMBER(SEARCH("Offnet B2C",C917)),"Merchant Payment",IF(ISNUMBER(SEARCH("Customer Payment to Small",C917)),"Merchant Payment",IF(ISNUMBER(SEARCH("Payment to Small Business",C917)),"Merchant Payment",IF(ISNUMBER(SEARCH("Sent to",C917)),"Sent to Person",IF(ISNUMBER(SEARCH("Customer Transfer to",C917)),"Sent to Person",IF(ISNUMBER(SEARCH("Business Payment",C917)),"Money In",IF(ISNUMBER(SEARCH("Funds Received",C917)),"Money In",IF(ISNUMBER(SEARCH("Receive International",C917)),"Money In",IF(ISNUMBER(SEARCH("Send Money Reversal",C917)),"Money In",IF(ISNUMBER(SEARCH("Pay Utility Reversal",C917)),"Money In",IF(ISNUMBER(SEARCH("Customer Transfer",C917)),"Money In",IF(ISNUMBER(SEARCH("Ziidi",C917)),"Investment",IF(ISNUMBER(SEARCH("Nabo",C917)),"Investment",IF(ISNUMBER(SEARCH("Paybill Online",C917)),"Pay Bill",IF(ISNUMBER(SEARCH("Pay Bill",C917)),"Pay Bill",IF(ISNUMBER(SEARCH("Spotify",C917)),"Pay Bill",IF(ISNUMBER(SEARCH("M-Shwari",C917)),"Mshwari",IF(ISNUMBER(SEARCH("Mshwari",C917)),"Mshwari",IF(ISNUMBER(SEARCH("Withdrawal charge",C917)),"Fees",IF(ISNUMBER(SEARCH("Customer Withdrawal",C917)),"Fees",IF(ISNUMBER(SEARCH("charge",C917)),"Fees","Other")))))))))))))))))))))))))</f>
        <v>Bundles</v>
      </c>
      <c r="R917" s="1" t="str">
        <f aca="false">TEXT(B917,"MMM YYYY")</f>
        <v>May 2026</v>
      </c>
    </row>
    <row r="918" customFormat="false" ht="13.8" hidden="false" customHeight="false" outlineLevel="0" collapsed="false">
      <c r="A918" s="4" t="s">
        <v>1904</v>
      </c>
      <c r="B918" s="4" t="s">
        <v>1905</v>
      </c>
      <c r="C918" s="4" t="s">
        <v>29</v>
      </c>
      <c r="D918" s="4" t="s">
        <v>18</v>
      </c>
      <c r="E918" s="4"/>
      <c r="F918" s="4" t="n">
        <v>20</v>
      </c>
      <c r="G918" s="4" t="n">
        <v>1455.78</v>
      </c>
      <c r="L918" s="1" t="str">
        <f aca="false">IF(ISNUMBER(SEARCH("Bundle",C918)),"Bundles",IF(ISNUMBER(SEARCH("Airtime",C918)),"Bundles",IF(ISNUMBER(SEARCH("Merchant",C918)),"Merchant Payment",IF(ISNUMBER(SEARCH("Offnet C2B",C918)),"Merchant Payment",IF(ISNUMBER(SEARCH("Offnet B2C",C918)),"Merchant Payment",IF(ISNUMBER(SEARCH("Customer Payment to Small",C918)),"Merchant Payment",IF(ISNUMBER(SEARCH("Payment to Small Business",C918)),"Merchant Payment",IF(ISNUMBER(SEARCH("Sent to",C918)),"Sent to Person",IF(ISNUMBER(SEARCH("Customer Transfer to",C918)),"Sent to Person",IF(ISNUMBER(SEARCH("Business Payment",C918)),"Money In",IF(ISNUMBER(SEARCH("Funds Received",C918)),"Money In",IF(ISNUMBER(SEARCH("Receive International",C918)),"Money In",IF(ISNUMBER(SEARCH("Send Money Reversal",C918)),"Money In",IF(ISNUMBER(SEARCH("Pay Utility Reversal",C918)),"Money In",IF(ISNUMBER(SEARCH("Customer Transfer",C918)),"Money In",IF(ISNUMBER(SEARCH("Ziidi",C918)),"Investment",IF(ISNUMBER(SEARCH("Nabo",C918)),"Investment",IF(ISNUMBER(SEARCH("Paybill Online",C918)),"Pay Bill",IF(ISNUMBER(SEARCH("Pay Bill",C918)),"Pay Bill",IF(ISNUMBER(SEARCH("Spotify",C918)),"Pay Bill",IF(ISNUMBER(SEARCH("M-Shwari",C918)),"Mshwari",IF(ISNUMBER(SEARCH("Mshwari",C918)),"Mshwari",IF(ISNUMBER(SEARCH("Withdrawal charge",C918)),"Fees",IF(ISNUMBER(SEARCH("Customer Withdrawal",C918)),"Fees",IF(ISNUMBER(SEARCH("charge",C918)),"Fees","Other")))))))))))))))))))))))))</f>
        <v>Bundles</v>
      </c>
      <c r="R918" s="1" t="str">
        <f aca="false">TEXT(B918,"MMM YYYY")</f>
        <v>May 2026</v>
      </c>
    </row>
    <row r="919" customFormat="false" ht="13.8" hidden="false" customHeight="false" outlineLevel="0" collapsed="false">
      <c r="A919" s="4" t="s">
        <v>1906</v>
      </c>
      <c r="B919" s="4" t="s">
        <v>1907</v>
      </c>
      <c r="C919" s="4" t="s">
        <v>239</v>
      </c>
      <c r="D919" s="4" t="s">
        <v>18</v>
      </c>
      <c r="E919" s="4"/>
      <c r="F919" s="4" t="n">
        <v>7</v>
      </c>
      <c r="G919" s="4" t="n">
        <v>1238.78</v>
      </c>
      <c r="L919" s="1" t="str">
        <f aca="false">IF(ISNUMBER(SEARCH("Bundle",C919)),"Bundles",IF(ISNUMBER(SEARCH("Airtime",C919)),"Bundles",IF(ISNUMBER(SEARCH("Merchant",C919)),"Merchant Payment",IF(ISNUMBER(SEARCH("Offnet C2B",C919)),"Merchant Payment",IF(ISNUMBER(SEARCH("Offnet B2C",C919)),"Merchant Payment",IF(ISNUMBER(SEARCH("Customer Payment to Small",C919)),"Merchant Payment",IF(ISNUMBER(SEARCH("Payment to Small Business",C919)),"Merchant Payment",IF(ISNUMBER(SEARCH("Sent to",C919)),"Sent to Person",IF(ISNUMBER(SEARCH("Customer Transfer to",C919)),"Sent to Person",IF(ISNUMBER(SEARCH("Business Payment",C919)),"Money In",IF(ISNUMBER(SEARCH("Funds Received",C919)),"Money In",IF(ISNUMBER(SEARCH("Receive International",C919)),"Money In",IF(ISNUMBER(SEARCH("Send Money Reversal",C919)),"Money In",IF(ISNUMBER(SEARCH("Pay Utility Reversal",C919)),"Money In",IF(ISNUMBER(SEARCH("Customer Transfer",C919)),"Money In",IF(ISNUMBER(SEARCH("Ziidi",C919)),"Investment",IF(ISNUMBER(SEARCH("Nabo",C919)),"Investment",IF(ISNUMBER(SEARCH("Paybill Online",C919)),"Pay Bill",IF(ISNUMBER(SEARCH("Pay Bill",C919)),"Pay Bill",IF(ISNUMBER(SEARCH("Spotify",C919)),"Pay Bill",IF(ISNUMBER(SEARCH("M-Shwari",C919)),"Mshwari",IF(ISNUMBER(SEARCH("Mshwari",C919)),"Mshwari",IF(ISNUMBER(SEARCH("Withdrawal charge",C919)),"Fees",IF(ISNUMBER(SEARCH("Customer Withdrawal",C919)),"Fees",IF(ISNUMBER(SEARCH("charge",C919)),"Fees","Other")))))))))))))))))))))))))</f>
        <v>Money In</v>
      </c>
      <c r="R919" s="1" t="str">
        <f aca="false">TEXT(B919,"MMM YYYY")</f>
        <v>May 2026</v>
      </c>
    </row>
    <row r="920" customFormat="false" ht="13.8" hidden="false" customHeight="false" outlineLevel="0" collapsed="false">
      <c r="A920" s="4" t="s">
        <v>1906</v>
      </c>
      <c r="B920" s="4" t="s">
        <v>1907</v>
      </c>
      <c r="C920" s="4" t="s">
        <v>1908</v>
      </c>
      <c r="D920" s="4" t="s">
        <v>18</v>
      </c>
      <c r="E920" s="4"/>
      <c r="F920" s="4" t="n">
        <v>210</v>
      </c>
      <c r="G920" s="4" t="n">
        <v>1245.78</v>
      </c>
      <c r="L920" s="1" t="str">
        <f aca="false">IF(ISNUMBER(SEARCH("Bundle",C920)),"Bundles",IF(ISNUMBER(SEARCH("Airtime",C920)),"Bundles",IF(ISNUMBER(SEARCH("Merchant",C920)),"Merchant Payment",IF(ISNUMBER(SEARCH("Offnet C2B",C920)),"Merchant Payment",IF(ISNUMBER(SEARCH("Offnet B2C",C920)),"Merchant Payment",IF(ISNUMBER(SEARCH("Customer Payment to Small",C920)),"Merchant Payment",IF(ISNUMBER(SEARCH("Payment to Small Business",C920)),"Merchant Payment",IF(ISNUMBER(SEARCH("Sent to",C920)),"Sent to Person",IF(ISNUMBER(SEARCH("Customer Transfer to",C920)),"Sent to Person",IF(ISNUMBER(SEARCH("Business Payment",C920)),"Money In",IF(ISNUMBER(SEARCH("Funds Received",C920)),"Money In",IF(ISNUMBER(SEARCH("Receive International",C920)),"Money In",IF(ISNUMBER(SEARCH("Send Money Reversal",C920)),"Money In",IF(ISNUMBER(SEARCH("Pay Utility Reversal",C920)),"Money In",IF(ISNUMBER(SEARCH("Customer Transfer",C920)),"Money In",IF(ISNUMBER(SEARCH("Ziidi",C920)),"Investment",IF(ISNUMBER(SEARCH("Nabo",C920)),"Investment",IF(ISNUMBER(SEARCH("Paybill Online",C920)),"Pay Bill",IF(ISNUMBER(SEARCH("Pay Bill",C920)),"Pay Bill",IF(ISNUMBER(SEARCH("Spotify",C920)),"Pay Bill",IF(ISNUMBER(SEARCH("M-Shwari",C920)),"Mshwari",IF(ISNUMBER(SEARCH("Mshwari",C920)),"Mshwari",IF(ISNUMBER(SEARCH("Withdrawal charge",C920)),"Fees",IF(ISNUMBER(SEARCH("Customer Withdrawal",C920)),"Fees",IF(ISNUMBER(SEARCH("charge",C920)),"Fees","Other")))))))))))))))))))))))))</f>
        <v>Merchant Payment</v>
      </c>
      <c r="R920" s="1" t="str">
        <f aca="false">TEXT(B920,"MMM YYYY")</f>
        <v>May 2026</v>
      </c>
    </row>
    <row r="921" customFormat="false" ht="13.8" hidden="false" customHeight="false" outlineLevel="0" collapsed="false">
      <c r="A921" s="4" t="s">
        <v>1909</v>
      </c>
      <c r="B921" s="4" t="s">
        <v>1910</v>
      </c>
      <c r="C921" s="4" t="s">
        <v>239</v>
      </c>
      <c r="D921" s="4" t="s">
        <v>18</v>
      </c>
      <c r="E921" s="4"/>
      <c r="F921" s="4" t="n">
        <v>7</v>
      </c>
      <c r="G921" s="4" t="n">
        <v>931.78</v>
      </c>
      <c r="L921" s="1" t="str">
        <f aca="false">IF(ISNUMBER(SEARCH("Bundle",C921)),"Bundles",IF(ISNUMBER(SEARCH("Airtime",C921)),"Bundles",IF(ISNUMBER(SEARCH("Merchant",C921)),"Merchant Payment",IF(ISNUMBER(SEARCH("Offnet C2B",C921)),"Merchant Payment",IF(ISNUMBER(SEARCH("Offnet B2C",C921)),"Merchant Payment",IF(ISNUMBER(SEARCH("Customer Payment to Small",C921)),"Merchant Payment",IF(ISNUMBER(SEARCH("Payment to Small Business",C921)),"Merchant Payment",IF(ISNUMBER(SEARCH("Sent to",C921)),"Sent to Person",IF(ISNUMBER(SEARCH("Customer Transfer to",C921)),"Sent to Person",IF(ISNUMBER(SEARCH("Business Payment",C921)),"Money In",IF(ISNUMBER(SEARCH("Funds Received",C921)),"Money In",IF(ISNUMBER(SEARCH("Receive International",C921)),"Money In",IF(ISNUMBER(SEARCH("Send Money Reversal",C921)),"Money In",IF(ISNUMBER(SEARCH("Pay Utility Reversal",C921)),"Money In",IF(ISNUMBER(SEARCH("Customer Transfer",C921)),"Money In",IF(ISNUMBER(SEARCH("Ziidi",C921)),"Investment",IF(ISNUMBER(SEARCH("Nabo",C921)),"Investment",IF(ISNUMBER(SEARCH("Paybill Online",C921)),"Pay Bill",IF(ISNUMBER(SEARCH("Pay Bill",C921)),"Pay Bill",IF(ISNUMBER(SEARCH("Spotify",C921)),"Pay Bill",IF(ISNUMBER(SEARCH("M-Shwari",C921)),"Mshwari",IF(ISNUMBER(SEARCH("Mshwari",C921)),"Mshwari",IF(ISNUMBER(SEARCH("Withdrawal charge",C921)),"Fees",IF(ISNUMBER(SEARCH("Customer Withdrawal",C921)),"Fees",IF(ISNUMBER(SEARCH("charge",C921)),"Fees","Other")))))))))))))))))))))))))</f>
        <v>Money In</v>
      </c>
      <c r="R921" s="1" t="str">
        <f aca="false">TEXT(B921,"MMM YYYY")</f>
        <v>May 2026</v>
      </c>
    </row>
    <row r="922" customFormat="false" ht="13.8" hidden="false" customHeight="false" outlineLevel="0" collapsed="false">
      <c r="A922" s="4" t="s">
        <v>1909</v>
      </c>
      <c r="B922" s="4" t="s">
        <v>1910</v>
      </c>
      <c r="C922" s="4" t="s">
        <v>440</v>
      </c>
      <c r="D922" s="4" t="s">
        <v>18</v>
      </c>
      <c r="E922" s="4"/>
      <c r="F922" s="4" t="n">
        <v>300</v>
      </c>
      <c r="G922" s="4" t="n">
        <v>938.78</v>
      </c>
      <c r="L922" s="1" t="str">
        <f aca="false">IF(ISNUMBER(SEARCH("Bundle",C922)),"Bundles",IF(ISNUMBER(SEARCH("Airtime",C922)),"Bundles",IF(ISNUMBER(SEARCH("Merchant",C922)),"Merchant Payment",IF(ISNUMBER(SEARCH("Offnet C2B",C922)),"Merchant Payment",IF(ISNUMBER(SEARCH("Offnet B2C",C922)),"Merchant Payment",IF(ISNUMBER(SEARCH("Customer Payment to Small",C922)),"Merchant Payment",IF(ISNUMBER(SEARCH("Payment to Small Business",C922)),"Merchant Payment",IF(ISNUMBER(SEARCH("Sent to",C922)),"Sent to Person",IF(ISNUMBER(SEARCH("Customer Transfer to",C922)),"Sent to Person",IF(ISNUMBER(SEARCH("Business Payment",C922)),"Money In",IF(ISNUMBER(SEARCH("Funds Received",C922)),"Money In",IF(ISNUMBER(SEARCH("Receive International",C922)),"Money In",IF(ISNUMBER(SEARCH("Send Money Reversal",C922)),"Money In",IF(ISNUMBER(SEARCH("Pay Utility Reversal",C922)),"Money In",IF(ISNUMBER(SEARCH("Customer Transfer",C922)),"Money In",IF(ISNUMBER(SEARCH("Ziidi",C922)),"Investment",IF(ISNUMBER(SEARCH("Nabo",C922)),"Investment",IF(ISNUMBER(SEARCH("Paybill Online",C922)),"Pay Bill",IF(ISNUMBER(SEARCH("Pay Bill",C922)),"Pay Bill",IF(ISNUMBER(SEARCH("Spotify",C922)),"Pay Bill",IF(ISNUMBER(SEARCH("M-Shwari",C922)),"Mshwari",IF(ISNUMBER(SEARCH("Mshwari",C922)),"Mshwari",IF(ISNUMBER(SEARCH("Withdrawal charge",C922)),"Fees",IF(ISNUMBER(SEARCH("Customer Withdrawal",C922)),"Fees",IF(ISNUMBER(SEARCH("charge",C922)),"Fees","Other")))))))))))))))))))))))))</f>
        <v>Merchant Payment</v>
      </c>
      <c r="R922" s="1" t="str">
        <f aca="false">TEXT(B922,"MMM YYYY")</f>
        <v>May 2026</v>
      </c>
    </row>
    <row r="923" customFormat="false" ht="13.8" hidden="false" customHeight="false" outlineLevel="0" collapsed="false">
      <c r="A923" s="4" t="s">
        <v>1911</v>
      </c>
      <c r="B923" s="4" t="s">
        <v>1912</v>
      </c>
      <c r="C923" s="4" t="s">
        <v>1387</v>
      </c>
      <c r="D923" s="4" t="s">
        <v>18</v>
      </c>
      <c r="E923" s="4"/>
      <c r="F923" s="4" t="n">
        <v>50</v>
      </c>
      <c r="G923" s="4" t="n">
        <v>881.78</v>
      </c>
      <c r="L923" s="1" t="str">
        <f aca="false">IF(ISNUMBER(SEARCH("Bundle",C923)),"Bundles",IF(ISNUMBER(SEARCH("Airtime",C923)),"Bundles",IF(ISNUMBER(SEARCH("Merchant",C923)),"Merchant Payment",IF(ISNUMBER(SEARCH("Offnet C2B",C923)),"Merchant Payment",IF(ISNUMBER(SEARCH("Offnet B2C",C923)),"Merchant Payment",IF(ISNUMBER(SEARCH("Customer Payment to Small",C923)),"Merchant Payment",IF(ISNUMBER(SEARCH("Payment to Small Business",C923)),"Merchant Payment",IF(ISNUMBER(SEARCH("Sent to",C923)),"Sent to Person",IF(ISNUMBER(SEARCH("Customer Transfer to",C923)),"Sent to Person",IF(ISNUMBER(SEARCH("Business Payment",C923)),"Money In",IF(ISNUMBER(SEARCH("Funds Received",C923)),"Money In",IF(ISNUMBER(SEARCH("Receive International",C923)),"Money In",IF(ISNUMBER(SEARCH("Send Money Reversal",C923)),"Money In",IF(ISNUMBER(SEARCH("Pay Utility Reversal",C923)),"Money In",IF(ISNUMBER(SEARCH("Customer Transfer",C923)),"Money In",IF(ISNUMBER(SEARCH("Ziidi",C923)),"Investment",IF(ISNUMBER(SEARCH("Nabo",C923)),"Investment",IF(ISNUMBER(SEARCH("Paybill Online",C923)),"Pay Bill",IF(ISNUMBER(SEARCH("Pay Bill",C923)),"Pay Bill",IF(ISNUMBER(SEARCH("Spotify",C923)),"Pay Bill",IF(ISNUMBER(SEARCH("M-Shwari",C923)),"Mshwari",IF(ISNUMBER(SEARCH("Mshwari",C923)),"Mshwari",IF(ISNUMBER(SEARCH("Withdrawal charge",C923)),"Fees",IF(ISNUMBER(SEARCH("Customer Withdrawal",C923)),"Fees",IF(ISNUMBER(SEARCH("charge",C923)),"Fees","Other")))))))))))))))))))))))))</f>
        <v>Sent to Person</v>
      </c>
      <c r="R923" s="1" t="str">
        <f aca="false">TEXT(B923,"MMM YYYY")</f>
        <v>May 2026</v>
      </c>
    </row>
    <row r="924" customFormat="false" ht="13.8" hidden="false" customHeight="false" outlineLevel="0" collapsed="false">
      <c r="A924" s="4" t="s">
        <v>1913</v>
      </c>
      <c r="B924" s="4" t="s">
        <v>1914</v>
      </c>
      <c r="C924" s="4" t="s">
        <v>239</v>
      </c>
      <c r="D924" s="4" t="s">
        <v>18</v>
      </c>
      <c r="E924" s="4"/>
      <c r="F924" s="4" t="n">
        <v>13</v>
      </c>
      <c r="G924" s="4" t="n">
        <v>218.78</v>
      </c>
      <c r="L924" s="1" t="str">
        <f aca="false">IF(ISNUMBER(SEARCH("Bundle",C924)),"Bundles",IF(ISNUMBER(SEARCH("Airtime",C924)),"Bundles",IF(ISNUMBER(SEARCH("Merchant",C924)),"Merchant Payment",IF(ISNUMBER(SEARCH("Offnet C2B",C924)),"Merchant Payment",IF(ISNUMBER(SEARCH("Offnet B2C",C924)),"Merchant Payment",IF(ISNUMBER(SEARCH("Customer Payment to Small",C924)),"Merchant Payment",IF(ISNUMBER(SEARCH("Payment to Small Business",C924)),"Merchant Payment",IF(ISNUMBER(SEARCH("Sent to",C924)),"Sent to Person",IF(ISNUMBER(SEARCH("Customer Transfer to",C924)),"Sent to Person",IF(ISNUMBER(SEARCH("Business Payment",C924)),"Money In",IF(ISNUMBER(SEARCH("Funds Received",C924)),"Money In",IF(ISNUMBER(SEARCH("Receive International",C924)),"Money In",IF(ISNUMBER(SEARCH("Send Money Reversal",C924)),"Money In",IF(ISNUMBER(SEARCH("Pay Utility Reversal",C924)),"Money In",IF(ISNUMBER(SEARCH("Customer Transfer",C924)),"Money In",IF(ISNUMBER(SEARCH("Ziidi",C924)),"Investment",IF(ISNUMBER(SEARCH("Nabo",C924)),"Investment",IF(ISNUMBER(SEARCH("Paybill Online",C924)),"Pay Bill",IF(ISNUMBER(SEARCH("Pay Bill",C924)),"Pay Bill",IF(ISNUMBER(SEARCH("Spotify",C924)),"Pay Bill",IF(ISNUMBER(SEARCH("M-Shwari",C924)),"Mshwari",IF(ISNUMBER(SEARCH("Mshwari",C924)),"Mshwari",IF(ISNUMBER(SEARCH("Withdrawal charge",C924)),"Fees",IF(ISNUMBER(SEARCH("Customer Withdrawal",C924)),"Fees",IF(ISNUMBER(SEARCH("charge",C924)),"Fees","Other")))))))))))))))))))))))))</f>
        <v>Money In</v>
      </c>
      <c r="R924" s="1" t="str">
        <f aca="false">TEXT(B924,"MMM YYYY")</f>
        <v>May 2026</v>
      </c>
    </row>
    <row r="925" customFormat="false" ht="13.8" hidden="false" customHeight="false" outlineLevel="0" collapsed="false">
      <c r="A925" s="4" t="s">
        <v>1913</v>
      </c>
      <c r="B925" s="4" t="s">
        <v>1914</v>
      </c>
      <c r="C925" s="4" t="s">
        <v>1915</v>
      </c>
      <c r="D925" s="4" t="s">
        <v>18</v>
      </c>
      <c r="E925" s="4"/>
      <c r="F925" s="4" t="n">
        <v>650</v>
      </c>
      <c r="G925" s="4" t="n">
        <v>231.78</v>
      </c>
      <c r="L925" s="1" t="str">
        <f aca="false">IF(ISNUMBER(SEARCH("Bundle",C925)),"Bundles",IF(ISNUMBER(SEARCH("Airtime",C925)),"Bundles",IF(ISNUMBER(SEARCH("Merchant",C925)),"Merchant Payment",IF(ISNUMBER(SEARCH("Offnet C2B",C925)),"Merchant Payment",IF(ISNUMBER(SEARCH("Offnet B2C",C925)),"Merchant Payment",IF(ISNUMBER(SEARCH("Customer Payment to Small",C925)),"Merchant Payment",IF(ISNUMBER(SEARCH("Payment to Small Business",C925)),"Merchant Payment",IF(ISNUMBER(SEARCH("Sent to",C925)),"Sent to Person",IF(ISNUMBER(SEARCH("Customer Transfer to",C925)),"Sent to Person",IF(ISNUMBER(SEARCH("Business Payment",C925)),"Money In",IF(ISNUMBER(SEARCH("Funds Received",C925)),"Money In",IF(ISNUMBER(SEARCH("Receive International",C925)),"Money In",IF(ISNUMBER(SEARCH("Send Money Reversal",C925)),"Money In",IF(ISNUMBER(SEARCH("Pay Utility Reversal",C925)),"Money In",IF(ISNUMBER(SEARCH("Customer Transfer",C925)),"Money In",IF(ISNUMBER(SEARCH("Ziidi",C925)),"Investment",IF(ISNUMBER(SEARCH("Nabo",C925)),"Investment",IF(ISNUMBER(SEARCH("Paybill Online",C925)),"Pay Bill",IF(ISNUMBER(SEARCH("Pay Bill",C925)),"Pay Bill",IF(ISNUMBER(SEARCH("Spotify",C925)),"Pay Bill",IF(ISNUMBER(SEARCH("M-Shwari",C925)),"Mshwari",IF(ISNUMBER(SEARCH("Mshwari",C925)),"Mshwari",IF(ISNUMBER(SEARCH("Withdrawal charge",C925)),"Fees",IF(ISNUMBER(SEARCH("Customer Withdrawal",C925)),"Fees",IF(ISNUMBER(SEARCH("charge",C925)),"Fees","Other")))))))))))))))))))))))))</f>
        <v>Sent to Person</v>
      </c>
      <c r="R925" s="1" t="str">
        <f aca="false">TEXT(B925,"MMM YYYY")</f>
        <v>May 2026</v>
      </c>
    </row>
    <row r="926" customFormat="false" ht="13.8" hidden="false" customHeight="false" outlineLevel="0" collapsed="false">
      <c r="A926" s="4" t="s">
        <v>1916</v>
      </c>
      <c r="B926" s="4" t="s">
        <v>1917</v>
      </c>
      <c r="C926" s="4" t="s">
        <v>1533</v>
      </c>
      <c r="D926" s="4" t="s">
        <v>18</v>
      </c>
      <c r="E926" s="4"/>
      <c r="F926" s="4" t="n">
        <v>11</v>
      </c>
      <c r="G926" s="4" t="n">
        <v>107.78</v>
      </c>
      <c r="L926" s="1" t="str">
        <f aca="false">IF(ISNUMBER(SEARCH("Bundle",C926)),"Bundles",IF(ISNUMBER(SEARCH("Airtime",C926)),"Bundles",IF(ISNUMBER(SEARCH("Merchant",C926)),"Merchant Payment",IF(ISNUMBER(SEARCH("Offnet C2B",C926)),"Merchant Payment",IF(ISNUMBER(SEARCH("Offnet B2C",C926)),"Merchant Payment",IF(ISNUMBER(SEARCH("Customer Payment to Small",C926)),"Merchant Payment",IF(ISNUMBER(SEARCH("Payment to Small Business",C926)),"Merchant Payment",IF(ISNUMBER(SEARCH("Sent to",C926)),"Sent to Person",IF(ISNUMBER(SEARCH("Customer Transfer to",C926)),"Sent to Person",IF(ISNUMBER(SEARCH("Business Payment",C926)),"Money In",IF(ISNUMBER(SEARCH("Funds Received",C926)),"Money In",IF(ISNUMBER(SEARCH("Receive International",C926)),"Money In",IF(ISNUMBER(SEARCH("Send Money Reversal",C926)),"Money In",IF(ISNUMBER(SEARCH("Pay Utility Reversal",C926)),"Money In",IF(ISNUMBER(SEARCH("Customer Transfer",C926)),"Money In",IF(ISNUMBER(SEARCH("Ziidi",C926)),"Investment",IF(ISNUMBER(SEARCH("Nabo",C926)),"Investment",IF(ISNUMBER(SEARCH("Paybill Online",C926)),"Pay Bill",IF(ISNUMBER(SEARCH("Pay Bill",C926)),"Pay Bill",IF(ISNUMBER(SEARCH("Spotify",C926)),"Pay Bill",IF(ISNUMBER(SEARCH("M-Shwari",C926)),"Mshwari",IF(ISNUMBER(SEARCH("Mshwari",C926)),"Mshwari",IF(ISNUMBER(SEARCH("Withdrawal charge",C926)),"Fees",IF(ISNUMBER(SEARCH("Customer Withdrawal",C926)),"Fees",IF(ISNUMBER(SEARCH("charge",C926)),"Fees","Other")))))))))))))))))))))))))</f>
        <v>Fees</v>
      </c>
      <c r="R926" s="1" t="str">
        <f aca="false">TEXT(B926,"MMM YYYY")</f>
        <v>May 2026</v>
      </c>
    </row>
    <row r="927" customFormat="false" ht="13.8" hidden="false" customHeight="false" outlineLevel="0" collapsed="false">
      <c r="A927" s="4" t="s">
        <v>1916</v>
      </c>
      <c r="B927" s="4" t="s">
        <v>1917</v>
      </c>
      <c r="C927" s="4" t="s">
        <v>1918</v>
      </c>
      <c r="D927" s="4" t="s">
        <v>18</v>
      </c>
      <c r="E927" s="4"/>
      <c r="F927" s="4" t="n">
        <v>100</v>
      </c>
      <c r="G927" s="4" t="n">
        <v>118.78</v>
      </c>
      <c r="L927" s="1" t="str">
        <f aca="false">IF(ISNUMBER(SEARCH("Bundle",C927)),"Bundles",IF(ISNUMBER(SEARCH("Airtime",C927)),"Bundles",IF(ISNUMBER(SEARCH("Merchant",C927)),"Merchant Payment",IF(ISNUMBER(SEARCH("Offnet C2B",C927)),"Merchant Payment",IF(ISNUMBER(SEARCH("Offnet B2C",C927)),"Merchant Payment",IF(ISNUMBER(SEARCH("Customer Payment to Small",C927)),"Merchant Payment",IF(ISNUMBER(SEARCH("Payment to Small Business",C927)),"Merchant Payment",IF(ISNUMBER(SEARCH("Sent to",C927)),"Sent to Person",IF(ISNUMBER(SEARCH("Customer Transfer to",C927)),"Sent to Person",IF(ISNUMBER(SEARCH("Business Payment",C927)),"Money In",IF(ISNUMBER(SEARCH("Funds Received",C927)),"Money In",IF(ISNUMBER(SEARCH("Receive International",C927)),"Money In",IF(ISNUMBER(SEARCH("Send Money Reversal",C927)),"Money In",IF(ISNUMBER(SEARCH("Pay Utility Reversal",C927)),"Money In",IF(ISNUMBER(SEARCH("Customer Transfer",C927)),"Money In",IF(ISNUMBER(SEARCH("Ziidi",C927)),"Investment",IF(ISNUMBER(SEARCH("Nabo",C927)),"Investment",IF(ISNUMBER(SEARCH("Paybill Online",C927)),"Pay Bill",IF(ISNUMBER(SEARCH("Pay Bill",C927)),"Pay Bill",IF(ISNUMBER(SEARCH("Spotify",C927)),"Pay Bill",IF(ISNUMBER(SEARCH("M-Shwari",C927)),"Mshwari",IF(ISNUMBER(SEARCH("Mshwari",C927)),"Mshwari",IF(ISNUMBER(SEARCH("Withdrawal charge",C927)),"Fees",IF(ISNUMBER(SEARCH("Customer Withdrawal",C927)),"Fees",IF(ISNUMBER(SEARCH("charge",C927)),"Fees","Other")))))))))))))))))))))))))</f>
        <v>Fees</v>
      </c>
      <c r="R927" s="1" t="str">
        <f aca="false">TEXT(B927,"MMM YYYY")</f>
        <v>May 2026</v>
      </c>
    </row>
    <row r="928" customFormat="false" ht="13.8" hidden="false" customHeight="false" outlineLevel="0" collapsed="false">
      <c r="A928" s="4" t="s">
        <v>1919</v>
      </c>
      <c r="B928" s="4" t="s">
        <v>1920</v>
      </c>
      <c r="C928" s="4" t="s">
        <v>1921</v>
      </c>
      <c r="D928" s="4" t="s">
        <v>18</v>
      </c>
      <c r="E928" s="4" t="n">
        <v>60</v>
      </c>
      <c r="F928" s="4"/>
      <c r="G928" s="4" t="n">
        <v>167.78</v>
      </c>
      <c r="L928" s="1" t="str">
        <f aca="false">IF(ISNUMBER(SEARCH("Bundle",C928)),"Bundles",IF(ISNUMBER(SEARCH("Airtime",C928)),"Bundles",IF(ISNUMBER(SEARCH("Merchant",C928)),"Merchant Payment",IF(ISNUMBER(SEARCH("Offnet C2B",C928)),"Merchant Payment",IF(ISNUMBER(SEARCH("Offnet B2C",C928)),"Merchant Payment",IF(ISNUMBER(SEARCH("Customer Payment to Small",C928)),"Merchant Payment",IF(ISNUMBER(SEARCH("Payment to Small Business",C928)),"Merchant Payment",IF(ISNUMBER(SEARCH("Sent to",C928)),"Sent to Person",IF(ISNUMBER(SEARCH("Customer Transfer to",C928)),"Sent to Person",IF(ISNUMBER(SEARCH("Business Payment",C928)),"Money In",IF(ISNUMBER(SEARCH("Funds Received",C928)),"Money In",IF(ISNUMBER(SEARCH("Receive International",C928)),"Money In",IF(ISNUMBER(SEARCH("Send Money Reversal",C928)),"Money In",IF(ISNUMBER(SEARCH("Pay Utility Reversal",C928)),"Money In",IF(ISNUMBER(SEARCH("Customer Transfer",C928)),"Money In",IF(ISNUMBER(SEARCH("Ziidi",C928)),"Investment",IF(ISNUMBER(SEARCH("Nabo",C928)),"Investment",IF(ISNUMBER(SEARCH("Paybill Online",C928)),"Pay Bill",IF(ISNUMBER(SEARCH("Pay Bill",C928)),"Pay Bill",IF(ISNUMBER(SEARCH("Spotify",C928)),"Pay Bill",IF(ISNUMBER(SEARCH("M-Shwari",C928)),"Mshwari",IF(ISNUMBER(SEARCH("Mshwari",C928)),"Mshwari",IF(ISNUMBER(SEARCH("Withdrawal charge",C928)),"Fees",IF(ISNUMBER(SEARCH("Customer Withdrawal",C928)),"Fees",IF(ISNUMBER(SEARCH("charge",C928)),"Fees","Other")))))))))))))))))))))))))</f>
        <v>Money In</v>
      </c>
      <c r="R928" s="1" t="str">
        <f aca="false">TEXT(B928,"MMM YYYY")</f>
        <v>May 2026</v>
      </c>
    </row>
    <row r="929" customFormat="false" ht="13.8" hidden="false" customHeight="false" outlineLevel="0" collapsed="false">
      <c r="A929" s="4" t="s">
        <v>1922</v>
      </c>
      <c r="B929" s="4" t="s">
        <v>1923</v>
      </c>
      <c r="C929" s="4" t="s">
        <v>1924</v>
      </c>
      <c r="D929" s="4" t="s">
        <v>18</v>
      </c>
      <c r="E929" s="4" t="n">
        <v>50</v>
      </c>
      <c r="F929" s="4"/>
      <c r="G929" s="4" t="n">
        <v>217.78</v>
      </c>
      <c r="L929" s="1" t="str">
        <f aca="false">IF(ISNUMBER(SEARCH("Bundle",C929)),"Bundles",IF(ISNUMBER(SEARCH("Airtime",C929)),"Bundles",IF(ISNUMBER(SEARCH("Merchant",C929)),"Merchant Payment",IF(ISNUMBER(SEARCH("Offnet C2B",C929)),"Merchant Payment",IF(ISNUMBER(SEARCH("Offnet B2C",C929)),"Merchant Payment",IF(ISNUMBER(SEARCH("Customer Payment to Small",C929)),"Merchant Payment",IF(ISNUMBER(SEARCH("Payment to Small Business",C929)),"Merchant Payment",IF(ISNUMBER(SEARCH("Sent to",C929)),"Sent to Person",IF(ISNUMBER(SEARCH("Customer Transfer to",C929)),"Sent to Person",IF(ISNUMBER(SEARCH("Business Payment",C929)),"Money In",IF(ISNUMBER(SEARCH("Funds Received",C929)),"Money In",IF(ISNUMBER(SEARCH("Receive International",C929)),"Money In",IF(ISNUMBER(SEARCH("Send Money Reversal",C929)),"Money In",IF(ISNUMBER(SEARCH("Pay Utility Reversal",C929)),"Money In",IF(ISNUMBER(SEARCH("Customer Transfer",C929)),"Money In",IF(ISNUMBER(SEARCH("Ziidi",C929)),"Investment",IF(ISNUMBER(SEARCH("Nabo",C929)),"Investment",IF(ISNUMBER(SEARCH("Paybill Online",C929)),"Pay Bill",IF(ISNUMBER(SEARCH("Pay Bill",C929)),"Pay Bill",IF(ISNUMBER(SEARCH("Spotify",C929)),"Pay Bill",IF(ISNUMBER(SEARCH("M-Shwari",C929)),"Mshwari",IF(ISNUMBER(SEARCH("Mshwari",C929)),"Mshwari",IF(ISNUMBER(SEARCH("Withdrawal charge",C929)),"Fees",IF(ISNUMBER(SEARCH("Customer Withdrawal",C929)),"Fees",IF(ISNUMBER(SEARCH("charge",C929)),"Fees","Other")))))))))))))))))))))))))</f>
        <v>Money In</v>
      </c>
      <c r="R929" s="1" t="str">
        <f aca="false">TEXT(B929,"MMM YYYY")</f>
        <v>May 2026</v>
      </c>
    </row>
    <row r="930" customFormat="false" ht="13.8" hidden="false" customHeight="false" outlineLevel="0" collapsed="false">
      <c r="A930" s="4" t="s">
        <v>1925</v>
      </c>
      <c r="B930" s="4" t="s">
        <v>1926</v>
      </c>
      <c r="C930" s="4" t="s">
        <v>1927</v>
      </c>
      <c r="D930" s="4" t="s">
        <v>18</v>
      </c>
      <c r="E930" s="4" t="n">
        <v>60</v>
      </c>
      <c r="F930" s="4"/>
      <c r="G930" s="4" t="n">
        <v>277.78</v>
      </c>
      <c r="L930" s="1" t="str">
        <f aca="false">IF(ISNUMBER(SEARCH("Bundle",C930)),"Bundles",IF(ISNUMBER(SEARCH("Airtime",C930)),"Bundles",IF(ISNUMBER(SEARCH("Merchant",C930)),"Merchant Payment",IF(ISNUMBER(SEARCH("Offnet C2B",C930)),"Merchant Payment",IF(ISNUMBER(SEARCH("Offnet B2C",C930)),"Merchant Payment",IF(ISNUMBER(SEARCH("Customer Payment to Small",C930)),"Merchant Payment",IF(ISNUMBER(SEARCH("Payment to Small Business",C930)),"Merchant Payment",IF(ISNUMBER(SEARCH("Sent to",C930)),"Sent to Person",IF(ISNUMBER(SEARCH("Customer Transfer to",C930)),"Sent to Person",IF(ISNUMBER(SEARCH("Business Payment",C930)),"Money In",IF(ISNUMBER(SEARCH("Funds Received",C930)),"Money In",IF(ISNUMBER(SEARCH("Receive International",C930)),"Money In",IF(ISNUMBER(SEARCH("Send Money Reversal",C930)),"Money In",IF(ISNUMBER(SEARCH("Pay Utility Reversal",C930)),"Money In",IF(ISNUMBER(SEARCH("Customer Transfer",C930)),"Money In",IF(ISNUMBER(SEARCH("Ziidi",C930)),"Investment",IF(ISNUMBER(SEARCH("Nabo",C930)),"Investment",IF(ISNUMBER(SEARCH("Paybill Online",C930)),"Pay Bill",IF(ISNUMBER(SEARCH("Pay Bill",C930)),"Pay Bill",IF(ISNUMBER(SEARCH("Spotify",C930)),"Pay Bill",IF(ISNUMBER(SEARCH("M-Shwari",C930)),"Mshwari",IF(ISNUMBER(SEARCH("Mshwari",C930)),"Mshwari",IF(ISNUMBER(SEARCH("Withdrawal charge",C930)),"Fees",IF(ISNUMBER(SEARCH("Customer Withdrawal",C930)),"Fees",IF(ISNUMBER(SEARCH("charge",C930)),"Fees","Other")))))))))))))))))))))))))</f>
        <v>Money In</v>
      </c>
      <c r="R930" s="1" t="str">
        <f aca="false">TEXT(B930,"MMM YYYY")</f>
        <v>May 2026</v>
      </c>
    </row>
    <row r="931" customFormat="false" ht="13.8" hidden="false" customHeight="false" outlineLevel="0" collapsed="false">
      <c r="A931" s="4" t="s">
        <v>1928</v>
      </c>
      <c r="B931" s="4" t="s">
        <v>1929</v>
      </c>
      <c r="C931" s="4" t="s">
        <v>435</v>
      </c>
      <c r="D931" s="4" t="s">
        <v>18</v>
      </c>
      <c r="E931" s="4"/>
      <c r="F931" s="4" t="n">
        <v>80</v>
      </c>
      <c r="G931" s="4" t="n">
        <v>197.78</v>
      </c>
      <c r="L931" s="1" t="str">
        <f aca="false">IF(ISNUMBER(SEARCH("Bundle",C931)),"Bundles",IF(ISNUMBER(SEARCH("Airtime",C931)),"Bundles",IF(ISNUMBER(SEARCH("Merchant",C931)),"Merchant Payment",IF(ISNUMBER(SEARCH("Offnet C2B",C931)),"Merchant Payment",IF(ISNUMBER(SEARCH("Offnet B2C",C931)),"Merchant Payment",IF(ISNUMBER(SEARCH("Customer Payment to Small",C931)),"Merchant Payment",IF(ISNUMBER(SEARCH("Payment to Small Business",C931)),"Merchant Payment",IF(ISNUMBER(SEARCH("Sent to",C931)),"Sent to Person",IF(ISNUMBER(SEARCH("Customer Transfer to",C931)),"Sent to Person",IF(ISNUMBER(SEARCH("Business Payment",C931)),"Money In",IF(ISNUMBER(SEARCH("Funds Received",C931)),"Money In",IF(ISNUMBER(SEARCH("Receive International",C931)),"Money In",IF(ISNUMBER(SEARCH("Send Money Reversal",C931)),"Money In",IF(ISNUMBER(SEARCH("Pay Utility Reversal",C931)),"Money In",IF(ISNUMBER(SEARCH("Customer Transfer",C931)),"Money In",IF(ISNUMBER(SEARCH("Ziidi",C931)),"Investment",IF(ISNUMBER(SEARCH("Nabo",C931)),"Investment",IF(ISNUMBER(SEARCH("Paybill Online",C931)),"Pay Bill",IF(ISNUMBER(SEARCH("Pay Bill",C931)),"Pay Bill",IF(ISNUMBER(SEARCH("Spotify",C931)),"Pay Bill",IF(ISNUMBER(SEARCH("M-Shwari",C931)),"Mshwari",IF(ISNUMBER(SEARCH("Mshwari",C931)),"Mshwari",IF(ISNUMBER(SEARCH("Withdrawal charge",C931)),"Fees",IF(ISNUMBER(SEARCH("Customer Withdrawal",C931)),"Fees",IF(ISNUMBER(SEARCH("charge",C931)),"Fees","Other")))))))))))))))))))))))))</f>
        <v>Merchant Payment</v>
      </c>
      <c r="R931" s="1" t="str">
        <f aca="false">TEXT(B931,"MMM YYYY")</f>
        <v>May 2026</v>
      </c>
    </row>
    <row r="932" customFormat="false" ht="13.8" hidden="false" customHeight="false" outlineLevel="0" collapsed="false">
      <c r="A932" s="4" t="s">
        <v>1930</v>
      </c>
      <c r="B932" s="4" t="s">
        <v>1931</v>
      </c>
      <c r="C932" s="4" t="s">
        <v>1564</v>
      </c>
      <c r="D932" s="4" t="s">
        <v>18</v>
      </c>
      <c r="E932" s="4"/>
      <c r="F932" s="4" t="n">
        <v>170</v>
      </c>
      <c r="G932" s="4" t="n">
        <v>27.78</v>
      </c>
      <c r="L932" s="1" t="str">
        <f aca="false">IF(ISNUMBER(SEARCH("Bundle",C932)),"Bundles",IF(ISNUMBER(SEARCH("Airtime",C932)),"Bundles",IF(ISNUMBER(SEARCH("Merchant",C932)),"Merchant Payment",IF(ISNUMBER(SEARCH("Offnet C2B",C932)),"Merchant Payment",IF(ISNUMBER(SEARCH("Offnet B2C",C932)),"Merchant Payment",IF(ISNUMBER(SEARCH("Customer Payment to Small",C932)),"Merchant Payment",IF(ISNUMBER(SEARCH("Payment to Small Business",C932)),"Merchant Payment",IF(ISNUMBER(SEARCH("Sent to",C932)),"Sent to Person",IF(ISNUMBER(SEARCH("Customer Transfer to",C932)),"Sent to Person",IF(ISNUMBER(SEARCH("Business Payment",C932)),"Money In",IF(ISNUMBER(SEARCH("Funds Received",C932)),"Money In",IF(ISNUMBER(SEARCH("Receive International",C932)),"Money In",IF(ISNUMBER(SEARCH("Send Money Reversal",C932)),"Money In",IF(ISNUMBER(SEARCH("Pay Utility Reversal",C932)),"Money In",IF(ISNUMBER(SEARCH("Customer Transfer",C932)),"Money In",IF(ISNUMBER(SEARCH("Ziidi",C932)),"Investment",IF(ISNUMBER(SEARCH("Nabo",C932)),"Investment",IF(ISNUMBER(SEARCH("Paybill Online",C932)),"Pay Bill",IF(ISNUMBER(SEARCH("Pay Bill",C932)),"Pay Bill",IF(ISNUMBER(SEARCH("Spotify",C932)),"Pay Bill",IF(ISNUMBER(SEARCH("M-Shwari",C932)),"Mshwari",IF(ISNUMBER(SEARCH("Mshwari",C932)),"Mshwari",IF(ISNUMBER(SEARCH("Withdrawal charge",C932)),"Fees",IF(ISNUMBER(SEARCH("Customer Withdrawal",C932)),"Fees",IF(ISNUMBER(SEARCH("charge",C932)),"Fees","Other")))))))))))))))))))))))))</f>
        <v>Merchant Payment</v>
      </c>
      <c r="R932" s="1" t="str">
        <f aca="false">TEXT(B932,"MMM YYYY")</f>
        <v>May 2026</v>
      </c>
    </row>
    <row r="933" customFormat="false" ht="13.8" hidden="false" customHeight="false" outlineLevel="0" collapsed="false">
      <c r="A933" s="4" t="s">
        <v>1932</v>
      </c>
      <c r="B933" s="4" t="s">
        <v>1933</v>
      </c>
      <c r="C933" s="4" t="s">
        <v>17</v>
      </c>
      <c r="D933" s="4" t="s">
        <v>18</v>
      </c>
      <c r="E933" s="4"/>
      <c r="F933" s="4" t="n">
        <v>20</v>
      </c>
      <c r="G933" s="4" t="n">
        <v>7.78</v>
      </c>
      <c r="L933" s="1" t="str">
        <f aca="false">IF(ISNUMBER(SEARCH("Bundle",C933)),"Bundles",IF(ISNUMBER(SEARCH("Airtime",C933)),"Bundles",IF(ISNUMBER(SEARCH("Merchant",C933)),"Merchant Payment",IF(ISNUMBER(SEARCH("Offnet C2B",C933)),"Merchant Payment",IF(ISNUMBER(SEARCH("Offnet B2C",C933)),"Merchant Payment",IF(ISNUMBER(SEARCH("Customer Payment to Small",C933)),"Merchant Payment",IF(ISNUMBER(SEARCH("Payment to Small Business",C933)),"Merchant Payment",IF(ISNUMBER(SEARCH("Sent to",C933)),"Sent to Person",IF(ISNUMBER(SEARCH("Customer Transfer to",C933)),"Sent to Person",IF(ISNUMBER(SEARCH("Business Payment",C933)),"Money In",IF(ISNUMBER(SEARCH("Funds Received",C933)),"Money In",IF(ISNUMBER(SEARCH("Receive International",C933)),"Money In",IF(ISNUMBER(SEARCH("Send Money Reversal",C933)),"Money In",IF(ISNUMBER(SEARCH("Pay Utility Reversal",C933)),"Money In",IF(ISNUMBER(SEARCH("Customer Transfer",C933)),"Money In",IF(ISNUMBER(SEARCH("Ziidi",C933)),"Investment",IF(ISNUMBER(SEARCH("Nabo",C933)),"Investment",IF(ISNUMBER(SEARCH("Paybill Online",C933)),"Pay Bill",IF(ISNUMBER(SEARCH("Pay Bill",C933)),"Pay Bill",IF(ISNUMBER(SEARCH("Spotify",C933)),"Pay Bill",IF(ISNUMBER(SEARCH("M-Shwari",C933)),"Mshwari",IF(ISNUMBER(SEARCH("Mshwari",C933)),"Mshwari",IF(ISNUMBER(SEARCH("Withdrawal charge",C933)),"Fees",IF(ISNUMBER(SEARCH("Customer Withdrawal",C933)),"Fees",IF(ISNUMBER(SEARCH("charge",C933)),"Fees","Other")))))))))))))))))))))))))</f>
        <v>Bundles</v>
      </c>
      <c r="R933" s="1" t="str">
        <f aca="false">TEXT(B933,"MMM YYYY")</f>
        <v>May 2026</v>
      </c>
    </row>
    <row r="934" customFormat="false" ht="13.8" hidden="false" customHeight="false" outlineLevel="0" collapsed="false">
      <c r="A934" s="4" t="s">
        <v>1934</v>
      </c>
      <c r="B934" s="4" t="s">
        <v>1935</v>
      </c>
      <c r="C934" s="4" t="s">
        <v>192</v>
      </c>
      <c r="D934" s="4" t="s">
        <v>18</v>
      </c>
      <c r="E934" s="4" t="n">
        <v>2000</v>
      </c>
      <c r="F934" s="4"/>
      <c r="G934" s="4" t="n">
        <v>2007.78</v>
      </c>
      <c r="L934" s="1" t="str">
        <f aca="false">IF(ISNUMBER(SEARCH("Bundle",C934)),"Bundles",IF(ISNUMBER(SEARCH("Airtime",C934)),"Bundles",IF(ISNUMBER(SEARCH("Merchant",C934)),"Merchant Payment",IF(ISNUMBER(SEARCH("Offnet C2B",C934)),"Merchant Payment",IF(ISNUMBER(SEARCH("Offnet B2C",C934)),"Merchant Payment",IF(ISNUMBER(SEARCH("Customer Payment to Small",C934)),"Merchant Payment",IF(ISNUMBER(SEARCH("Payment to Small Business",C934)),"Merchant Payment",IF(ISNUMBER(SEARCH("Sent to",C934)),"Sent to Person",IF(ISNUMBER(SEARCH("Customer Transfer to",C934)),"Sent to Person",IF(ISNUMBER(SEARCH("Business Payment",C934)),"Money In",IF(ISNUMBER(SEARCH("Funds Received",C934)),"Money In",IF(ISNUMBER(SEARCH("Receive International",C934)),"Money In",IF(ISNUMBER(SEARCH("Send Money Reversal",C934)),"Money In",IF(ISNUMBER(SEARCH("Pay Utility Reversal",C934)),"Money In",IF(ISNUMBER(SEARCH("Customer Transfer",C934)),"Money In",IF(ISNUMBER(SEARCH("Ziidi",C934)),"Investment",IF(ISNUMBER(SEARCH("Nabo",C934)),"Investment",IF(ISNUMBER(SEARCH("Paybill Online",C934)),"Pay Bill",IF(ISNUMBER(SEARCH("Pay Bill",C934)),"Pay Bill",IF(ISNUMBER(SEARCH("Spotify",C934)),"Pay Bill",IF(ISNUMBER(SEARCH("M-Shwari",C934)),"Mshwari",IF(ISNUMBER(SEARCH("Mshwari",C934)),"Mshwari",IF(ISNUMBER(SEARCH("Withdrawal charge",C934)),"Fees",IF(ISNUMBER(SEARCH("Customer Withdrawal",C934)),"Fees",IF(ISNUMBER(SEARCH("charge",C934)),"Fees","Other")))))))))))))))))))))))))</f>
        <v>Mshwari</v>
      </c>
      <c r="R934" s="1" t="str">
        <f aca="false">TEXT(B934,"MMM YYYY")</f>
        <v>May 2026</v>
      </c>
    </row>
    <row r="935" customFormat="false" ht="13.8" hidden="false" customHeight="false" outlineLevel="0" collapsed="false">
      <c r="A935" s="4" t="s">
        <v>1936</v>
      </c>
      <c r="B935" s="4" t="s">
        <v>1937</v>
      </c>
      <c r="C935" s="4" t="s">
        <v>675</v>
      </c>
      <c r="D935" s="4" t="s">
        <v>18</v>
      </c>
      <c r="E935" s="4"/>
      <c r="F935" s="4" t="n">
        <v>80</v>
      </c>
      <c r="G935" s="4" t="n">
        <v>1927.78</v>
      </c>
      <c r="L935" s="1" t="str">
        <f aca="false">IF(ISNUMBER(SEARCH("Bundle",C935)),"Bundles",IF(ISNUMBER(SEARCH("Airtime",C935)),"Bundles",IF(ISNUMBER(SEARCH("Merchant",C935)),"Merchant Payment",IF(ISNUMBER(SEARCH("Offnet C2B",C935)),"Merchant Payment",IF(ISNUMBER(SEARCH("Offnet B2C",C935)),"Merchant Payment",IF(ISNUMBER(SEARCH("Customer Payment to Small",C935)),"Merchant Payment",IF(ISNUMBER(SEARCH("Payment to Small Business",C935)),"Merchant Payment",IF(ISNUMBER(SEARCH("Sent to",C935)),"Sent to Person",IF(ISNUMBER(SEARCH("Customer Transfer to",C935)),"Sent to Person",IF(ISNUMBER(SEARCH("Business Payment",C935)),"Money In",IF(ISNUMBER(SEARCH("Funds Received",C935)),"Money In",IF(ISNUMBER(SEARCH("Receive International",C935)),"Money In",IF(ISNUMBER(SEARCH("Send Money Reversal",C935)),"Money In",IF(ISNUMBER(SEARCH("Pay Utility Reversal",C935)),"Money In",IF(ISNUMBER(SEARCH("Customer Transfer",C935)),"Money In",IF(ISNUMBER(SEARCH("Ziidi",C935)),"Investment",IF(ISNUMBER(SEARCH("Nabo",C935)),"Investment",IF(ISNUMBER(SEARCH("Paybill Online",C935)),"Pay Bill",IF(ISNUMBER(SEARCH("Pay Bill",C935)),"Pay Bill",IF(ISNUMBER(SEARCH("Spotify",C935)),"Pay Bill",IF(ISNUMBER(SEARCH("M-Shwari",C935)),"Mshwari",IF(ISNUMBER(SEARCH("Mshwari",C935)),"Mshwari",IF(ISNUMBER(SEARCH("Withdrawal charge",C935)),"Fees",IF(ISNUMBER(SEARCH("Customer Withdrawal",C935)),"Fees",IF(ISNUMBER(SEARCH("charge",C935)),"Fees","Other")))))))))))))))))))))))))</f>
        <v>Merchant Payment</v>
      </c>
      <c r="R935" s="1" t="str">
        <f aca="false">TEXT(B935,"MMM YYYY")</f>
        <v>May 2026</v>
      </c>
    </row>
    <row r="936" customFormat="false" ht="13.8" hidden="false" customHeight="false" outlineLevel="0" collapsed="false">
      <c r="A936" s="4" t="s">
        <v>1938</v>
      </c>
      <c r="B936" s="4" t="s">
        <v>1939</v>
      </c>
      <c r="C936" s="4" t="s">
        <v>29</v>
      </c>
      <c r="D936" s="4" t="s">
        <v>18</v>
      </c>
      <c r="E936" s="4"/>
      <c r="F936" s="4" t="n">
        <v>10</v>
      </c>
      <c r="G936" s="4" t="n">
        <v>1917.78</v>
      </c>
      <c r="L936" s="1" t="str">
        <f aca="false">IF(ISNUMBER(SEARCH("Bundle",C936)),"Bundles",IF(ISNUMBER(SEARCH("Airtime",C936)),"Bundles",IF(ISNUMBER(SEARCH("Merchant",C936)),"Merchant Payment",IF(ISNUMBER(SEARCH("Offnet C2B",C936)),"Merchant Payment",IF(ISNUMBER(SEARCH("Offnet B2C",C936)),"Merchant Payment",IF(ISNUMBER(SEARCH("Customer Payment to Small",C936)),"Merchant Payment",IF(ISNUMBER(SEARCH("Payment to Small Business",C936)),"Merchant Payment",IF(ISNUMBER(SEARCH("Sent to",C936)),"Sent to Person",IF(ISNUMBER(SEARCH("Customer Transfer to",C936)),"Sent to Person",IF(ISNUMBER(SEARCH("Business Payment",C936)),"Money In",IF(ISNUMBER(SEARCH("Funds Received",C936)),"Money In",IF(ISNUMBER(SEARCH("Receive International",C936)),"Money In",IF(ISNUMBER(SEARCH("Send Money Reversal",C936)),"Money In",IF(ISNUMBER(SEARCH("Pay Utility Reversal",C936)),"Money In",IF(ISNUMBER(SEARCH("Customer Transfer",C936)),"Money In",IF(ISNUMBER(SEARCH("Ziidi",C936)),"Investment",IF(ISNUMBER(SEARCH("Nabo",C936)),"Investment",IF(ISNUMBER(SEARCH("Paybill Online",C936)),"Pay Bill",IF(ISNUMBER(SEARCH("Pay Bill",C936)),"Pay Bill",IF(ISNUMBER(SEARCH("Spotify",C936)),"Pay Bill",IF(ISNUMBER(SEARCH("M-Shwari",C936)),"Mshwari",IF(ISNUMBER(SEARCH("Mshwari",C936)),"Mshwari",IF(ISNUMBER(SEARCH("Withdrawal charge",C936)),"Fees",IF(ISNUMBER(SEARCH("Customer Withdrawal",C936)),"Fees",IF(ISNUMBER(SEARCH("charge",C936)),"Fees","Other")))))))))))))))))))))))))</f>
        <v>Bundles</v>
      </c>
      <c r="R936" s="1" t="str">
        <f aca="false">TEXT(B936,"MMM YYYY")</f>
        <v>May 2026</v>
      </c>
    </row>
    <row r="937" customFormat="false" ht="13.8" hidden="false" customHeight="false" outlineLevel="0" collapsed="false">
      <c r="A937" s="4" t="s">
        <v>1940</v>
      </c>
      <c r="B937" s="4" t="s">
        <v>1941</v>
      </c>
      <c r="C937" s="4" t="s">
        <v>29</v>
      </c>
      <c r="D937" s="4" t="s">
        <v>18</v>
      </c>
      <c r="E937" s="4"/>
      <c r="F937" s="4" t="n">
        <v>10</v>
      </c>
      <c r="G937" s="4" t="n">
        <v>1907.78</v>
      </c>
      <c r="L937" s="1" t="str">
        <f aca="false">IF(ISNUMBER(SEARCH("Bundle",C937)),"Bundles",IF(ISNUMBER(SEARCH("Airtime",C937)),"Bundles",IF(ISNUMBER(SEARCH("Merchant",C937)),"Merchant Payment",IF(ISNUMBER(SEARCH("Offnet C2B",C937)),"Merchant Payment",IF(ISNUMBER(SEARCH("Offnet B2C",C937)),"Merchant Payment",IF(ISNUMBER(SEARCH("Customer Payment to Small",C937)),"Merchant Payment",IF(ISNUMBER(SEARCH("Payment to Small Business",C937)),"Merchant Payment",IF(ISNUMBER(SEARCH("Sent to",C937)),"Sent to Person",IF(ISNUMBER(SEARCH("Customer Transfer to",C937)),"Sent to Person",IF(ISNUMBER(SEARCH("Business Payment",C937)),"Money In",IF(ISNUMBER(SEARCH("Funds Received",C937)),"Money In",IF(ISNUMBER(SEARCH("Receive International",C937)),"Money In",IF(ISNUMBER(SEARCH("Send Money Reversal",C937)),"Money In",IF(ISNUMBER(SEARCH("Pay Utility Reversal",C937)),"Money In",IF(ISNUMBER(SEARCH("Customer Transfer",C937)),"Money In",IF(ISNUMBER(SEARCH("Ziidi",C937)),"Investment",IF(ISNUMBER(SEARCH("Nabo",C937)),"Investment",IF(ISNUMBER(SEARCH("Paybill Online",C937)),"Pay Bill",IF(ISNUMBER(SEARCH("Pay Bill",C937)),"Pay Bill",IF(ISNUMBER(SEARCH("Spotify",C937)),"Pay Bill",IF(ISNUMBER(SEARCH("M-Shwari",C937)),"Mshwari",IF(ISNUMBER(SEARCH("Mshwari",C937)),"Mshwari",IF(ISNUMBER(SEARCH("Withdrawal charge",C937)),"Fees",IF(ISNUMBER(SEARCH("Customer Withdrawal",C937)),"Fees",IF(ISNUMBER(SEARCH("charge",C937)),"Fees","Other")))))))))))))))))))))))))</f>
        <v>Bundles</v>
      </c>
      <c r="R937" s="1" t="str">
        <f aca="false">TEXT(B937,"MMM YYYY")</f>
        <v>May 2026</v>
      </c>
    </row>
    <row r="938" customFormat="false" ht="13.8" hidden="false" customHeight="false" outlineLevel="0" collapsed="false">
      <c r="A938" s="4" t="s">
        <v>1942</v>
      </c>
      <c r="B938" s="4" t="s">
        <v>1943</v>
      </c>
      <c r="C938" s="4" t="s">
        <v>1944</v>
      </c>
      <c r="D938" s="4" t="s">
        <v>18</v>
      </c>
      <c r="E938" s="4"/>
      <c r="F938" s="4" t="n">
        <v>80</v>
      </c>
      <c r="G938" s="4" t="n">
        <v>1827.78</v>
      </c>
      <c r="L938" s="1" t="str">
        <f aca="false">IF(ISNUMBER(SEARCH("Bundle",C938)),"Bundles",IF(ISNUMBER(SEARCH("Airtime",C938)),"Bundles",IF(ISNUMBER(SEARCH("Merchant",C938)),"Merchant Payment",IF(ISNUMBER(SEARCH("Offnet C2B",C938)),"Merchant Payment",IF(ISNUMBER(SEARCH("Offnet B2C",C938)),"Merchant Payment",IF(ISNUMBER(SEARCH("Customer Payment to Small",C938)),"Merchant Payment",IF(ISNUMBER(SEARCH("Payment to Small Business",C938)),"Merchant Payment",IF(ISNUMBER(SEARCH("Sent to",C938)),"Sent to Person",IF(ISNUMBER(SEARCH("Customer Transfer to",C938)),"Sent to Person",IF(ISNUMBER(SEARCH("Business Payment",C938)),"Money In",IF(ISNUMBER(SEARCH("Funds Received",C938)),"Money In",IF(ISNUMBER(SEARCH("Receive International",C938)),"Money In",IF(ISNUMBER(SEARCH("Send Money Reversal",C938)),"Money In",IF(ISNUMBER(SEARCH("Pay Utility Reversal",C938)),"Money In",IF(ISNUMBER(SEARCH("Customer Transfer",C938)),"Money In",IF(ISNUMBER(SEARCH("Ziidi",C938)),"Investment",IF(ISNUMBER(SEARCH("Nabo",C938)),"Investment",IF(ISNUMBER(SEARCH("Paybill Online",C938)),"Pay Bill",IF(ISNUMBER(SEARCH("Pay Bill",C938)),"Pay Bill",IF(ISNUMBER(SEARCH("Spotify",C938)),"Pay Bill",IF(ISNUMBER(SEARCH("M-Shwari",C938)),"Mshwari",IF(ISNUMBER(SEARCH("Mshwari",C938)),"Mshwari",IF(ISNUMBER(SEARCH("Withdrawal charge",C938)),"Fees",IF(ISNUMBER(SEARCH("Customer Withdrawal",C938)),"Fees",IF(ISNUMBER(SEARCH("charge",C938)),"Fees","Other")))))))))))))))))))))))))</f>
        <v>Merchant Payment</v>
      </c>
      <c r="R938" s="1" t="str">
        <f aca="false">TEXT(B938,"MMM YYYY")</f>
        <v>May 2026</v>
      </c>
    </row>
    <row r="939" customFormat="false" ht="13.8" hidden="false" customHeight="false" outlineLevel="0" collapsed="false">
      <c r="A939" s="4" t="s">
        <v>1945</v>
      </c>
      <c r="B939" s="4" t="s">
        <v>1946</v>
      </c>
      <c r="C939" s="4" t="s">
        <v>1010</v>
      </c>
      <c r="D939" s="4" t="s">
        <v>18</v>
      </c>
      <c r="E939" s="4"/>
      <c r="F939" s="4" t="n">
        <v>75</v>
      </c>
      <c r="G939" s="4" t="n">
        <v>1752.78</v>
      </c>
      <c r="L939" s="1" t="str">
        <f aca="false">IF(ISNUMBER(SEARCH("Bundle",C939)),"Bundles",IF(ISNUMBER(SEARCH("Airtime",C939)),"Bundles",IF(ISNUMBER(SEARCH("Merchant",C939)),"Merchant Payment",IF(ISNUMBER(SEARCH("Offnet C2B",C939)),"Merchant Payment",IF(ISNUMBER(SEARCH("Offnet B2C",C939)),"Merchant Payment",IF(ISNUMBER(SEARCH("Customer Payment to Small",C939)),"Merchant Payment",IF(ISNUMBER(SEARCH("Payment to Small Business",C939)),"Merchant Payment",IF(ISNUMBER(SEARCH("Sent to",C939)),"Sent to Person",IF(ISNUMBER(SEARCH("Customer Transfer to",C939)),"Sent to Person",IF(ISNUMBER(SEARCH("Business Payment",C939)),"Money In",IF(ISNUMBER(SEARCH("Funds Received",C939)),"Money In",IF(ISNUMBER(SEARCH("Receive International",C939)),"Money In",IF(ISNUMBER(SEARCH("Send Money Reversal",C939)),"Money In",IF(ISNUMBER(SEARCH("Pay Utility Reversal",C939)),"Money In",IF(ISNUMBER(SEARCH("Customer Transfer",C939)),"Money In",IF(ISNUMBER(SEARCH("Ziidi",C939)),"Investment",IF(ISNUMBER(SEARCH("Nabo",C939)),"Investment",IF(ISNUMBER(SEARCH("Paybill Online",C939)),"Pay Bill",IF(ISNUMBER(SEARCH("Pay Bill",C939)),"Pay Bill",IF(ISNUMBER(SEARCH("Spotify",C939)),"Pay Bill",IF(ISNUMBER(SEARCH("M-Shwari",C939)),"Mshwari",IF(ISNUMBER(SEARCH("Mshwari",C939)),"Mshwari",IF(ISNUMBER(SEARCH("Withdrawal charge",C939)),"Fees",IF(ISNUMBER(SEARCH("Customer Withdrawal",C939)),"Fees",IF(ISNUMBER(SEARCH("charge",C939)),"Fees","Other")))))))))))))))))))))))))</f>
        <v>Merchant Payment</v>
      </c>
      <c r="R939" s="1" t="str">
        <f aca="false">TEXT(B939,"MMM YYYY")</f>
        <v>May 2026</v>
      </c>
    </row>
    <row r="940" customFormat="false" ht="13.8" hidden="false" customHeight="false" outlineLevel="0" collapsed="false">
      <c r="A940" s="4" t="s">
        <v>1947</v>
      </c>
      <c r="B940" s="4" t="s">
        <v>1948</v>
      </c>
      <c r="C940" s="4" t="s">
        <v>1472</v>
      </c>
      <c r="D940" s="4" t="s">
        <v>18</v>
      </c>
      <c r="E940" s="4"/>
      <c r="F940" s="4" t="n">
        <v>100</v>
      </c>
      <c r="G940" s="4" t="n">
        <v>1652.78</v>
      </c>
      <c r="L940" s="1" t="str">
        <f aca="false">IF(ISNUMBER(SEARCH("Bundle",C940)),"Bundles",IF(ISNUMBER(SEARCH("Airtime",C940)),"Bundles",IF(ISNUMBER(SEARCH("Merchant",C940)),"Merchant Payment",IF(ISNUMBER(SEARCH("Offnet C2B",C940)),"Merchant Payment",IF(ISNUMBER(SEARCH("Offnet B2C",C940)),"Merchant Payment",IF(ISNUMBER(SEARCH("Customer Payment to Small",C940)),"Merchant Payment",IF(ISNUMBER(SEARCH("Payment to Small Business",C940)),"Merchant Payment",IF(ISNUMBER(SEARCH("Sent to",C940)),"Sent to Person",IF(ISNUMBER(SEARCH("Customer Transfer to",C940)),"Sent to Person",IF(ISNUMBER(SEARCH("Business Payment",C940)),"Money In",IF(ISNUMBER(SEARCH("Funds Received",C940)),"Money In",IF(ISNUMBER(SEARCH("Receive International",C940)),"Money In",IF(ISNUMBER(SEARCH("Send Money Reversal",C940)),"Money In",IF(ISNUMBER(SEARCH("Pay Utility Reversal",C940)),"Money In",IF(ISNUMBER(SEARCH("Customer Transfer",C940)),"Money In",IF(ISNUMBER(SEARCH("Ziidi",C940)),"Investment",IF(ISNUMBER(SEARCH("Nabo",C940)),"Investment",IF(ISNUMBER(SEARCH("Paybill Online",C940)),"Pay Bill",IF(ISNUMBER(SEARCH("Pay Bill",C940)),"Pay Bill",IF(ISNUMBER(SEARCH("Spotify",C940)),"Pay Bill",IF(ISNUMBER(SEARCH("M-Shwari",C940)),"Mshwari",IF(ISNUMBER(SEARCH("Mshwari",C940)),"Mshwari",IF(ISNUMBER(SEARCH("Withdrawal charge",C940)),"Fees",IF(ISNUMBER(SEARCH("Customer Withdrawal",C940)),"Fees",IF(ISNUMBER(SEARCH("charge",C940)),"Fees","Other")))))))))))))))))))))))))</f>
        <v>Pay Bill</v>
      </c>
      <c r="R940" s="1" t="str">
        <f aca="false">TEXT(B940,"MMM YYYY")</f>
        <v>May 2026</v>
      </c>
    </row>
    <row r="941" customFormat="false" ht="13.8" hidden="false" customHeight="false" outlineLevel="0" collapsed="false">
      <c r="A941" s="4" t="s">
        <v>1949</v>
      </c>
      <c r="B941" s="4" t="s">
        <v>1950</v>
      </c>
      <c r="C941" s="4" t="s">
        <v>621</v>
      </c>
      <c r="D941" s="4" t="s">
        <v>18</v>
      </c>
      <c r="E941" s="4"/>
      <c r="F941" s="4" t="n">
        <v>1500</v>
      </c>
      <c r="G941" s="4" t="n">
        <v>152.78</v>
      </c>
      <c r="L941" s="1" t="str">
        <f aca="false">IF(ISNUMBER(SEARCH("Bundle",C941)),"Bundles",IF(ISNUMBER(SEARCH("Airtime",C941)),"Bundles",IF(ISNUMBER(SEARCH("Merchant",C941)),"Merchant Payment",IF(ISNUMBER(SEARCH("Offnet C2B",C941)),"Merchant Payment",IF(ISNUMBER(SEARCH("Offnet B2C",C941)),"Merchant Payment",IF(ISNUMBER(SEARCH("Customer Payment to Small",C941)),"Merchant Payment",IF(ISNUMBER(SEARCH("Payment to Small Business",C941)),"Merchant Payment",IF(ISNUMBER(SEARCH("Sent to",C941)),"Sent to Person",IF(ISNUMBER(SEARCH("Customer Transfer to",C941)),"Sent to Person",IF(ISNUMBER(SEARCH("Business Payment",C941)),"Money In",IF(ISNUMBER(SEARCH("Funds Received",C941)),"Money In",IF(ISNUMBER(SEARCH("Receive International",C941)),"Money In",IF(ISNUMBER(SEARCH("Send Money Reversal",C941)),"Money In",IF(ISNUMBER(SEARCH("Pay Utility Reversal",C941)),"Money In",IF(ISNUMBER(SEARCH("Customer Transfer",C941)),"Money In",IF(ISNUMBER(SEARCH("Ziidi",C941)),"Investment",IF(ISNUMBER(SEARCH("Nabo",C941)),"Investment",IF(ISNUMBER(SEARCH("Paybill Online",C941)),"Pay Bill",IF(ISNUMBER(SEARCH("Pay Bill",C941)),"Pay Bill",IF(ISNUMBER(SEARCH("Spotify",C941)),"Pay Bill",IF(ISNUMBER(SEARCH("M-Shwari",C941)),"Mshwari",IF(ISNUMBER(SEARCH("Mshwari",C941)),"Mshwari",IF(ISNUMBER(SEARCH("Withdrawal charge",C941)),"Fees",IF(ISNUMBER(SEARCH("Customer Withdrawal",C941)),"Fees",IF(ISNUMBER(SEARCH("charge",C941)),"Fees","Other")))))))))))))))))))))))))</f>
        <v>Mshwari</v>
      </c>
      <c r="R941" s="1" t="str">
        <f aca="false">TEXT(B941,"MMM YYYY")</f>
        <v>May 2026</v>
      </c>
    </row>
    <row r="942" customFormat="false" ht="13.8" hidden="false" customHeight="false" outlineLevel="0" collapsed="false">
      <c r="A942" s="4" t="s">
        <v>1951</v>
      </c>
      <c r="B942" s="4" t="s">
        <v>1952</v>
      </c>
      <c r="C942" s="4" t="s">
        <v>17</v>
      </c>
      <c r="D942" s="4" t="s">
        <v>18</v>
      </c>
      <c r="E942" s="4"/>
      <c r="F942" s="4" t="n">
        <v>20</v>
      </c>
      <c r="G942" s="4" t="n">
        <v>132.78</v>
      </c>
      <c r="L942" s="1" t="str">
        <f aca="false">IF(ISNUMBER(SEARCH("Bundle",C942)),"Bundles",IF(ISNUMBER(SEARCH("Airtime",C942)),"Bundles",IF(ISNUMBER(SEARCH("Merchant",C942)),"Merchant Payment",IF(ISNUMBER(SEARCH("Offnet C2B",C942)),"Merchant Payment",IF(ISNUMBER(SEARCH("Offnet B2C",C942)),"Merchant Payment",IF(ISNUMBER(SEARCH("Customer Payment to Small",C942)),"Merchant Payment",IF(ISNUMBER(SEARCH("Payment to Small Business",C942)),"Merchant Payment",IF(ISNUMBER(SEARCH("Sent to",C942)),"Sent to Person",IF(ISNUMBER(SEARCH("Customer Transfer to",C942)),"Sent to Person",IF(ISNUMBER(SEARCH("Business Payment",C942)),"Money In",IF(ISNUMBER(SEARCH("Funds Received",C942)),"Money In",IF(ISNUMBER(SEARCH("Receive International",C942)),"Money In",IF(ISNUMBER(SEARCH("Send Money Reversal",C942)),"Money In",IF(ISNUMBER(SEARCH("Pay Utility Reversal",C942)),"Money In",IF(ISNUMBER(SEARCH("Customer Transfer",C942)),"Money In",IF(ISNUMBER(SEARCH("Ziidi",C942)),"Investment",IF(ISNUMBER(SEARCH("Nabo",C942)),"Investment",IF(ISNUMBER(SEARCH("Paybill Online",C942)),"Pay Bill",IF(ISNUMBER(SEARCH("Pay Bill",C942)),"Pay Bill",IF(ISNUMBER(SEARCH("Spotify",C942)),"Pay Bill",IF(ISNUMBER(SEARCH("M-Shwari",C942)),"Mshwari",IF(ISNUMBER(SEARCH("Mshwari",C942)),"Mshwari",IF(ISNUMBER(SEARCH("Withdrawal charge",C942)),"Fees",IF(ISNUMBER(SEARCH("Customer Withdrawal",C942)),"Fees",IF(ISNUMBER(SEARCH("charge",C942)),"Fees","Other")))))))))))))))))))))))))</f>
        <v>Bundles</v>
      </c>
      <c r="R942" s="1" t="str">
        <f aca="false">TEXT(B942,"MMM YYYY")</f>
        <v>May 2026</v>
      </c>
    </row>
    <row r="943" customFormat="false" ht="13.8" hidden="false" customHeight="false" outlineLevel="0" collapsed="false">
      <c r="A943" s="4" t="s">
        <v>1953</v>
      </c>
      <c r="B943" s="4" t="s">
        <v>1954</v>
      </c>
      <c r="C943" s="4" t="s">
        <v>1598</v>
      </c>
      <c r="D943" s="4" t="s">
        <v>18</v>
      </c>
      <c r="E943" s="4"/>
      <c r="F943" s="4" t="n">
        <v>50</v>
      </c>
      <c r="G943" s="4" t="n">
        <v>82.78</v>
      </c>
      <c r="L943" s="1" t="str">
        <f aca="false">IF(ISNUMBER(SEARCH("Bundle",C943)),"Bundles",IF(ISNUMBER(SEARCH("Airtime",C943)),"Bundles",IF(ISNUMBER(SEARCH("Merchant",C943)),"Merchant Payment",IF(ISNUMBER(SEARCH("Offnet C2B",C943)),"Merchant Payment",IF(ISNUMBER(SEARCH("Offnet B2C",C943)),"Merchant Payment",IF(ISNUMBER(SEARCH("Customer Payment to Small",C943)),"Merchant Payment",IF(ISNUMBER(SEARCH("Payment to Small Business",C943)),"Merchant Payment",IF(ISNUMBER(SEARCH("Sent to",C943)),"Sent to Person",IF(ISNUMBER(SEARCH("Customer Transfer to",C943)),"Sent to Person",IF(ISNUMBER(SEARCH("Business Payment",C943)),"Money In",IF(ISNUMBER(SEARCH("Funds Received",C943)),"Money In",IF(ISNUMBER(SEARCH("Receive International",C943)),"Money In",IF(ISNUMBER(SEARCH("Send Money Reversal",C943)),"Money In",IF(ISNUMBER(SEARCH("Pay Utility Reversal",C943)),"Money In",IF(ISNUMBER(SEARCH("Customer Transfer",C943)),"Money In",IF(ISNUMBER(SEARCH("Ziidi",C943)),"Investment",IF(ISNUMBER(SEARCH("Nabo",C943)),"Investment",IF(ISNUMBER(SEARCH("Paybill Online",C943)),"Pay Bill",IF(ISNUMBER(SEARCH("Pay Bill",C943)),"Pay Bill",IF(ISNUMBER(SEARCH("Spotify",C943)),"Pay Bill",IF(ISNUMBER(SEARCH("M-Shwari",C943)),"Mshwari",IF(ISNUMBER(SEARCH("Mshwari",C943)),"Mshwari",IF(ISNUMBER(SEARCH("Withdrawal charge",C943)),"Fees",IF(ISNUMBER(SEARCH("Customer Withdrawal",C943)),"Fees",IF(ISNUMBER(SEARCH("charge",C943)),"Fees","Other")))))))))))))))))))))))))</f>
        <v>Merchant Payment</v>
      </c>
      <c r="R943" s="1" t="str">
        <f aca="false">TEXT(B943,"MMM YYYY")</f>
        <v>May 2026</v>
      </c>
    </row>
    <row r="944" customFormat="false" ht="13.8" hidden="false" customHeight="false" outlineLevel="0" collapsed="false">
      <c r="A944" s="4" t="s">
        <v>1955</v>
      </c>
      <c r="B944" s="4" t="s">
        <v>1956</v>
      </c>
      <c r="C944" s="4" t="s">
        <v>1073</v>
      </c>
      <c r="D944" s="4" t="s">
        <v>18</v>
      </c>
      <c r="E944" s="4"/>
      <c r="F944" s="4" t="n">
        <v>30</v>
      </c>
      <c r="G944" s="4" t="n">
        <v>52.78</v>
      </c>
      <c r="L944" s="1" t="str">
        <f aca="false">IF(ISNUMBER(SEARCH("Bundle",C944)),"Bundles",IF(ISNUMBER(SEARCH("Airtime",C944)),"Bundles",IF(ISNUMBER(SEARCH("Merchant",C944)),"Merchant Payment",IF(ISNUMBER(SEARCH("Offnet C2B",C944)),"Merchant Payment",IF(ISNUMBER(SEARCH("Offnet B2C",C944)),"Merchant Payment",IF(ISNUMBER(SEARCH("Customer Payment to Small",C944)),"Merchant Payment",IF(ISNUMBER(SEARCH("Payment to Small Business",C944)),"Merchant Payment",IF(ISNUMBER(SEARCH("Sent to",C944)),"Sent to Person",IF(ISNUMBER(SEARCH("Customer Transfer to",C944)),"Sent to Person",IF(ISNUMBER(SEARCH("Business Payment",C944)),"Money In",IF(ISNUMBER(SEARCH("Funds Received",C944)),"Money In",IF(ISNUMBER(SEARCH("Receive International",C944)),"Money In",IF(ISNUMBER(SEARCH("Send Money Reversal",C944)),"Money In",IF(ISNUMBER(SEARCH("Pay Utility Reversal",C944)),"Money In",IF(ISNUMBER(SEARCH("Customer Transfer",C944)),"Money In",IF(ISNUMBER(SEARCH("Ziidi",C944)),"Investment",IF(ISNUMBER(SEARCH("Nabo",C944)),"Investment",IF(ISNUMBER(SEARCH("Paybill Online",C944)),"Pay Bill",IF(ISNUMBER(SEARCH("Pay Bill",C944)),"Pay Bill",IF(ISNUMBER(SEARCH("Spotify",C944)),"Pay Bill",IF(ISNUMBER(SEARCH("M-Shwari",C944)),"Mshwari",IF(ISNUMBER(SEARCH("Mshwari",C944)),"Mshwari",IF(ISNUMBER(SEARCH("Withdrawal charge",C944)),"Fees",IF(ISNUMBER(SEARCH("Customer Withdrawal",C944)),"Fees",IF(ISNUMBER(SEARCH("charge",C944)),"Fees","Other")))))))))))))))))))))))))</f>
        <v>Merchant Payment</v>
      </c>
      <c r="R944" s="1" t="str">
        <f aca="false">TEXT(B944,"MMM YYYY")</f>
        <v>May 2026</v>
      </c>
    </row>
    <row r="945" customFormat="false" ht="13.8" hidden="false" customHeight="false" outlineLevel="0" collapsed="false">
      <c r="A945" s="4" t="s">
        <v>1957</v>
      </c>
      <c r="B945" s="4" t="s">
        <v>1958</v>
      </c>
      <c r="C945" s="4" t="s">
        <v>192</v>
      </c>
      <c r="D945" s="4" t="s">
        <v>18</v>
      </c>
      <c r="E945" s="4" t="n">
        <v>100</v>
      </c>
      <c r="F945" s="4"/>
      <c r="G945" s="4" t="n">
        <v>152.78</v>
      </c>
      <c r="L945" s="1" t="str">
        <f aca="false">IF(ISNUMBER(SEARCH("Bundle",C945)),"Bundles",IF(ISNUMBER(SEARCH("Airtime",C945)),"Bundles",IF(ISNUMBER(SEARCH("Merchant",C945)),"Merchant Payment",IF(ISNUMBER(SEARCH("Offnet C2B",C945)),"Merchant Payment",IF(ISNUMBER(SEARCH("Offnet B2C",C945)),"Merchant Payment",IF(ISNUMBER(SEARCH("Customer Payment to Small",C945)),"Merchant Payment",IF(ISNUMBER(SEARCH("Payment to Small Business",C945)),"Merchant Payment",IF(ISNUMBER(SEARCH("Sent to",C945)),"Sent to Person",IF(ISNUMBER(SEARCH("Customer Transfer to",C945)),"Sent to Person",IF(ISNUMBER(SEARCH("Business Payment",C945)),"Money In",IF(ISNUMBER(SEARCH("Funds Received",C945)),"Money In",IF(ISNUMBER(SEARCH("Receive International",C945)),"Money In",IF(ISNUMBER(SEARCH("Send Money Reversal",C945)),"Money In",IF(ISNUMBER(SEARCH("Pay Utility Reversal",C945)),"Money In",IF(ISNUMBER(SEARCH("Customer Transfer",C945)),"Money In",IF(ISNUMBER(SEARCH("Ziidi",C945)),"Investment",IF(ISNUMBER(SEARCH("Nabo",C945)),"Investment",IF(ISNUMBER(SEARCH("Paybill Online",C945)),"Pay Bill",IF(ISNUMBER(SEARCH("Pay Bill",C945)),"Pay Bill",IF(ISNUMBER(SEARCH("Spotify",C945)),"Pay Bill",IF(ISNUMBER(SEARCH("M-Shwari",C945)),"Mshwari",IF(ISNUMBER(SEARCH("Mshwari",C945)),"Mshwari",IF(ISNUMBER(SEARCH("Withdrawal charge",C945)),"Fees",IF(ISNUMBER(SEARCH("Customer Withdrawal",C945)),"Fees",IF(ISNUMBER(SEARCH("charge",C945)),"Fees","Other")))))))))))))))))))))))))</f>
        <v>Mshwari</v>
      </c>
      <c r="R945" s="1" t="str">
        <f aca="false">TEXT(B945,"MMM YYYY")</f>
        <v>May 2026</v>
      </c>
    </row>
    <row r="946" customFormat="false" ht="13.8" hidden="false" customHeight="false" outlineLevel="0" collapsed="false">
      <c r="A946" s="4" t="s">
        <v>1959</v>
      </c>
      <c r="B946" s="4" t="s">
        <v>1960</v>
      </c>
      <c r="C946" s="4" t="s">
        <v>29</v>
      </c>
      <c r="D946" s="4" t="s">
        <v>18</v>
      </c>
      <c r="E946" s="4"/>
      <c r="F946" s="4" t="n">
        <v>10</v>
      </c>
      <c r="G946" s="4" t="n">
        <v>142.78</v>
      </c>
      <c r="L946" s="1" t="str">
        <f aca="false">IF(ISNUMBER(SEARCH("Bundle",C946)),"Bundles",IF(ISNUMBER(SEARCH("Airtime",C946)),"Bundles",IF(ISNUMBER(SEARCH("Merchant",C946)),"Merchant Payment",IF(ISNUMBER(SEARCH("Offnet C2B",C946)),"Merchant Payment",IF(ISNUMBER(SEARCH("Offnet B2C",C946)),"Merchant Payment",IF(ISNUMBER(SEARCH("Customer Payment to Small",C946)),"Merchant Payment",IF(ISNUMBER(SEARCH("Payment to Small Business",C946)),"Merchant Payment",IF(ISNUMBER(SEARCH("Sent to",C946)),"Sent to Person",IF(ISNUMBER(SEARCH("Customer Transfer to",C946)),"Sent to Person",IF(ISNUMBER(SEARCH("Business Payment",C946)),"Money In",IF(ISNUMBER(SEARCH("Funds Received",C946)),"Money In",IF(ISNUMBER(SEARCH("Receive International",C946)),"Money In",IF(ISNUMBER(SEARCH("Send Money Reversal",C946)),"Money In",IF(ISNUMBER(SEARCH("Pay Utility Reversal",C946)),"Money In",IF(ISNUMBER(SEARCH("Customer Transfer",C946)),"Money In",IF(ISNUMBER(SEARCH("Ziidi",C946)),"Investment",IF(ISNUMBER(SEARCH("Nabo",C946)),"Investment",IF(ISNUMBER(SEARCH("Paybill Online",C946)),"Pay Bill",IF(ISNUMBER(SEARCH("Pay Bill",C946)),"Pay Bill",IF(ISNUMBER(SEARCH("Spotify",C946)),"Pay Bill",IF(ISNUMBER(SEARCH("M-Shwari",C946)),"Mshwari",IF(ISNUMBER(SEARCH("Mshwari",C946)),"Mshwari",IF(ISNUMBER(SEARCH("Withdrawal charge",C946)),"Fees",IF(ISNUMBER(SEARCH("Customer Withdrawal",C946)),"Fees",IF(ISNUMBER(SEARCH("charge",C946)),"Fees","Other")))))))))))))))))))))))))</f>
        <v>Bundles</v>
      </c>
      <c r="R946" s="1" t="str">
        <f aca="false">TEXT(B946,"MMM YYYY")</f>
        <v>May 2026</v>
      </c>
    </row>
    <row r="947" customFormat="false" ht="13.8" hidden="false" customHeight="false" outlineLevel="0" collapsed="false">
      <c r="A947" s="4" t="s">
        <v>1961</v>
      </c>
      <c r="B947" s="4" t="s">
        <v>1962</v>
      </c>
      <c r="C947" s="4" t="s">
        <v>17</v>
      </c>
      <c r="D947" s="4" t="s">
        <v>18</v>
      </c>
      <c r="E947" s="4"/>
      <c r="F947" s="4" t="n">
        <v>20</v>
      </c>
      <c r="G947" s="4" t="n">
        <v>122.78</v>
      </c>
      <c r="L947" s="1" t="str">
        <f aca="false">IF(ISNUMBER(SEARCH("Bundle",C947)),"Bundles",IF(ISNUMBER(SEARCH("Airtime",C947)),"Bundles",IF(ISNUMBER(SEARCH("Merchant",C947)),"Merchant Payment",IF(ISNUMBER(SEARCH("Offnet C2B",C947)),"Merchant Payment",IF(ISNUMBER(SEARCH("Offnet B2C",C947)),"Merchant Payment",IF(ISNUMBER(SEARCH("Customer Payment to Small",C947)),"Merchant Payment",IF(ISNUMBER(SEARCH("Payment to Small Business",C947)),"Merchant Payment",IF(ISNUMBER(SEARCH("Sent to",C947)),"Sent to Person",IF(ISNUMBER(SEARCH("Customer Transfer to",C947)),"Sent to Person",IF(ISNUMBER(SEARCH("Business Payment",C947)),"Money In",IF(ISNUMBER(SEARCH("Funds Received",C947)),"Money In",IF(ISNUMBER(SEARCH("Receive International",C947)),"Money In",IF(ISNUMBER(SEARCH("Send Money Reversal",C947)),"Money In",IF(ISNUMBER(SEARCH("Pay Utility Reversal",C947)),"Money In",IF(ISNUMBER(SEARCH("Customer Transfer",C947)),"Money In",IF(ISNUMBER(SEARCH("Ziidi",C947)),"Investment",IF(ISNUMBER(SEARCH("Nabo",C947)),"Investment",IF(ISNUMBER(SEARCH("Paybill Online",C947)),"Pay Bill",IF(ISNUMBER(SEARCH("Pay Bill",C947)),"Pay Bill",IF(ISNUMBER(SEARCH("Spotify",C947)),"Pay Bill",IF(ISNUMBER(SEARCH("M-Shwari",C947)),"Mshwari",IF(ISNUMBER(SEARCH("Mshwari",C947)),"Mshwari",IF(ISNUMBER(SEARCH("Withdrawal charge",C947)),"Fees",IF(ISNUMBER(SEARCH("Customer Withdrawal",C947)),"Fees",IF(ISNUMBER(SEARCH("charge",C947)),"Fees","Other")))))))))))))))))))))))))</f>
        <v>Bundles</v>
      </c>
      <c r="R947" s="1" t="str">
        <f aca="false">TEXT(B947,"MMM YYYY")</f>
        <v>May 2026</v>
      </c>
    </row>
    <row r="948" customFormat="false" ht="13.8" hidden="false" customHeight="false" outlineLevel="0" collapsed="false">
      <c r="A948" s="4" t="s">
        <v>1963</v>
      </c>
      <c r="B948" s="4" t="s">
        <v>1964</v>
      </c>
      <c r="C948" s="4" t="s">
        <v>192</v>
      </c>
      <c r="D948" s="4" t="s">
        <v>18</v>
      </c>
      <c r="E948" s="4" t="n">
        <v>500</v>
      </c>
      <c r="F948" s="4"/>
      <c r="G948" s="4" t="n">
        <v>622.78</v>
      </c>
      <c r="L948" s="1" t="str">
        <f aca="false">IF(ISNUMBER(SEARCH("Bundle",C948)),"Bundles",IF(ISNUMBER(SEARCH("Airtime",C948)),"Bundles",IF(ISNUMBER(SEARCH("Merchant",C948)),"Merchant Payment",IF(ISNUMBER(SEARCH("Offnet C2B",C948)),"Merchant Payment",IF(ISNUMBER(SEARCH("Offnet B2C",C948)),"Merchant Payment",IF(ISNUMBER(SEARCH("Customer Payment to Small",C948)),"Merchant Payment",IF(ISNUMBER(SEARCH("Payment to Small Business",C948)),"Merchant Payment",IF(ISNUMBER(SEARCH("Sent to",C948)),"Sent to Person",IF(ISNUMBER(SEARCH("Customer Transfer to",C948)),"Sent to Person",IF(ISNUMBER(SEARCH("Business Payment",C948)),"Money In",IF(ISNUMBER(SEARCH("Funds Received",C948)),"Money In",IF(ISNUMBER(SEARCH("Receive International",C948)),"Money In",IF(ISNUMBER(SEARCH("Send Money Reversal",C948)),"Money In",IF(ISNUMBER(SEARCH("Pay Utility Reversal",C948)),"Money In",IF(ISNUMBER(SEARCH("Customer Transfer",C948)),"Money In",IF(ISNUMBER(SEARCH("Ziidi",C948)),"Investment",IF(ISNUMBER(SEARCH("Nabo",C948)),"Investment",IF(ISNUMBER(SEARCH("Paybill Online",C948)),"Pay Bill",IF(ISNUMBER(SEARCH("Pay Bill",C948)),"Pay Bill",IF(ISNUMBER(SEARCH("Spotify",C948)),"Pay Bill",IF(ISNUMBER(SEARCH("M-Shwari",C948)),"Mshwari",IF(ISNUMBER(SEARCH("Mshwari",C948)),"Mshwari",IF(ISNUMBER(SEARCH("Withdrawal charge",C948)),"Fees",IF(ISNUMBER(SEARCH("Customer Withdrawal",C948)),"Fees",IF(ISNUMBER(SEARCH("charge",C948)),"Fees","Other")))))))))))))))))))))))))</f>
        <v>Mshwari</v>
      </c>
      <c r="R948" s="1" t="str">
        <f aca="false">TEXT(B948,"MMM YYYY")</f>
        <v>May 2026</v>
      </c>
    </row>
    <row r="949" customFormat="false" ht="13.8" hidden="false" customHeight="false" outlineLevel="0" collapsed="false">
      <c r="A949" s="4" t="s">
        <v>1965</v>
      </c>
      <c r="B949" s="4" t="s">
        <v>1966</v>
      </c>
      <c r="C949" s="4" t="s">
        <v>1967</v>
      </c>
      <c r="D949" s="4" t="s">
        <v>18</v>
      </c>
      <c r="E949" s="4"/>
      <c r="F949" s="4" t="n">
        <v>80</v>
      </c>
      <c r="G949" s="4" t="n">
        <v>542.78</v>
      </c>
      <c r="L949" s="1" t="str">
        <f aca="false">IF(ISNUMBER(SEARCH("Bundle",C949)),"Bundles",IF(ISNUMBER(SEARCH("Airtime",C949)),"Bundles",IF(ISNUMBER(SEARCH("Merchant",C949)),"Merchant Payment",IF(ISNUMBER(SEARCH("Offnet C2B",C949)),"Merchant Payment",IF(ISNUMBER(SEARCH("Offnet B2C",C949)),"Merchant Payment",IF(ISNUMBER(SEARCH("Customer Payment to Small",C949)),"Merchant Payment",IF(ISNUMBER(SEARCH("Payment to Small Business",C949)),"Merchant Payment",IF(ISNUMBER(SEARCH("Sent to",C949)),"Sent to Person",IF(ISNUMBER(SEARCH("Customer Transfer to",C949)),"Sent to Person",IF(ISNUMBER(SEARCH("Business Payment",C949)),"Money In",IF(ISNUMBER(SEARCH("Funds Received",C949)),"Money In",IF(ISNUMBER(SEARCH("Receive International",C949)),"Money In",IF(ISNUMBER(SEARCH("Send Money Reversal",C949)),"Money In",IF(ISNUMBER(SEARCH("Pay Utility Reversal",C949)),"Money In",IF(ISNUMBER(SEARCH("Customer Transfer",C949)),"Money In",IF(ISNUMBER(SEARCH("Ziidi",C949)),"Investment",IF(ISNUMBER(SEARCH("Nabo",C949)),"Investment",IF(ISNUMBER(SEARCH("Paybill Online",C949)),"Pay Bill",IF(ISNUMBER(SEARCH("Pay Bill",C949)),"Pay Bill",IF(ISNUMBER(SEARCH("Spotify",C949)),"Pay Bill",IF(ISNUMBER(SEARCH("M-Shwari",C949)),"Mshwari",IF(ISNUMBER(SEARCH("Mshwari",C949)),"Mshwari",IF(ISNUMBER(SEARCH("Withdrawal charge",C949)),"Fees",IF(ISNUMBER(SEARCH("Customer Withdrawal",C949)),"Fees",IF(ISNUMBER(SEARCH("charge",C949)),"Fees","Other")))))))))))))))))))))))))</f>
        <v>Merchant Payment</v>
      </c>
      <c r="R949" s="1" t="str">
        <f aca="false">TEXT(B949,"MMM YYYY")</f>
        <v>May 2026</v>
      </c>
    </row>
    <row r="950" customFormat="false" ht="13.8" hidden="false" customHeight="false" outlineLevel="0" collapsed="false">
      <c r="A950" s="4" t="s">
        <v>1968</v>
      </c>
      <c r="B950" s="4" t="s">
        <v>1969</v>
      </c>
      <c r="C950" s="4" t="s">
        <v>49</v>
      </c>
      <c r="D950" s="4" t="s">
        <v>18</v>
      </c>
      <c r="E950" s="4"/>
      <c r="F950" s="4" t="n">
        <v>100</v>
      </c>
      <c r="G950" s="4" t="n">
        <v>442.78</v>
      </c>
      <c r="L950" s="1" t="str">
        <f aca="false">IF(ISNUMBER(SEARCH("Bundle",C950)),"Bundles",IF(ISNUMBER(SEARCH("Airtime",C950)),"Bundles",IF(ISNUMBER(SEARCH("Merchant",C950)),"Merchant Payment",IF(ISNUMBER(SEARCH("Offnet C2B",C950)),"Merchant Payment",IF(ISNUMBER(SEARCH("Offnet B2C",C950)),"Merchant Payment",IF(ISNUMBER(SEARCH("Customer Payment to Small",C950)),"Merchant Payment",IF(ISNUMBER(SEARCH("Payment to Small Business",C950)),"Merchant Payment",IF(ISNUMBER(SEARCH("Sent to",C950)),"Sent to Person",IF(ISNUMBER(SEARCH("Customer Transfer to",C950)),"Sent to Person",IF(ISNUMBER(SEARCH("Business Payment",C950)),"Money In",IF(ISNUMBER(SEARCH("Funds Received",C950)),"Money In",IF(ISNUMBER(SEARCH("Receive International",C950)),"Money In",IF(ISNUMBER(SEARCH("Send Money Reversal",C950)),"Money In",IF(ISNUMBER(SEARCH("Pay Utility Reversal",C950)),"Money In",IF(ISNUMBER(SEARCH("Customer Transfer",C950)),"Money In",IF(ISNUMBER(SEARCH("Ziidi",C950)),"Investment",IF(ISNUMBER(SEARCH("Nabo",C950)),"Investment",IF(ISNUMBER(SEARCH("Paybill Online",C950)),"Pay Bill",IF(ISNUMBER(SEARCH("Pay Bill",C950)),"Pay Bill",IF(ISNUMBER(SEARCH("Spotify",C950)),"Pay Bill",IF(ISNUMBER(SEARCH("M-Shwari",C950)),"Mshwari",IF(ISNUMBER(SEARCH("Mshwari",C950)),"Mshwari",IF(ISNUMBER(SEARCH("Withdrawal charge",C950)),"Fees",IF(ISNUMBER(SEARCH("Customer Withdrawal",C950)),"Fees",IF(ISNUMBER(SEARCH("charge",C950)),"Fees","Other")))))))))))))))))))))))))</f>
        <v>Merchant Payment</v>
      </c>
      <c r="R950" s="1" t="str">
        <f aca="false">TEXT(B950,"MMM YYYY")</f>
        <v>May 2026</v>
      </c>
    </row>
    <row r="951" customFormat="false" ht="13.8" hidden="false" customHeight="false" outlineLevel="0" collapsed="false">
      <c r="A951" s="4" t="s">
        <v>1970</v>
      </c>
      <c r="B951" s="4" t="s">
        <v>1971</v>
      </c>
      <c r="C951" s="4" t="s">
        <v>1598</v>
      </c>
      <c r="D951" s="4" t="s">
        <v>18</v>
      </c>
      <c r="E951" s="4"/>
      <c r="F951" s="4" t="n">
        <v>50</v>
      </c>
      <c r="G951" s="4" t="n">
        <v>392.78</v>
      </c>
      <c r="L951" s="1" t="str">
        <f aca="false">IF(ISNUMBER(SEARCH("Bundle",C951)),"Bundles",IF(ISNUMBER(SEARCH("Airtime",C951)),"Bundles",IF(ISNUMBER(SEARCH("Merchant",C951)),"Merchant Payment",IF(ISNUMBER(SEARCH("Offnet C2B",C951)),"Merchant Payment",IF(ISNUMBER(SEARCH("Offnet B2C",C951)),"Merchant Payment",IF(ISNUMBER(SEARCH("Customer Payment to Small",C951)),"Merchant Payment",IF(ISNUMBER(SEARCH("Payment to Small Business",C951)),"Merchant Payment",IF(ISNUMBER(SEARCH("Sent to",C951)),"Sent to Person",IF(ISNUMBER(SEARCH("Customer Transfer to",C951)),"Sent to Person",IF(ISNUMBER(SEARCH("Business Payment",C951)),"Money In",IF(ISNUMBER(SEARCH("Funds Received",C951)),"Money In",IF(ISNUMBER(SEARCH("Receive International",C951)),"Money In",IF(ISNUMBER(SEARCH("Send Money Reversal",C951)),"Money In",IF(ISNUMBER(SEARCH("Pay Utility Reversal",C951)),"Money In",IF(ISNUMBER(SEARCH("Customer Transfer",C951)),"Money In",IF(ISNUMBER(SEARCH("Ziidi",C951)),"Investment",IF(ISNUMBER(SEARCH("Nabo",C951)),"Investment",IF(ISNUMBER(SEARCH("Paybill Online",C951)),"Pay Bill",IF(ISNUMBER(SEARCH("Pay Bill",C951)),"Pay Bill",IF(ISNUMBER(SEARCH("Spotify",C951)),"Pay Bill",IF(ISNUMBER(SEARCH("M-Shwari",C951)),"Mshwari",IF(ISNUMBER(SEARCH("Mshwari",C951)),"Mshwari",IF(ISNUMBER(SEARCH("Withdrawal charge",C951)),"Fees",IF(ISNUMBER(SEARCH("Customer Withdrawal",C951)),"Fees",IF(ISNUMBER(SEARCH("charge",C951)),"Fees","Other")))))))))))))))))))))))))</f>
        <v>Merchant Payment</v>
      </c>
      <c r="R951" s="1" t="str">
        <f aca="false">TEXT(B951,"MMM YYYY")</f>
        <v>May 2026</v>
      </c>
    </row>
    <row r="952" customFormat="false" ht="13.8" hidden="false" customHeight="false" outlineLevel="0" collapsed="false">
      <c r="A952" s="4" t="s">
        <v>1972</v>
      </c>
      <c r="B952" s="4" t="s">
        <v>1973</v>
      </c>
      <c r="C952" s="4" t="s">
        <v>1073</v>
      </c>
      <c r="D952" s="4" t="s">
        <v>18</v>
      </c>
      <c r="E952" s="4"/>
      <c r="F952" s="4" t="n">
        <v>30</v>
      </c>
      <c r="G952" s="4" t="n">
        <v>362.78</v>
      </c>
      <c r="L952" s="1" t="str">
        <f aca="false">IF(ISNUMBER(SEARCH("Bundle",C952)),"Bundles",IF(ISNUMBER(SEARCH("Airtime",C952)),"Bundles",IF(ISNUMBER(SEARCH("Merchant",C952)),"Merchant Payment",IF(ISNUMBER(SEARCH("Offnet C2B",C952)),"Merchant Payment",IF(ISNUMBER(SEARCH("Offnet B2C",C952)),"Merchant Payment",IF(ISNUMBER(SEARCH("Customer Payment to Small",C952)),"Merchant Payment",IF(ISNUMBER(SEARCH("Payment to Small Business",C952)),"Merchant Payment",IF(ISNUMBER(SEARCH("Sent to",C952)),"Sent to Person",IF(ISNUMBER(SEARCH("Customer Transfer to",C952)),"Sent to Person",IF(ISNUMBER(SEARCH("Business Payment",C952)),"Money In",IF(ISNUMBER(SEARCH("Funds Received",C952)),"Money In",IF(ISNUMBER(SEARCH("Receive International",C952)),"Money In",IF(ISNUMBER(SEARCH("Send Money Reversal",C952)),"Money In",IF(ISNUMBER(SEARCH("Pay Utility Reversal",C952)),"Money In",IF(ISNUMBER(SEARCH("Customer Transfer",C952)),"Money In",IF(ISNUMBER(SEARCH("Ziidi",C952)),"Investment",IF(ISNUMBER(SEARCH("Nabo",C952)),"Investment",IF(ISNUMBER(SEARCH("Paybill Online",C952)),"Pay Bill",IF(ISNUMBER(SEARCH("Pay Bill",C952)),"Pay Bill",IF(ISNUMBER(SEARCH("Spotify",C952)),"Pay Bill",IF(ISNUMBER(SEARCH("M-Shwari",C952)),"Mshwari",IF(ISNUMBER(SEARCH("Mshwari",C952)),"Mshwari",IF(ISNUMBER(SEARCH("Withdrawal charge",C952)),"Fees",IF(ISNUMBER(SEARCH("Customer Withdrawal",C952)),"Fees",IF(ISNUMBER(SEARCH("charge",C952)),"Fees","Other")))))))))))))))))))))))))</f>
        <v>Merchant Payment</v>
      </c>
      <c r="R952" s="1" t="str">
        <f aca="false">TEXT(B952,"MMM YYYY")</f>
        <v>May 2026</v>
      </c>
    </row>
    <row r="953" customFormat="false" ht="13.8" hidden="false" customHeight="false" outlineLevel="0" collapsed="false">
      <c r="A953" s="4" t="s">
        <v>1974</v>
      </c>
      <c r="B953" s="4" t="s">
        <v>1975</v>
      </c>
      <c r="C953" s="4" t="s">
        <v>45</v>
      </c>
      <c r="D953" s="4" t="s">
        <v>18</v>
      </c>
      <c r="E953" s="4"/>
      <c r="F953" s="4" t="n">
        <v>60</v>
      </c>
      <c r="G953" s="4" t="n">
        <v>302.78</v>
      </c>
      <c r="L953" s="1" t="str">
        <f aca="false">IF(ISNUMBER(SEARCH("Bundle",C953)),"Bundles",IF(ISNUMBER(SEARCH("Airtime",C953)),"Bundles",IF(ISNUMBER(SEARCH("Merchant",C953)),"Merchant Payment",IF(ISNUMBER(SEARCH("Offnet C2B",C953)),"Merchant Payment",IF(ISNUMBER(SEARCH("Offnet B2C",C953)),"Merchant Payment",IF(ISNUMBER(SEARCH("Customer Payment to Small",C953)),"Merchant Payment",IF(ISNUMBER(SEARCH("Payment to Small Business",C953)),"Merchant Payment",IF(ISNUMBER(SEARCH("Sent to",C953)),"Sent to Person",IF(ISNUMBER(SEARCH("Customer Transfer to",C953)),"Sent to Person",IF(ISNUMBER(SEARCH("Business Payment",C953)),"Money In",IF(ISNUMBER(SEARCH("Funds Received",C953)),"Money In",IF(ISNUMBER(SEARCH("Receive International",C953)),"Money In",IF(ISNUMBER(SEARCH("Send Money Reversal",C953)),"Money In",IF(ISNUMBER(SEARCH("Pay Utility Reversal",C953)),"Money In",IF(ISNUMBER(SEARCH("Customer Transfer",C953)),"Money In",IF(ISNUMBER(SEARCH("Ziidi",C953)),"Investment",IF(ISNUMBER(SEARCH("Nabo",C953)),"Investment",IF(ISNUMBER(SEARCH("Paybill Online",C953)),"Pay Bill",IF(ISNUMBER(SEARCH("Pay Bill",C953)),"Pay Bill",IF(ISNUMBER(SEARCH("Spotify",C953)),"Pay Bill",IF(ISNUMBER(SEARCH("M-Shwari",C953)),"Mshwari",IF(ISNUMBER(SEARCH("Mshwari",C953)),"Mshwari",IF(ISNUMBER(SEARCH("Withdrawal charge",C953)),"Fees",IF(ISNUMBER(SEARCH("Customer Withdrawal",C953)),"Fees",IF(ISNUMBER(SEARCH("charge",C953)),"Fees","Other")))))))))))))))))))))))))</f>
        <v>Merchant Payment</v>
      </c>
      <c r="R953" s="1" t="str">
        <f aca="false">TEXT(B953,"MMM YYYY")</f>
        <v>May 2026</v>
      </c>
    </row>
    <row r="954" customFormat="false" ht="13.8" hidden="false" customHeight="false" outlineLevel="0" collapsed="false">
      <c r="A954" s="4" t="s">
        <v>1976</v>
      </c>
      <c r="B954" s="4" t="s">
        <v>1977</v>
      </c>
      <c r="C954" s="4" t="s">
        <v>177</v>
      </c>
      <c r="D954" s="4" t="s">
        <v>18</v>
      </c>
      <c r="E954" s="4" t="n">
        <v>5000</v>
      </c>
      <c r="F954" s="4"/>
      <c r="G954" s="4" t="n">
        <v>5302.78</v>
      </c>
      <c r="L954" s="1" t="str">
        <f aca="false">IF(ISNUMBER(SEARCH("Bundle",C954)),"Bundles",IF(ISNUMBER(SEARCH("Airtime",C954)),"Bundles",IF(ISNUMBER(SEARCH("Merchant",C954)),"Merchant Payment",IF(ISNUMBER(SEARCH("Offnet C2B",C954)),"Merchant Payment",IF(ISNUMBER(SEARCH("Offnet B2C",C954)),"Merchant Payment",IF(ISNUMBER(SEARCH("Customer Payment to Small",C954)),"Merchant Payment",IF(ISNUMBER(SEARCH("Payment to Small Business",C954)),"Merchant Payment",IF(ISNUMBER(SEARCH("Sent to",C954)),"Sent to Person",IF(ISNUMBER(SEARCH("Customer Transfer to",C954)),"Sent to Person",IF(ISNUMBER(SEARCH("Business Payment",C954)),"Money In",IF(ISNUMBER(SEARCH("Funds Received",C954)),"Money In",IF(ISNUMBER(SEARCH("Receive International",C954)),"Money In",IF(ISNUMBER(SEARCH("Send Money Reversal",C954)),"Money In",IF(ISNUMBER(SEARCH("Pay Utility Reversal",C954)),"Money In",IF(ISNUMBER(SEARCH("Customer Transfer",C954)),"Money In",IF(ISNUMBER(SEARCH("Ziidi",C954)),"Investment",IF(ISNUMBER(SEARCH("Nabo",C954)),"Investment",IF(ISNUMBER(SEARCH("Paybill Online",C954)),"Pay Bill",IF(ISNUMBER(SEARCH("Pay Bill",C954)),"Pay Bill",IF(ISNUMBER(SEARCH("Spotify",C954)),"Pay Bill",IF(ISNUMBER(SEARCH("M-Shwari",C954)),"Mshwari",IF(ISNUMBER(SEARCH("Mshwari",C954)),"Mshwari",IF(ISNUMBER(SEARCH("Withdrawal charge",C954)),"Fees",IF(ISNUMBER(SEARCH("Customer Withdrawal",C954)),"Fees",IF(ISNUMBER(SEARCH("charge",C954)),"Fees","Other")))))))))))))))))))))))))</f>
        <v>Money In</v>
      </c>
      <c r="R954" s="1" t="str">
        <f aca="false">TEXT(B954,"MMM YYYY")</f>
        <v>May 2026</v>
      </c>
    </row>
    <row r="955" customFormat="false" ht="13.8" hidden="false" customHeight="false" outlineLevel="0" collapsed="false">
      <c r="A955" s="4" t="s">
        <v>1978</v>
      </c>
      <c r="B955" s="4" t="s">
        <v>1979</v>
      </c>
      <c r="C955" s="4" t="s">
        <v>17</v>
      </c>
      <c r="D955" s="4" t="s">
        <v>18</v>
      </c>
      <c r="E955" s="4"/>
      <c r="F955" s="4" t="n">
        <v>20</v>
      </c>
      <c r="G955" s="4" t="n">
        <v>5282.78</v>
      </c>
      <c r="L955" s="1" t="str">
        <f aca="false">IF(ISNUMBER(SEARCH("Bundle",C955)),"Bundles",IF(ISNUMBER(SEARCH("Airtime",C955)),"Bundles",IF(ISNUMBER(SEARCH("Merchant",C955)),"Merchant Payment",IF(ISNUMBER(SEARCH("Offnet C2B",C955)),"Merchant Payment",IF(ISNUMBER(SEARCH("Offnet B2C",C955)),"Merchant Payment",IF(ISNUMBER(SEARCH("Customer Payment to Small",C955)),"Merchant Payment",IF(ISNUMBER(SEARCH("Payment to Small Business",C955)),"Merchant Payment",IF(ISNUMBER(SEARCH("Sent to",C955)),"Sent to Person",IF(ISNUMBER(SEARCH("Customer Transfer to",C955)),"Sent to Person",IF(ISNUMBER(SEARCH("Business Payment",C955)),"Money In",IF(ISNUMBER(SEARCH("Funds Received",C955)),"Money In",IF(ISNUMBER(SEARCH("Receive International",C955)),"Money In",IF(ISNUMBER(SEARCH("Send Money Reversal",C955)),"Money In",IF(ISNUMBER(SEARCH("Pay Utility Reversal",C955)),"Money In",IF(ISNUMBER(SEARCH("Customer Transfer",C955)),"Money In",IF(ISNUMBER(SEARCH("Ziidi",C955)),"Investment",IF(ISNUMBER(SEARCH("Nabo",C955)),"Investment",IF(ISNUMBER(SEARCH("Paybill Online",C955)),"Pay Bill",IF(ISNUMBER(SEARCH("Pay Bill",C955)),"Pay Bill",IF(ISNUMBER(SEARCH("Spotify",C955)),"Pay Bill",IF(ISNUMBER(SEARCH("M-Shwari",C955)),"Mshwari",IF(ISNUMBER(SEARCH("Mshwari",C955)),"Mshwari",IF(ISNUMBER(SEARCH("Withdrawal charge",C955)),"Fees",IF(ISNUMBER(SEARCH("Customer Withdrawal",C955)),"Fees",IF(ISNUMBER(SEARCH("charge",C955)),"Fees","Other")))))))))))))))))))))))))</f>
        <v>Bundles</v>
      </c>
      <c r="R955" s="1" t="str">
        <f aca="false">TEXT(B955,"MMM YYYY")</f>
        <v>May 2026</v>
      </c>
    </row>
    <row r="956" customFormat="false" ht="13.8" hidden="false" customHeight="false" outlineLevel="0" collapsed="false">
      <c r="A956" s="4" t="s">
        <v>1980</v>
      </c>
      <c r="B956" s="4" t="s">
        <v>1981</v>
      </c>
      <c r="C956" s="4" t="s">
        <v>564</v>
      </c>
      <c r="D956" s="4" t="s">
        <v>18</v>
      </c>
      <c r="E956" s="4"/>
      <c r="F956" s="4" t="n">
        <v>100</v>
      </c>
      <c r="G956" s="4" t="n">
        <v>5182.78</v>
      </c>
      <c r="L956" s="1" t="str">
        <f aca="false">IF(ISNUMBER(SEARCH("Bundle",C956)),"Bundles",IF(ISNUMBER(SEARCH("Airtime",C956)),"Bundles",IF(ISNUMBER(SEARCH("Merchant",C956)),"Merchant Payment",IF(ISNUMBER(SEARCH("Offnet C2B",C956)),"Merchant Payment",IF(ISNUMBER(SEARCH("Offnet B2C",C956)),"Merchant Payment",IF(ISNUMBER(SEARCH("Customer Payment to Small",C956)),"Merchant Payment",IF(ISNUMBER(SEARCH("Payment to Small Business",C956)),"Merchant Payment",IF(ISNUMBER(SEARCH("Sent to",C956)),"Sent to Person",IF(ISNUMBER(SEARCH("Customer Transfer to",C956)),"Sent to Person",IF(ISNUMBER(SEARCH("Business Payment",C956)),"Money In",IF(ISNUMBER(SEARCH("Funds Received",C956)),"Money In",IF(ISNUMBER(SEARCH("Receive International",C956)),"Money In",IF(ISNUMBER(SEARCH("Send Money Reversal",C956)),"Money In",IF(ISNUMBER(SEARCH("Pay Utility Reversal",C956)),"Money In",IF(ISNUMBER(SEARCH("Customer Transfer",C956)),"Money In",IF(ISNUMBER(SEARCH("Ziidi",C956)),"Investment",IF(ISNUMBER(SEARCH("Nabo",C956)),"Investment",IF(ISNUMBER(SEARCH("Paybill Online",C956)),"Pay Bill",IF(ISNUMBER(SEARCH("Pay Bill",C956)),"Pay Bill",IF(ISNUMBER(SEARCH("Spotify",C956)),"Pay Bill",IF(ISNUMBER(SEARCH("M-Shwari",C956)),"Mshwari",IF(ISNUMBER(SEARCH("Mshwari",C956)),"Mshwari",IF(ISNUMBER(SEARCH("Withdrawal charge",C956)),"Fees",IF(ISNUMBER(SEARCH("Customer Withdrawal",C956)),"Fees",IF(ISNUMBER(SEARCH("charge",C956)),"Fees","Other")))))))))))))))))))))))))</f>
        <v>Sent to Person</v>
      </c>
      <c r="R956" s="1" t="str">
        <f aca="false">TEXT(B956,"MMM YYYY")</f>
        <v>May 2026</v>
      </c>
    </row>
    <row r="957" customFormat="false" ht="13.8" hidden="false" customHeight="false" outlineLevel="0" collapsed="false">
      <c r="A957" s="4" t="s">
        <v>1982</v>
      </c>
      <c r="B957" s="4" t="s">
        <v>1983</v>
      </c>
      <c r="C957" s="4" t="s">
        <v>564</v>
      </c>
      <c r="D957" s="4" t="s">
        <v>18</v>
      </c>
      <c r="E957" s="4"/>
      <c r="F957" s="4" t="n">
        <v>100</v>
      </c>
      <c r="G957" s="4" t="n">
        <v>5082.78</v>
      </c>
      <c r="L957" s="1" t="str">
        <f aca="false">IF(ISNUMBER(SEARCH("Bundle",C957)),"Bundles",IF(ISNUMBER(SEARCH("Airtime",C957)),"Bundles",IF(ISNUMBER(SEARCH("Merchant",C957)),"Merchant Payment",IF(ISNUMBER(SEARCH("Offnet C2B",C957)),"Merchant Payment",IF(ISNUMBER(SEARCH("Offnet B2C",C957)),"Merchant Payment",IF(ISNUMBER(SEARCH("Customer Payment to Small",C957)),"Merchant Payment",IF(ISNUMBER(SEARCH("Payment to Small Business",C957)),"Merchant Payment",IF(ISNUMBER(SEARCH("Sent to",C957)),"Sent to Person",IF(ISNUMBER(SEARCH("Customer Transfer to",C957)),"Sent to Person",IF(ISNUMBER(SEARCH("Business Payment",C957)),"Money In",IF(ISNUMBER(SEARCH("Funds Received",C957)),"Money In",IF(ISNUMBER(SEARCH("Receive International",C957)),"Money In",IF(ISNUMBER(SEARCH("Send Money Reversal",C957)),"Money In",IF(ISNUMBER(SEARCH("Pay Utility Reversal",C957)),"Money In",IF(ISNUMBER(SEARCH("Customer Transfer",C957)),"Money In",IF(ISNUMBER(SEARCH("Ziidi",C957)),"Investment",IF(ISNUMBER(SEARCH("Nabo",C957)),"Investment",IF(ISNUMBER(SEARCH("Paybill Online",C957)),"Pay Bill",IF(ISNUMBER(SEARCH("Pay Bill",C957)),"Pay Bill",IF(ISNUMBER(SEARCH("Spotify",C957)),"Pay Bill",IF(ISNUMBER(SEARCH("M-Shwari",C957)),"Mshwari",IF(ISNUMBER(SEARCH("Mshwari",C957)),"Mshwari",IF(ISNUMBER(SEARCH("Withdrawal charge",C957)),"Fees",IF(ISNUMBER(SEARCH("Customer Withdrawal",C957)),"Fees",IF(ISNUMBER(SEARCH("charge",C957)),"Fees","Other")))))))))))))))))))))))))</f>
        <v>Sent to Person</v>
      </c>
      <c r="R957" s="1" t="str">
        <f aca="false">TEXT(B957,"MMM YYYY")</f>
        <v>May 2026</v>
      </c>
    </row>
    <row r="958" customFormat="false" ht="13.8" hidden="false" customHeight="false" outlineLevel="0" collapsed="false">
      <c r="A958" s="4" t="s">
        <v>1984</v>
      </c>
      <c r="B958" s="4" t="s">
        <v>1985</v>
      </c>
      <c r="C958" s="4" t="s">
        <v>621</v>
      </c>
      <c r="D958" s="4" t="s">
        <v>18</v>
      </c>
      <c r="E958" s="4"/>
      <c r="F958" s="4" t="n">
        <v>4500</v>
      </c>
      <c r="G958" s="4" t="n">
        <v>582.78</v>
      </c>
      <c r="L958" s="1" t="str">
        <f aca="false">IF(ISNUMBER(SEARCH("Bundle",C958)),"Bundles",IF(ISNUMBER(SEARCH("Airtime",C958)),"Bundles",IF(ISNUMBER(SEARCH("Merchant",C958)),"Merchant Payment",IF(ISNUMBER(SEARCH("Offnet C2B",C958)),"Merchant Payment",IF(ISNUMBER(SEARCH("Offnet B2C",C958)),"Merchant Payment",IF(ISNUMBER(SEARCH("Customer Payment to Small",C958)),"Merchant Payment",IF(ISNUMBER(SEARCH("Payment to Small Business",C958)),"Merchant Payment",IF(ISNUMBER(SEARCH("Sent to",C958)),"Sent to Person",IF(ISNUMBER(SEARCH("Customer Transfer to",C958)),"Sent to Person",IF(ISNUMBER(SEARCH("Business Payment",C958)),"Money In",IF(ISNUMBER(SEARCH("Funds Received",C958)),"Money In",IF(ISNUMBER(SEARCH("Receive International",C958)),"Money In",IF(ISNUMBER(SEARCH("Send Money Reversal",C958)),"Money In",IF(ISNUMBER(SEARCH("Pay Utility Reversal",C958)),"Money In",IF(ISNUMBER(SEARCH("Customer Transfer",C958)),"Money In",IF(ISNUMBER(SEARCH("Ziidi",C958)),"Investment",IF(ISNUMBER(SEARCH("Nabo",C958)),"Investment",IF(ISNUMBER(SEARCH("Paybill Online",C958)),"Pay Bill",IF(ISNUMBER(SEARCH("Pay Bill",C958)),"Pay Bill",IF(ISNUMBER(SEARCH("Spotify",C958)),"Pay Bill",IF(ISNUMBER(SEARCH("M-Shwari",C958)),"Mshwari",IF(ISNUMBER(SEARCH("Mshwari",C958)),"Mshwari",IF(ISNUMBER(SEARCH("Withdrawal charge",C958)),"Fees",IF(ISNUMBER(SEARCH("Customer Withdrawal",C958)),"Fees",IF(ISNUMBER(SEARCH("charge",C958)),"Fees","Other")))))))))))))))))))))))))</f>
        <v>Mshwari</v>
      </c>
      <c r="R958" s="1" t="str">
        <f aca="false">TEXT(B958,"MMM YYYY")</f>
        <v>May 2026</v>
      </c>
    </row>
    <row r="959" customFormat="false" ht="13.8" hidden="false" customHeight="false" outlineLevel="0" collapsed="false">
      <c r="A959" s="4" t="s">
        <v>1986</v>
      </c>
      <c r="B959" s="4" t="s">
        <v>1987</v>
      </c>
      <c r="C959" s="4" t="s">
        <v>29</v>
      </c>
      <c r="D959" s="4" t="s">
        <v>18</v>
      </c>
      <c r="E959" s="4"/>
      <c r="F959" s="4" t="n">
        <v>10</v>
      </c>
      <c r="G959" s="4" t="n">
        <v>572.78</v>
      </c>
      <c r="L959" s="1" t="str">
        <f aca="false">IF(ISNUMBER(SEARCH("Bundle",C959)),"Bundles",IF(ISNUMBER(SEARCH("Airtime",C959)),"Bundles",IF(ISNUMBER(SEARCH("Merchant",C959)),"Merchant Payment",IF(ISNUMBER(SEARCH("Offnet C2B",C959)),"Merchant Payment",IF(ISNUMBER(SEARCH("Offnet B2C",C959)),"Merchant Payment",IF(ISNUMBER(SEARCH("Customer Payment to Small",C959)),"Merchant Payment",IF(ISNUMBER(SEARCH("Payment to Small Business",C959)),"Merchant Payment",IF(ISNUMBER(SEARCH("Sent to",C959)),"Sent to Person",IF(ISNUMBER(SEARCH("Customer Transfer to",C959)),"Sent to Person",IF(ISNUMBER(SEARCH("Business Payment",C959)),"Money In",IF(ISNUMBER(SEARCH("Funds Received",C959)),"Money In",IF(ISNUMBER(SEARCH("Receive International",C959)),"Money In",IF(ISNUMBER(SEARCH("Send Money Reversal",C959)),"Money In",IF(ISNUMBER(SEARCH("Pay Utility Reversal",C959)),"Money In",IF(ISNUMBER(SEARCH("Customer Transfer",C959)),"Money In",IF(ISNUMBER(SEARCH("Ziidi",C959)),"Investment",IF(ISNUMBER(SEARCH("Nabo",C959)),"Investment",IF(ISNUMBER(SEARCH("Paybill Online",C959)),"Pay Bill",IF(ISNUMBER(SEARCH("Pay Bill",C959)),"Pay Bill",IF(ISNUMBER(SEARCH("Spotify",C959)),"Pay Bill",IF(ISNUMBER(SEARCH("M-Shwari",C959)),"Mshwari",IF(ISNUMBER(SEARCH("Mshwari",C959)),"Mshwari",IF(ISNUMBER(SEARCH("Withdrawal charge",C959)),"Fees",IF(ISNUMBER(SEARCH("Customer Withdrawal",C959)),"Fees",IF(ISNUMBER(SEARCH("charge",C959)),"Fees","Other")))))))))))))))))))))))))</f>
        <v>Bundles</v>
      </c>
      <c r="R959" s="1" t="str">
        <f aca="false">TEXT(B959,"MMM YYYY")</f>
        <v>May 2026</v>
      </c>
    </row>
    <row r="960" customFormat="false" ht="13.8" hidden="false" customHeight="false" outlineLevel="0" collapsed="false">
      <c r="A960" s="4" t="s">
        <v>1988</v>
      </c>
      <c r="B960" s="4" t="s">
        <v>1989</v>
      </c>
      <c r="C960" s="4" t="s">
        <v>192</v>
      </c>
      <c r="D960" s="4" t="s">
        <v>18</v>
      </c>
      <c r="E960" s="4" t="n">
        <v>500</v>
      </c>
      <c r="F960" s="4"/>
      <c r="G960" s="4" t="n">
        <v>1072.78</v>
      </c>
      <c r="L960" s="1" t="str">
        <f aca="false">IF(ISNUMBER(SEARCH("Bundle",C960)),"Bundles",IF(ISNUMBER(SEARCH("Airtime",C960)),"Bundles",IF(ISNUMBER(SEARCH("Merchant",C960)),"Merchant Payment",IF(ISNUMBER(SEARCH("Offnet C2B",C960)),"Merchant Payment",IF(ISNUMBER(SEARCH("Offnet B2C",C960)),"Merchant Payment",IF(ISNUMBER(SEARCH("Customer Payment to Small",C960)),"Merchant Payment",IF(ISNUMBER(SEARCH("Payment to Small Business",C960)),"Merchant Payment",IF(ISNUMBER(SEARCH("Sent to",C960)),"Sent to Person",IF(ISNUMBER(SEARCH("Customer Transfer to",C960)),"Sent to Person",IF(ISNUMBER(SEARCH("Business Payment",C960)),"Money In",IF(ISNUMBER(SEARCH("Funds Received",C960)),"Money In",IF(ISNUMBER(SEARCH("Receive International",C960)),"Money In",IF(ISNUMBER(SEARCH("Send Money Reversal",C960)),"Money In",IF(ISNUMBER(SEARCH("Pay Utility Reversal",C960)),"Money In",IF(ISNUMBER(SEARCH("Customer Transfer",C960)),"Money In",IF(ISNUMBER(SEARCH("Ziidi",C960)),"Investment",IF(ISNUMBER(SEARCH("Nabo",C960)),"Investment",IF(ISNUMBER(SEARCH("Paybill Online",C960)),"Pay Bill",IF(ISNUMBER(SEARCH("Pay Bill",C960)),"Pay Bill",IF(ISNUMBER(SEARCH("Spotify",C960)),"Pay Bill",IF(ISNUMBER(SEARCH("M-Shwari",C960)),"Mshwari",IF(ISNUMBER(SEARCH("Mshwari",C960)),"Mshwari",IF(ISNUMBER(SEARCH("Withdrawal charge",C960)),"Fees",IF(ISNUMBER(SEARCH("Customer Withdrawal",C960)),"Fees",IF(ISNUMBER(SEARCH("charge",C960)),"Fees","Other")))))))))))))))))))))))))</f>
        <v>Mshwari</v>
      </c>
      <c r="R960" s="1" t="str">
        <f aca="false">TEXT(B960,"MMM YYYY")</f>
        <v>May 2026</v>
      </c>
    </row>
    <row r="961" customFormat="false" ht="13.8" hidden="false" customHeight="false" outlineLevel="0" collapsed="false">
      <c r="A961" s="4" t="s">
        <v>1990</v>
      </c>
      <c r="B961" s="4" t="s">
        <v>1991</v>
      </c>
      <c r="C961" s="4" t="s">
        <v>818</v>
      </c>
      <c r="D961" s="4" t="s">
        <v>18</v>
      </c>
      <c r="E961" s="4"/>
      <c r="F961" s="4" t="n">
        <v>600</v>
      </c>
      <c r="G961" s="4" t="n">
        <v>472.78</v>
      </c>
      <c r="L961" s="1" t="str">
        <f aca="false">IF(ISNUMBER(SEARCH("Bundle",C961)),"Bundles",IF(ISNUMBER(SEARCH("Airtime",C961)),"Bundles",IF(ISNUMBER(SEARCH("Merchant",C961)),"Merchant Payment",IF(ISNUMBER(SEARCH("Offnet C2B",C961)),"Merchant Payment",IF(ISNUMBER(SEARCH("Offnet B2C",C961)),"Merchant Payment",IF(ISNUMBER(SEARCH("Customer Payment to Small",C961)),"Merchant Payment",IF(ISNUMBER(SEARCH("Payment to Small Business",C961)),"Merchant Payment",IF(ISNUMBER(SEARCH("Sent to",C961)),"Sent to Person",IF(ISNUMBER(SEARCH("Customer Transfer to",C961)),"Sent to Person",IF(ISNUMBER(SEARCH("Business Payment",C961)),"Money In",IF(ISNUMBER(SEARCH("Funds Received",C961)),"Money In",IF(ISNUMBER(SEARCH("Receive International",C961)),"Money In",IF(ISNUMBER(SEARCH("Send Money Reversal",C961)),"Money In",IF(ISNUMBER(SEARCH("Pay Utility Reversal",C961)),"Money In",IF(ISNUMBER(SEARCH("Customer Transfer",C961)),"Money In",IF(ISNUMBER(SEARCH("Ziidi",C961)),"Investment",IF(ISNUMBER(SEARCH("Nabo",C961)),"Investment",IF(ISNUMBER(SEARCH("Paybill Online",C961)),"Pay Bill",IF(ISNUMBER(SEARCH("Pay Bill",C961)),"Pay Bill",IF(ISNUMBER(SEARCH("Spotify",C961)),"Pay Bill",IF(ISNUMBER(SEARCH("M-Shwari",C961)),"Mshwari",IF(ISNUMBER(SEARCH("Mshwari",C961)),"Mshwari",IF(ISNUMBER(SEARCH("Withdrawal charge",C961)),"Fees",IF(ISNUMBER(SEARCH("Customer Withdrawal",C961)),"Fees",IF(ISNUMBER(SEARCH("charge",C961)),"Fees","Other")))))))))))))))))))))))))</f>
        <v>Merchant Payment</v>
      </c>
      <c r="R961" s="1" t="str">
        <f aca="false">TEXT(B961,"MMM YYYY")</f>
        <v>May 2026</v>
      </c>
    </row>
    <row r="962" customFormat="false" ht="13.8" hidden="false" customHeight="false" outlineLevel="0" collapsed="false">
      <c r="A962" s="4" t="s">
        <v>1992</v>
      </c>
      <c r="B962" s="4" t="s">
        <v>1993</v>
      </c>
      <c r="C962" s="4" t="s">
        <v>29</v>
      </c>
      <c r="D962" s="4" t="s">
        <v>18</v>
      </c>
      <c r="E962" s="4"/>
      <c r="F962" s="4" t="n">
        <v>10</v>
      </c>
      <c r="G962" s="4" t="n">
        <v>462.78</v>
      </c>
      <c r="L962" s="1" t="str">
        <f aca="false">IF(ISNUMBER(SEARCH("Bundle",C962)),"Bundles",IF(ISNUMBER(SEARCH("Airtime",C962)),"Bundles",IF(ISNUMBER(SEARCH("Merchant",C962)),"Merchant Payment",IF(ISNUMBER(SEARCH("Offnet C2B",C962)),"Merchant Payment",IF(ISNUMBER(SEARCH("Offnet B2C",C962)),"Merchant Payment",IF(ISNUMBER(SEARCH("Customer Payment to Small",C962)),"Merchant Payment",IF(ISNUMBER(SEARCH("Payment to Small Business",C962)),"Merchant Payment",IF(ISNUMBER(SEARCH("Sent to",C962)),"Sent to Person",IF(ISNUMBER(SEARCH("Customer Transfer to",C962)),"Sent to Person",IF(ISNUMBER(SEARCH("Business Payment",C962)),"Money In",IF(ISNUMBER(SEARCH("Funds Received",C962)),"Money In",IF(ISNUMBER(SEARCH("Receive International",C962)),"Money In",IF(ISNUMBER(SEARCH("Send Money Reversal",C962)),"Money In",IF(ISNUMBER(SEARCH("Pay Utility Reversal",C962)),"Money In",IF(ISNUMBER(SEARCH("Customer Transfer",C962)),"Money In",IF(ISNUMBER(SEARCH("Ziidi",C962)),"Investment",IF(ISNUMBER(SEARCH("Nabo",C962)),"Investment",IF(ISNUMBER(SEARCH("Paybill Online",C962)),"Pay Bill",IF(ISNUMBER(SEARCH("Pay Bill",C962)),"Pay Bill",IF(ISNUMBER(SEARCH("Spotify",C962)),"Pay Bill",IF(ISNUMBER(SEARCH("M-Shwari",C962)),"Mshwari",IF(ISNUMBER(SEARCH("Mshwari",C962)),"Mshwari",IF(ISNUMBER(SEARCH("Withdrawal charge",C962)),"Fees",IF(ISNUMBER(SEARCH("Customer Withdrawal",C962)),"Fees",IF(ISNUMBER(SEARCH("charge",C962)),"Fees","Other")))))))))))))))))))))))))</f>
        <v>Bundles</v>
      </c>
      <c r="R962" s="1" t="str">
        <f aca="false">TEXT(B962,"MMM YYYY")</f>
        <v>May 2026</v>
      </c>
    </row>
    <row r="963" customFormat="false" ht="13.8" hidden="false" customHeight="false" outlineLevel="0" collapsed="false">
      <c r="A963" s="4" t="s">
        <v>1994</v>
      </c>
      <c r="B963" s="4" t="s">
        <v>1995</v>
      </c>
      <c r="C963" s="4" t="s">
        <v>1996</v>
      </c>
      <c r="D963" s="4" t="s">
        <v>18</v>
      </c>
      <c r="E963" s="4"/>
      <c r="F963" s="4" t="n">
        <v>130</v>
      </c>
      <c r="G963" s="4" t="n">
        <v>332.78</v>
      </c>
      <c r="L963" s="1" t="str">
        <f aca="false">IF(ISNUMBER(SEARCH("Bundle",C963)),"Bundles",IF(ISNUMBER(SEARCH("Airtime",C963)),"Bundles",IF(ISNUMBER(SEARCH("Merchant",C963)),"Merchant Payment",IF(ISNUMBER(SEARCH("Offnet C2B",C963)),"Merchant Payment",IF(ISNUMBER(SEARCH("Offnet B2C",C963)),"Merchant Payment",IF(ISNUMBER(SEARCH("Customer Payment to Small",C963)),"Merchant Payment",IF(ISNUMBER(SEARCH("Payment to Small Business",C963)),"Merchant Payment",IF(ISNUMBER(SEARCH("Sent to",C963)),"Sent to Person",IF(ISNUMBER(SEARCH("Customer Transfer to",C963)),"Sent to Person",IF(ISNUMBER(SEARCH("Business Payment",C963)),"Money In",IF(ISNUMBER(SEARCH("Funds Received",C963)),"Money In",IF(ISNUMBER(SEARCH("Receive International",C963)),"Money In",IF(ISNUMBER(SEARCH("Send Money Reversal",C963)),"Money In",IF(ISNUMBER(SEARCH("Pay Utility Reversal",C963)),"Money In",IF(ISNUMBER(SEARCH("Customer Transfer",C963)),"Money In",IF(ISNUMBER(SEARCH("Ziidi",C963)),"Investment",IF(ISNUMBER(SEARCH("Nabo",C963)),"Investment",IF(ISNUMBER(SEARCH("Paybill Online",C963)),"Pay Bill",IF(ISNUMBER(SEARCH("Pay Bill",C963)),"Pay Bill",IF(ISNUMBER(SEARCH("Spotify",C963)),"Pay Bill",IF(ISNUMBER(SEARCH("M-Shwari",C963)),"Mshwari",IF(ISNUMBER(SEARCH("Mshwari",C963)),"Mshwari",IF(ISNUMBER(SEARCH("Withdrawal charge",C963)),"Fees",IF(ISNUMBER(SEARCH("Customer Withdrawal",C963)),"Fees",IF(ISNUMBER(SEARCH("charge",C963)),"Fees","Other")))))))))))))))))))))))))</f>
        <v>Merchant Payment</v>
      </c>
      <c r="R963" s="1" t="str">
        <f aca="false">TEXT(B963,"MMM YYYY")</f>
        <v>May 2026</v>
      </c>
    </row>
    <row r="964" customFormat="false" ht="13.8" hidden="false" customHeight="false" outlineLevel="0" collapsed="false">
      <c r="A964" s="4" t="s">
        <v>1997</v>
      </c>
      <c r="B964" s="4" t="s">
        <v>1998</v>
      </c>
      <c r="C964" s="4" t="s">
        <v>316</v>
      </c>
      <c r="D964" s="4" t="s">
        <v>18</v>
      </c>
      <c r="E964" s="4"/>
      <c r="F964" s="4" t="n">
        <v>202</v>
      </c>
      <c r="G964" s="4" t="n">
        <v>130.78</v>
      </c>
      <c r="L964" s="1" t="str">
        <f aca="false">IF(ISNUMBER(SEARCH("Bundle",C964)),"Bundles",IF(ISNUMBER(SEARCH("Airtime",C964)),"Bundles",IF(ISNUMBER(SEARCH("Merchant",C964)),"Merchant Payment",IF(ISNUMBER(SEARCH("Offnet C2B",C964)),"Merchant Payment",IF(ISNUMBER(SEARCH("Offnet B2C",C964)),"Merchant Payment",IF(ISNUMBER(SEARCH("Customer Payment to Small",C964)),"Merchant Payment",IF(ISNUMBER(SEARCH("Payment to Small Business",C964)),"Merchant Payment",IF(ISNUMBER(SEARCH("Sent to",C964)),"Sent to Person",IF(ISNUMBER(SEARCH("Customer Transfer to",C964)),"Sent to Person",IF(ISNUMBER(SEARCH("Business Payment",C964)),"Money In",IF(ISNUMBER(SEARCH("Funds Received",C964)),"Money In",IF(ISNUMBER(SEARCH("Receive International",C964)),"Money In",IF(ISNUMBER(SEARCH("Send Money Reversal",C964)),"Money In",IF(ISNUMBER(SEARCH("Pay Utility Reversal",C964)),"Money In",IF(ISNUMBER(SEARCH("Customer Transfer",C964)),"Money In",IF(ISNUMBER(SEARCH("Ziidi",C964)),"Investment",IF(ISNUMBER(SEARCH("Nabo",C964)),"Investment",IF(ISNUMBER(SEARCH("Paybill Online",C964)),"Pay Bill",IF(ISNUMBER(SEARCH("Pay Bill",C964)),"Pay Bill",IF(ISNUMBER(SEARCH("Spotify",C964)),"Pay Bill",IF(ISNUMBER(SEARCH("M-Shwari",C964)),"Mshwari",IF(ISNUMBER(SEARCH("Mshwari",C964)),"Mshwari",IF(ISNUMBER(SEARCH("Withdrawal charge",C964)),"Fees",IF(ISNUMBER(SEARCH("Customer Withdrawal",C964)),"Fees",IF(ISNUMBER(SEARCH("charge",C964)),"Fees","Other")))))))))))))))))))))))))</f>
        <v>Merchant Payment</v>
      </c>
      <c r="R964" s="1" t="str">
        <f aca="false">TEXT(B964,"MMM YYYY")</f>
        <v>May 2026</v>
      </c>
    </row>
    <row r="965" customFormat="false" ht="13.8" hidden="false" customHeight="false" outlineLevel="0" collapsed="false">
      <c r="A965" s="4" t="s">
        <v>1999</v>
      </c>
      <c r="B965" s="4" t="s">
        <v>2000</v>
      </c>
      <c r="C965" s="4" t="s">
        <v>17</v>
      </c>
      <c r="D965" s="4" t="s">
        <v>18</v>
      </c>
      <c r="E965" s="4"/>
      <c r="F965" s="4" t="n">
        <v>20</v>
      </c>
      <c r="G965" s="4" t="n">
        <v>110.78</v>
      </c>
      <c r="L965" s="1" t="str">
        <f aca="false">IF(ISNUMBER(SEARCH("Bundle",C965)),"Bundles",IF(ISNUMBER(SEARCH("Airtime",C965)),"Bundles",IF(ISNUMBER(SEARCH("Merchant",C965)),"Merchant Payment",IF(ISNUMBER(SEARCH("Offnet C2B",C965)),"Merchant Payment",IF(ISNUMBER(SEARCH("Offnet B2C",C965)),"Merchant Payment",IF(ISNUMBER(SEARCH("Customer Payment to Small",C965)),"Merchant Payment",IF(ISNUMBER(SEARCH("Payment to Small Business",C965)),"Merchant Payment",IF(ISNUMBER(SEARCH("Sent to",C965)),"Sent to Person",IF(ISNUMBER(SEARCH("Customer Transfer to",C965)),"Sent to Person",IF(ISNUMBER(SEARCH("Business Payment",C965)),"Money In",IF(ISNUMBER(SEARCH("Funds Received",C965)),"Money In",IF(ISNUMBER(SEARCH("Receive International",C965)),"Money In",IF(ISNUMBER(SEARCH("Send Money Reversal",C965)),"Money In",IF(ISNUMBER(SEARCH("Pay Utility Reversal",C965)),"Money In",IF(ISNUMBER(SEARCH("Customer Transfer",C965)),"Money In",IF(ISNUMBER(SEARCH("Ziidi",C965)),"Investment",IF(ISNUMBER(SEARCH("Nabo",C965)),"Investment",IF(ISNUMBER(SEARCH("Paybill Online",C965)),"Pay Bill",IF(ISNUMBER(SEARCH("Pay Bill",C965)),"Pay Bill",IF(ISNUMBER(SEARCH("Spotify",C965)),"Pay Bill",IF(ISNUMBER(SEARCH("M-Shwari",C965)),"Mshwari",IF(ISNUMBER(SEARCH("Mshwari",C965)),"Mshwari",IF(ISNUMBER(SEARCH("Withdrawal charge",C965)),"Fees",IF(ISNUMBER(SEARCH("Customer Withdrawal",C965)),"Fees",IF(ISNUMBER(SEARCH("charge",C965)),"Fees","Other")))))))))))))))))))))))))</f>
        <v>Bundles</v>
      </c>
      <c r="R965" s="1" t="str">
        <f aca="false">TEXT(B965,"MMM YYYY")</f>
        <v>May 2026</v>
      </c>
    </row>
    <row r="966" customFormat="false" ht="13.8" hidden="false" customHeight="false" outlineLevel="0" collapsed="false">
      <c r="A966" s="4" t="s">
        <v>2001</v>
      </c>
      <c r="B966" s="4" t="s">
        <v>2002</v>
      </c>
      <c r="C966" s="4" t="s">
        <v>192</v>
      </c>
      <c r="D966" s="4" t="s">
        <v>18</v>
      </c>
      <c r="E966" s="4" t="n">
        <v>500</v>
      </c>
      <c r="F966" s="4"/>
      <c r="G966" s="4" t="n">
        <v>610.78</v>
      </c>
      <c r="L966" s="1" t="str">
        <f aca="false">IF(ISNUMBER(SEARCH("Bundle",C966)),"Bundles",IF(ISNUMBER(SEARCH("Airtime",C966)),"Bundles",IF(ISNUMBER(SEARCH("Merchant",C966)),"Merchant Payment",IF(ISNUMBER(SEARCH("Offnet C2B",C966)),"Merchant Payment",IF(ISNUMBER(SEARCH("Offnet B2C",C966)),"Merchant Payment",IF(ISNUMBER(SEARCH("Customer Payment to Small",C966)),"Merchant Payment",IF(ISNUMBER(SEARCH("Payment to Small Business",C966)),"Merchant Payment",IF(ISNUMBER(SEARCH("Sent to",C966)),"Sent to Person",IF(ISNUMBER(SEARCH("Customer Transfer to",C966)),"Sent to Person",IF(ISNUMBER(SEARCH("Business Payment",C966)),"Money In",IF(ISNUMBER(SEARCH("Funds Received",C966)),"Money In",IF(ISNUMBER(SEARCH("Receive International",C966)),"Money In",IF(ISNUMBER(SEARCH("Send Money Reversal",C966)),"Money In",IF(ISNUMBER(SEARCH("Pay Utility Reversal",C966)),"Money In",IF(ISNUMBER(SEARCH("Customer Transfer",C966)),"Money In",IF(ISNUMBER(SEARCH("Ziidi",C966)),"Investment",IF(ISNUMBER(SEARCH("Nabo",C966)),"Investment",IF(ISNUMBER(SEARCH("Paybill Online",C966)),"Pay Bill",IF(ISNUMBER(SEARCH("Pay Bill",C966)),"Pay Bill",IF(ISNUMBER(SEARCH("Spotify",C966)),"Pay Bill",IF(ISNUMBER(SEARCH("M-Shwari",C966)),"Mshwari",IF(ISNUMBER(SEARCH("Mshwari",C966)),"Mshwari",IF(ISNUMBER(SEARCH("Withdrawal charge",C966)),"Fees",IF(ISNUMBER(SEARCH("Customer Withdrawal",C966)),"Fees",IF(ISNUMBER(SEARCH("charge",C966)),"Fees","Other")))))))))))))))))))))))))</f>
        <v>Mshwari</v>
      </c>
      <c r="R966" s="1" t="str">
        <f aca="false">TEXT(B966,"MMM YYYY")</f>
        <v>May 2026</v>
      </c>
    </row>
    <row r="967" customFormat="false" ht="13.8" hidden="false" customHeight="false" outlineLevel="0" collapsed="false">
      <c r="A967" s="4" t="s">
        <v>2003</v>
      </c>
      <c r="B967" s="4" t="s">
        <v>2004</v>
      </c>
      <c r="C967" s="4" t="s">
        <v>239</v>
      </c>
      <c r="D967" s="4" t="s">
        <v>18</v>
      </c>
      <c r="E967" s="4"/>
      <c r="F967" s="4" t="n">
        <v>7</v>
      </c>
      <c r="G967" s="4" t="n">
        <v>483.78</v>
      </c>
      <c r="L967" s="1" t="str">
        <f aca="false">IF(ISNUMBER(SEARCH("Bundle",C967)),"Bundles",IF(ISNUMBER(SEARCH("Airtime",C967)),"Bundles",IF(ISNUMBER(SEARCH("Merchant",C967)),"Merchant Payment",IF(ISNUMBER(SEARCH("Offnet C2B",C967)),"Merchant Payment",IF(ISNUMBER(SEARCH("Offnet B2C",C967)),"Merchant Payment",IF(ISNUMBER(SEARCH("Customer Payment to Small",C967)),"Merchant Payment",IF(ISNUMBER(SEARCH("Payment to Small Business",C967)),"Merchant Payment",IF(ISNUMBER(SEARCH("Sent to",C967)),"Sent to Person",IF(ISNUMBER(SEARCH("Customer Transfer to",C967)),"Sent to Person",IF(ISNUMBER(SEARCH("Business Payment",C967)),"Money In",IF(ISNUMBER(SEARCH("Funds Received",C967)),"Money In",IF(ISNUMBER(SEARCH("Receive International",C967)),"Money In",IF(ISNUMBER(SEARCH("Send Money Reversal",C967)),"Money In",IF(ISNUMBER(SEARCH("Pay Utility Reversal",C967)),"Money In",IF(ISNUMBER(SEARCH("Customer Transfer",C967)),"Money In",IF(ISNUMBER(SEARCH("Ziidi",C967)),"Investment",IF(ISNUMBER(SEARCH("Nabo",C967)),"Investment",IF(ISNUMBER(SEARCH("Paybill Online",C967)),"Pay Bill",IF(ISNUMBER(SEARCH("Pay Bill",C967)),"Pay Bill",IF(ISNUMBER(SEARCH("Spotify",C967)),"Pay Bill",IF(ISNUMBER(SEARCH("M-Shwari",C967)),"Mshwari",IF(ISNUMBER(SEARCH("Mshwari",C967)),"Mshwari",IF(ISNUMBER(SEARCH("Withdrawal charge",C967)),"Fees",IF(ISNUMBER(SEARCH("Customer Withdrawal",C967)),"Fees",IF(ISNUMBER(SEARCH("charge",C967)),"Fees","Other")))))))))))))))))))))))))</f>
        <v>Money In</v>
      </c>
      <c r="R967" s="1" t="str">
        <f aca="false">TEXT(B967,"MMM YYYY")</f>
        <v>May 2026</v>
      </c>
    </row>
    <row r="968" customFormat="false" ht="13.8" hidden="false" customHeight="false" outlineLevel="0" collapsed="false">
      <c r="A968" s="4" t="s">
        <v>2003</v>
      </c>
      <c r="B968" s="4" t="s">
        <v>2004</v>
      </c>
      <c r="C968" s="4" t="s">
        <v>787</v>
      </c>
      <c r="D968" s="4" t="s">
        <v>18</v>
      </c>
      <c r="E968" s="4"/>
      <c r="F968" s="4" t="n">
        <v>120</v>
      </c>
      <c r="G968" s="4" t="n">
        <v>490.78</v>
      </c>
      <c r="L968" s="1" t="str">
        <f aca="false">IF(ISNUMBER(SEARCH("Bundle",C968)),"Bundles",IF(ISNUMBER(SEARCH("Airtime",C968)),"Bundles",IF(ISNUMBER(SEARCH("Merchant",C968)),"Merchant Payment",IF(ISNUMBER(SEARCH("Offnet C2B",C968)),"Merchant Payment",IF(ISNUMBER(SEARCH("Offnet B2C",C968)),"Merchant Payment",IF(ISNUMBER(SEARCH("Customer Payment to Small",C968)),"Merchant Payment",IF(ISNUMBER(SEARCH("Payment to Small Business",C968)),"Merchant Payment",IF(ISNUMBER(SEARCH("Sent to",C968)),"Sent to Person",IF(ISNUMBER(SEARCH("Customer Transfer to",C968)),"Sent to Person",IF(ISNUMBER(SEARCH("Business Payment",C968)),"Money In",IF(ISNUMBER(SEARCH("Funds Received",C968)),"Money In",IF(ISNUMBER(SEARCH("Receive International",C968)),"Money In",IF(ISNUMBER(SEARCH("Send Money Reversal",C968)),"Money In",IF(ISNUMBER(SEARCH("Pay Utility Reversal",C968)),"Money In",IF(ISNUMBER(SEARCH("Customer Transfer",C968)),"Money In",IF(ISNUMBER(SEARCH("Ziidi",C968)),"Investment",IF(ISNUMBER(SEARCH("Nabo",C968)),"Investment",IF(ISNUMBER(SEARCH("Paybill Online",C968)),"Pay Bill",IF(ISNUMBER(SEARCH("Pay Bill",C968)),"Pay Bill",IF(ISNUMBER(SEARCH("Spotify",C968)),"Pay Bill",IF(ISNUMBER(SEARCH("M-Shwari",C968)),"Mshwari",IF(ISNUMBER(SEARCH("Mshwari",C968)),"Mshwari",IF(ISNUMBER(SEARCH("Withdrawal charge",C968)),"Fees",IF(ISNUMBER(SEARCH("Customer Withdrawal",C968)),"Fees",IF(ISNUMBER(SEARCH("charge",C968)),"Fees","Other")))))))))))))))))))))))))</f>
        <v>Merchant Payment</v>
      </c>
      <c r="R968" s="1" t="str">
        <f aca="false">TEXT(B968,"MMM YYYY")</f>
        <v>May 2026</v>
      </c>
    </row>
    <row r="969" customFormat="false" ht="13.8" hidden="false" customHeight="false" outlineLevel="0" collapsed="false">
      <c r="A969" s="4" t="s">
        <v>2005</v>
      </c>
      <c r="B969" s="4" t="s">
        <v>2006</v>
      </c>
      <c r="C969" s="4" t="s">
        <v>2007</v>
      </c>
      <c r="D969" s="4" t="s">
        <v>18</v>
      </c>
      <c r="E969" s="4"/>
      <c r="F969" s="4" t="n">
        <v>100</v>
      </c>
      <c r="G969" s="4" t="n">
        <v>383.78</v>
      </c>
      <c r="L969" s="1" t="str">
        <f aca="false">IF(ISNUMBER(SEARCH("Bundle",C969)),"Bundles",IF(ISNUMBER(SEARCH("Airtime",C969)),"Bundles",IF(ISNUMBER(SEARCH("Merchant",C969)),"Merchant Payment",IF(ISNUMBER(SEARCH("Offnet C2B",C969)),"Merchant Payment",IF(ISNUMBER(SEARCH("Offnet B2C",C969)),"Merchant Payment",IF(ISNUMBER(SEARCH("Customer Payment to Small",C969)),"Merchant Payment",IF(ISNUMBER(SEARCH("Payment to Small Business",C969)),"Merchant Payment",IF(ISNUMBER(SEARCH("Sent to",C969)),"Sent to Person",IF(ISNUMBER(SEARCH("Customer Transfer to",C969)),"Sent to Person",IF(ISNUMBER(SEARCH("Business Payment",C969)),"Money In",IF(ISNUMBER(SEARCH("Funds Received",C969)),"Money In",IF(ISNUMBER(SEARCH("Receive International",C969)),"Money In",IF(ISNUMBER(SEARCH("Send Money Reversal",C969)),"Money In",IF(ISNUMBER(SEARCH("Pay Utility Reversal",C969)),"Money In",IF(ISNUMBER(SEARCH("Customer Transfer",C969)),"Money In",IF(ISNUMBER(SEARCH("Ziidi",C969)),"Investment",IF(ISNUMBER(SEARCH("Nabo",C969)),"Investment",IF(ISNUMBER(SEARCH("Paybill Online",C969)),"Pay Bill",IF(ISNUMBER(SEARCH("Pay Bill",C969)),"Pay Bill",IF(ISNUMBER(SEARCH("Spotify",C969)),"Pay Bill",IF(ISNUMBER(SEARCH("M-Shwari",C969)),"Mshwari",IF(ISNUMBER(SEARCH("Mshwari",C969)),"Mshwari",IF(ISNUMBER(SEARCH("Withdrawal charge",C969)),"Fees",IF(ISNUMBER(SEARCH("Customer Withdrawal",C969)),"Fees",IF(ISNUMBER(SEARCH("charge",C969)),"Fees","Other")))))))))))))))))))))))))</f>
        <v>Merchant Payment</v>
      </c>
      <c r="R969" s="1" t="str">
        <f aca="false">TEXT(B969,"MMM YYYY")</f>
        <v>May 2026</v>
      </c>
    </row>
    <row r="970" customFormat="false" ht="13.8" hidden="false" customHeight="false" outlineLevel="0" collapsed="false">
      <c r="A970" s="4" t="s">
        <v>2008</v>
      </c>
      <c r="B970" s="4" t="s">
        <v>2009</v>
      </c>
      <c r="C970" s="4" t="s">
        <v>1073</v>
      </c>
      <c r="D970" s="4" t="s">
        <v>18</v>
      </c>
      <c r="E970" s="4"/>
      <c r="F970" s="4" t="n">
        <v>30</v>
      </c>
      <c r="G970" s="4" t="n">
        <v>353.78</v>
      </c>
      <c r="L970" s="1" t="str">
        <f aca="false">IF(ISNUMBER(SEARCH("Bundle",C970)),"Bundles",IF(ISNUMBER(SEARCH("Airtime",C970)),"Bundles",IF(ISNUMBER(SEARCH("Merchant",C970)),"Merchant Payment",IF(ISNUMBER(SEARCH("Offnet C2B",C970)),"Merchant Payment",IF(ISNUMBER(SEARCH("Offnet B2C",C970)),"Merchant Payment",IF(ISNUMBER(SEARCH("Customer Payment to Small",C970)),"Merchant Payment",IF(ISNUMBER(SEARCH("Payment to Small Business",C970)),"Merchant Payment",IF(ISNUMBER(SEARCH("Sent to",C970)),"Sent to Person",IF(ISNUMBER(SEARCH("Customer Transfer to",C970)),"Sent to Person",IF(ISNUMBER(SEARCH("Business Payment",C970)),"Money In",IF(ISNUMBER(SEARCH("Funds Received",C970)),"Money In",IF(ISNUMBER(SEARCH("Receive International",C970)),"Money In",IF(ISNUMBER(SEARCH("Send Money Reversal",C970)),"Money In",IF(ISNUMBER(SEARCH("Pay Utility Reversal",C970)),"Money In",IF(ISNUMBER(SEARCH("Customer Transfer",C970)),"Money In",IF(ISNUMBER(SEARCH("Ziidi",C970)),"Investment",IF(ISNUMBER(SEARCH("Nabo",C970)),"Investment",IF(ISNUMBER(SEARCH("Paybill Online",C970)),"Pay Bill",IF(ISNUMBER(SEARCH("Pay Bill",C970)),"Pay Bill",IF(ISNUMBER(SEARCH("Spotify",C970)),"Pay Bill",IF(ISNUMBER(SEARCH("M-Shwari",C970)),"Mshwari",IF(ISNUMBER(SEARCH("Mshwari",C970)),"Mshwari",IF(ISNUMBER(SEARCH("Withdrawal charge",C970)),"Fees",IF(ISNUMBER(SEARCH("Customer Withdrawal",C970)),"Fees",IF(ISNUMBER(SEARCH("charge",C970)),"Fees","Other")))))))))))))))))))))))))</f>
        <v>Merchant Payment</v>
      </c>
      <c r="R970" s="1" t="str">
        <f aca="false">TEXT(B970,"MMM YYYY")</f>
        <v>May 2026</v>
      </c>
    </row>
    <row r="971" customFormat="false" ht="13.8" hidden="false" customHeight="false" outlineLevel="0" collapsed="false">
      <c r="A971" s="4" t="s">
        <v>2010</v>
      </c>
      <c r="B971" s="4" t="s">
        <v>2011</v>
      </c>
      <c r="C971" s="4" t="s">
        <v>17</v>
      </c>
      <c r="D971" s="4" t="s">
        <v>18</v>
      </c>
      <c r="E971" s="4"/>
      <c r="F971" s="4" t="n">
        <v>20</v>
      </c>
      <c r="G971" s="4" t="n">
        <v>333.78</v>
      </c>
      <c r="L971" s="1" t="str">
        <f aca="false">IF(ISNUMBER(SEARCH("Bundle",C971)),"Bundles",IF(ISNUMBER(SEARCH("Airtime",C971)),"Bundles",IF(ISNUMBER(SEARCH("Merchant",C971)),"Merchant Payment",IF(ISNUMBER(SEARCH("Offnet C2B",C971)),"Merchant Payment",IF(ISNUMBER(SEARCH("Offnet B2C",C971)),"Merchant Payment",IF(ISNUMBER(SEARCH("Customer Payment to Small",C971)),"Merchant Payment",IF(ISNUMBER(SEARCH("Payment to Small Business",C971)),"Merchant Payment",IF(ISNUMBER(SEARCH("Sent to",C971)),"Sent to Person",IF(ISNUMBER(SEARCH("Customer Transfer to",C971)),"Sent to Person",IF(ISNUMBER(SEARCH("Business Payment",C971)),"Money In",IF(ISNUMBER(SEARCH("Funds Received",C971)),"Money In",IF(ISNUMBER(SEARCH("Receive International",C971)),"Money In",IF(ISNUMBER(SEARCH("Send Money Reversal",C971)),"Money In",IF(ISNUMBER(SEARCH("Pay Utility Reversal",C971)),"Money In",IF(ISNUMBER(SEARCH("Customer Transfer",C971)),"Money In",IF(ISNUMBER(SEARCH("Ziidi",C971)),"Investment",IF(ISNUMBER(SEARCH("Nabo",C971)),"Investment",IF(ISNUMBER(SEARCH("Paybill Online",C971)),"Pay Bill",IF(ISNUMBER(SEARCH("Pay Bill",C971)),"Pay Bill",IF(ISNUMBER(SEARCH("Spotify",C971)),"Pay Bill",IF(ISNUMBER(SEARCH("M-Shwari",C971)),"Mshwari",IF(ISNUMBER(SEARCH("Mshwari",C971)),"Mshwari",IF(ISNUMBER(SEARCH("Withdrawal charge",C971)),"Fees",IF(ISNUMBER(SEARCH("Customer Withdrawal",C971)),"Fees",IF(ISNUMBER(SEARCH("charge",C971)),"Fees","Other")))))))))))))))))))))))))</f>
        <v>Bundles</v>
      </c>
      <c r="R971" s="1" t="str">
        <f aca="false">TEXT(B971,"MMM YYYY")</f>
        <v>May 2026</v>
      </c>
    </row>
    <row r="972" customFormat="false" ht="13.8" hidden="false" customHeight="false" outlineLevel="0" collapsed="false">
      <c r="A972" s="4" t="s">
        <v>2012</v>
      </c>
      <c r="B972" s="4" t="s">
        <v>2013</v>
      </c>
      <c r="C972" s="4" t="s">
        <v>90</v>
      </c>
      <c r="D972" s="4" t="s">
        <v>18</v>
      </c>
      <c r="E972" s="4"/>
      <c r="F972" s="4" t="n">
        <v>10</v>
      </c>
      <c r="G972" s="4" t="n">
        <v>781.78</v>
      </c>
      <c r="L972" s="1" t="str">
        <f aca="false">IF(ISNUMBER(SEARCH("Bundle",C972)),"Bundles",IF(ISNUMBER(SEARCH("Airtime",C972)),"Bundles",IF(ISNUMBER(SEARCH("Merchant",C972)),"Merchant Payment",IF(ISNUMBER(SEARCH("Offnet C2B",C972)),"Merchant Payment",IF(ISNUMBER(SEARCH("Offnet B2C",C972)),"Merchant Payment",IF(ISNUMBER(SEARCH("Customer Payment to Small",C972)),"Merchant Payment",IF(ISNUMBER(SEARCH("Payment to Small Business",C972)),"Merchant Payment",IF(ISNUMBER(SEARCH("Sent to",C972)),"Sent to Person",IF(ISNUMBER(SEARCH("Customer Transfer to",C972)),"Sent to Person",IF(ISNUMBER(SEARCH("Business Payment",C972)),"Money In",IF(ISNUMBER(SEARCH("Funds Received",C972)),"Money In",IF(ISNUMBER(SEARCH("Receive International",C972)),"Money In",IF(ISNUMBER(SEARCH("Send Money Reversal",C972)),"Money In",IF(ISNUMBER(SEARCH("Pay Utility Reversal",C972)),"Money In",IF(ISNUMBER(SEARCH("Customer Transfer",C972)),"Money In",IF(ISNUMBER(SEARCH("Ziidi",C972)),"Investment",IF(ISNUMBER(SEARCH("Nabo",C972)),"Investment",IF(ISNUMBER(SEARCH("Paybill Online",C972)),"Pay Bill",IF(ISNUMBER(SEARCH("Pay Bill",C972)),"Pay Bill",IF(ISNUMBER(SEARCH("Spotify",C972)),"Pay Bill",IF(ISNUMBER(SEARCH("M-Shwari",C972)),"Mshwari",IF(ISNUMBER(SEARCH("Mshwari",C972)),"Mshwari",IF(ISNUMBER(SEARCH("Withdrawal charge",C972)),"Fees",IF(ISNUMBER(SEARCH("Customer Withdrawal",C972)),"Fees",IF(ISNUMBER(SEARCH("charge",C972)),"Fees","Other")))))))))))))))))))))))))</f>
        <v>Bundles</v>
      </c>
      <c r="R972" s="1" t="str">
        <f aca="false">TEXT(B972,"MMM YYYY")</f>
        <v>Jun 2026</v>
      </c>
    </row>
    <row r="973" customFormat="false" ht="13.8" hidden="false" customHeight="false" outlineLevel="0" collapsed="false">
      <c r="A973" s="4" t="s">
        <v>2014</v>
      </c>
      <c r="B973" s="4" t="s">
        <v>2015</v>
      </c>
      <c r="C973" s="4" t="s">
        <v>90</v>
      </c>
      <c r="D973" s="4" t="s">
        <v>18</v>
      </c>
      <c r="E973" s="4"/>
      <c r="F973" s="4" t="n">
        <v>10</v>
      </c>
      <c r="G973" s="4" t="n">
        <v>771.78</v>
      </c>
      <c r="L973" s="1" t="str">
        <f aca="false">IF(ISNUMBER(SEARCH("Bundle",C973)),"Bundles",IF(ISNUMBER(SEARCH("Airtime",C973)),"Bundles",IF(ISNUMBER(SEARCH("Merchant",C973)),"Merchant Payment",IF(ISNUMBER(SEARCH("Offnet C2B",C973)),"Merchant Payment",IF(ISNUMBER(SEARCH("Offnet B2C",C973)),"Merchant Payment",IF(ISNUMBER(SEARCH("Customer Payment to Small",C973)),"Merchant Payment",IF(ISNUMBER(SEARCH("Payment to Small Business",C973)),"Merchant Payment",IF(ISNUMBER(SEARCH("Sent to",C973)),"Sent to Person",IF(ISNUMBER(SEARCH("Customer Transfer to",C973)),"Sent to Person",IF(ISNUMBER(SEARCH("Business Payment",C973)),"Money In",IF(ISNUMBER(SEARCH("Funds Received",C973)),"Money In",IF(ISNUMBER(SEARCH("Receive International",C973)),"Money In",IF(ISNUMBER(SEARCH("Send Money Reversal",C973)),"Money In",IF(ISNUMBER(SEARCH("Pay Utility Reversal",C973)),"Money In",IF(ISNUMBER(SEARCH("Customer Transfer",C973)),"Money In",IF(ISNUMBER(SEARCH("Ziidi",C973)),"Investment",IF(ISNUMBER(SEARCH("Nabo",C973)),"Investment",IF(ISNUMBER(SEARCH("Paybill Online",C973)),"Pay Bill",IF(ISNUMBER(SEARCH("Pay Bill",C973)),"Pay Bill",IF(ISNUMBER(SEARCH("Spotify",C973)),"Pay Bill",IF(ISNUMBER(SEARCH("M-Shwari",C973)),"Mshwari",IF(ISNUMBER(SEARCH("Mshwari",C973)),"Mshwari",IF(ISNUMBER(SEARCH("Withdrawal charge",C973)),"Fees",IF(ISNUMBER(SEARCH("Customer Withdrawal",C973)),"Fees",IF(ISNUMBER(SEARCH("charge",C973)),"Fees","Other")))))))))))))))))))))))))</f>
        <v>Bundles</v>
      </c>
      <c r="R973" s="1" t="str">
        <f aca="false">TEXT(B973,"MMM YYYY")</f>
        <v>Jun 2026</v>
      </c>
    </row>
    <row r="974" customFormat="false" ht="13.8" hidden="false" customHeight="false" outlineLevel="0" collapsed="false">
      <c r="A974" s="4" t="s">
        <v>2016</v>
      </c>
      <c r="B974" s="4" t="s">
        <v>2017</v>
      </c>
      <c r="C974" s="4" t="s">
        <v>90</v>
      </c>
      <c r="D974" s="4" t="s">
        <v>18</v>
      </c>
      <c r="E974" s="4"/>
      <c r="F974" s="4" t="n">
        <v>10</v>
      </c>
      <c r="G974" s="4" t="n">
        <v>761.78</v>
      </c>
      <c r="L974" s="1" t="str">
        <f aca="false">IF(ISNUMBER(SEARCH("Bundle",C974)),"Bundles",IF(ISNUMBER(SEARCH("Airtime",C974)),"Bundles",IF(ISNUMBER(SEARCH("Merchant",C974)),"Merchant Payment",IF(ISNUMBER(SEARCH("Offnet C2B",C974)),"Merchant Payment",IF(ISNUMBER(SEARCH("Offnet B2C",C974)),"Merchant Payment",IF(ISNUMBER(SEARCH("Customer Payment to Small",C974)),"Merchant Payment",IF(ISNUMBER(SEARCH("Payment to Small Business",C974)),"Merchant Payment",IF(ISNUMBER(SEARCH("Sent to",C974)),"Sent to Person",IF(ISNUMBER(SEARCH("Customer Transfer to",C974)),"Sent to Person",IF(ISNUMBER(SEARCH("Business Payment",C974)),"Money In",IF(ISNUMBER(SEARCH("Funds Received",C974)),"Money In",IF(ISNUMBER(SEARCH("Receive International",C974)),"Money In",IF(ISNUMBER(SEARCH("Send Money Reversal",C974)),"Money In",IF(ISNUMBER(SEARCH("Pay Utility Reversal",C974)),"Money In",IF(ISNUMBER(SEARCH("Customer Transfer",C974)),"Money In",IF(ISNUMBER(SEARCH("Ziidi",C974)),"Investment",IF(ISNUMBER(SEARCH("Nabo",C974)),"Investment",IF(ISNUMBER(SEARCH("Paybill Online",C974)),"Pay Bill",IF(ISNUMBER(SEARCH("Pay Bill",C974)),"Pay Bill",IF(ISNUMBER(SEARCH("Spotify",C974)),"Pay Bill",IF(ISNUMBER(SEARCH("M-Shwari",C974)),"Mshwari",IF(ISNUMBER(SEARCH("Mshwari",C974)),"Mshwari",IF(ISNUMBER(SEARCH("Withdrawal charge",C974)),"Fees",IF(ISNUMBER(SEARCH("Customer Withdrawal",C974)),"Fees",IF(ISNUMBER(SEARCH("charge",C974)),"Fees","Other")))))))))))))))))))))))))</f>
        <v>Bundles</v>
      </c>
      <c r="R974" s="1" t="str">
        <f aca="false">TEXT(B974,"MMM YYYY")</f>
        <v>Jun 2026</v>
      </c>
    </row>
    <row r="975" customFormat="false" ht="13.8" hidden="false" customHeight="false" outlineLevel="0" collapsed="false">
      <c r="A975" s="4" t="s">
        <v>2018</v>
      </c>
      <c r="B975" s="4" t="s">
        <v>2019</v>
      </c>
      <c r="C975" s="4" t="s">
        <v>90</v>
      </c>
      <c r="D975" s="4" t="s">
        <v>18</v>
      </c>
      <c r="E975" s="4"/>
      <c r="F975" s="4" t="n">
        <v>20</v>
      </c>
      <c r="G975" s="4" t="n">
        <v>741.78</v>
      </c>
      <c r="L975" s="1" t="str">
        <f aca="false">IF(ISNUMBER(SEARCH("Bundle",C975)),"Bundles",IF(ISNUMBER(SEARCH("Airtime",C975)),"Bundles",IF(ISNUMBER(SEARCH("Merchant",C975)),"Merchant Payment",IF(ISNUMBER(SEARCH("Offnet C2B",C975)),"Merchant Payment",IF(ISNUMBER(SEARCH("Offnet B2C",C975)),"Merchant Payment",IF(ISNUMBER(SEARCH("Customer Payment to Small",C975)),"Merchant Payment",IF(ISNUMBER(SEARCH("Payment to Small Business",C975)),"Merchant Payment",IF(ISNUMBER(SEARCH("Sent to",C975)),"Sent to Person",IF(ISNUMBER(SEARCH("Customer Transfer to",C975)),"Sent to Person",IF(ISNUMBER(SEARCH("Business Payment",C975)),"Money In",IF(ISNUMBER(SEARCH("Funds Received",C975)),"Money In",IF(ISNUMBER(SEARCH("Receive International",C975)),"Money In",IF(ISNUMBER(SEARCH("Send Money Reversal",C975)),"Money In",IF(ISNUMBER(SEARCH("Pay Utility Reversal",C975)),"Money In",IF(ISNUMBER(SEARCH("Customer Transfer",C975)),"Money In",IF(ISNUMBER(SEARCH("Ziidi",C975)),"Investment",IF(ISNUMBER(SEARCH("Nabo",C975)),"Investment",IF(ISNUMBER(SEARCH("Paybill Online",C975)),"Pay Bill",IF(ISNUMBER(SEARCH("Pay Bill",C975)),"Pay Bill",IF(ISNUMBER(SEARCH("Spotify",C975)),"Pay Bill",IF(ISNUMBER(SEARCH("M-Shwari",C975)),"Mshwari",IF(ISNUMBER(SEARCH("Mshwari",C975)),"Mshwari",IF(ISNUMBER(SEARCH("Withdrawal charge",C975)),"Fees",IF(ISNUMBER(SEARCH("Customer Withdrawal",C975)),"Fees",IF(ISNUMBER(SEARCH("charge",C975)),"Fees","Other")))))))))))))))))))))))))</f>
        <v>Bundles</v>
      </c>
      <c r="R975" s="1" t="str">
        <f aca="false">TEXT(B975,"MMM YYYY")</f>
        <v>Jun 2026</v>
      </c>
    </row>
    <row r="976" customFormat="false" ht="13.8" hidden="false" customHeight="false" outlineLevel="0" collapsed="false">
      <c r="A976" s="4" t="s">
        <v>2020</v>
      </c>
      <c r="B976" s="4" t="s">
        <v>2021</v>
      </c>
      <c r="C976" s="4" t="s">
        <v>90</v>
      </c>
      <c r="D976" s="4" t="s">
        <v>18</v>
      </c>
      <c r="E976" s="4"/>
      <c r="F976" s="4" t="n">
        <v>10</v>
      </c>
      <c r="G976" s="4" t="n">
        <v>731.78</v>
      </c>
      <c r="L976" s="1" t="str">
        <f aca="false">IF(ISNUMBER(SEARCH("Bundle",C976)),"Bundles",IF(ISNUMBER(SEARCH("Airtime",C976)),"Bundles",IF(ISNUMBER(SEARCH("Merchant",C976)),"Merchant Payment",IF(ISNUMBER(SEARCH("Offnet C2B",C976)),"Merchant Payment",IF(ISNUMBER(SEARCH("Offnet B2C",C976)),"Merchant Payment",IF(ISNUMBER(SEARCH("Customer Payment to Small",C976)),"Merchant Payment",IF(ISNUMBER(SEARCH("Payment to Small Business",C976)),"Merchant Payment",IF(ISNUMBER(SEARCH("Sent to",C976)),"Sent to Person",IF(ISNUMBER(SEARCH("Customer Transfer to",C976)),"Sent to Person",IF(ISNUMBER(SEARCH("Business Payment",C976)),"Money In",IF(ISNUMBER(SEARCH("Funds Received",C976)),"Money In",IF(ISNUMBER(SEARCH("Receive International",C976)),"Money In",IF(ISNUMBER(SEARCH("Send Money Reversal",C976)),"Money In",IF(ISNUMBER(SEARCH("Pay Utility Reversal",C976)),"Money In",IF(ISNUMBER(SEARCH("Customer Transfer",C976)),"Money In",IF(ISNUMBER(SEARCH("Ziidi",C976)),"Investment",IF(ISNUMBER(SEARCH("Nabo",C976)),"Investment",IF(ISNUMBER(SEARCH("Paybill Online",C976)),"Pay Bill",IF(ISNUMBER(SEARCH("Pay Bill",C976)),"Pay Bill",IF(ISNUMBER(SEARCH("Spotify",C976)),"Pay Bill",IF(ISNUMBER(SEARCH("M-Shwari",C976)),"Mshwari",IF(ISNUMBER(SEARCH("Mshwari",C976)),"Mshwari",IF(ISNUMBER(SEARCH("Withdrawal charge",C976)),"Fees",IF(ISNUMBER(SEARCH("Customer Withdrawal",C976)),"Fees",IF(ISNUMBER(SEARCH("charge",C976)),"Fees","Other")))))))))))))))))))))))))</f>
        <v>Bundles</v>
      </c>
      <c r="R976" s="1" t="str">
        <f aca="false">TEXT(B976,"MMM YYYY")</f>
        <v>Jun 2026</v>
      </c>
    </row>
    <row r="977" customFormat="false" ht="13.8" hidden="false" customHeight="false" outlineLevel="0" collapsed="false">
      <c r="A977" s="4" t="s">
        <v>2022</v>
      </c>
      <c r="B977" s="4" t="s">
        <v>2023</v>
      </c>
      <c r="C977" s="4" t="s">
        <v>90</v>
      </c>
      <c r="D977" s="4" t="s">
        <v>18</v>
      </c>
      <c r="E977" s="4"/>
      <c r="F977" s="4" t="n">
        <v>10</v>
      </c>
      <c r="G977" s="4" t="n">
        <v>721.78</v>
      </c>
      <c r="L977" s="1" t="str">
        <f aca="false">IF(ISNUMBER(SEARCH("Bundle",C977)),"Bundles",IF(ISNUMBER(SEARCH("Airtime",C977)),"Bundles",IF(ISNUMBER(SEARCH("Merchant",C977)),"Merchant Payment",IF(ISNUMBER(SEARCH("Offnet C2B",C977)),"Merchant Payment",IF(ISNUMBER(SEARCH("Offnet B2C",C977)),"Merchant Payment",IF(ISNUMBER(SEARCH("Customer Payment to Small",C977)),"Merchant Payment",IF(ISNUMBER(SEARCH("Payment to Small Business",C977)),"Merchant Payment",IF(ISNUMBER(SEARCH("Sent to",C977)),"Sent to Person",IF(ISNUMBER(SEARCH("Customer Transfer to",C977)),"Sent to Person",IF(ISNUMBER(SEARCH("Business Payment",C977)),"Money In",IF(ISNUMBER(SEARCH("Funds Received",C977)),"Money In",IF(ISNUMBER(SEARCH("Receive International",C977)),"Money In",IF(ISNUMBER(SEARCH("Send Money Reversal",C977)),"Money In",IF(ISNUMBER(SEARCH("Pay Utility Reversal",C977)),"Money In",IF(ISNUMBER(SEARCH("Customer Transfer",C977)),"Money In",IF(ISNUMBER(SEARCH("Ziidi",C977)),"Investment",IF(ISNUMBER(SEARCH("Nabo",C977)),"Investment",IF(ISNUMBER(SEARCH("Paybill Online",C977)),"Pay Bill",IF(ISNUMBER(SEARCH("Pay Bill",C977)),"Pay Bill",IF(ISNUMBER(SEARCH("Spotify",C977)),"Pay Bill",IF(ISNUMBER(SEARCH("M-Shwari",C977)),"Mshwari",IF(ISNUMBER(SEARCH("Mshwari",C977)),"Mshwari",IF(ISNUMBER(SEARCH("Withdrawal charge",C977)),"Fees",IF(ISNUMBER(SEARCH("Customer Withdrawal",C977)),"Fees",IF(ISNUMBER(SEARCH("charge",C977)),"Fees","Other")))))))))))))))))))))))))</f>
        <v>Bundles</v>
      </c>
      <c r="R977" s="1" t="str">
        <f aca="false">TEXT(B977,"MMM YYYY")</f>
        <v>Jun 2026</v>
      </c>
    </row>
    <row r="978" customFormat="false" ht="13.8" hidden="false" customHeight="false" outlineLevel="0" collapsed="false">
      <c r="A978" s="4" t="s">
        <v>2024</v>
      </c>
      <c r="B978" s="4" t="s">
        <v>2025</v>
      </c>
      <c r="C978" s="4" t="s">
        <v>90</v>
      </c>
      <c r="D978" s="4" t="s">
        <v>18</v>
      </c>
      <c r="E978" s="4"/>
      <c r="F978" s="4" t="n">
        <v>10</v>
      </c>
      <c r="G978" s="4" t="n">
        <v>711.78</v>
      </c>
      <c r="L978" s="1" t="str">
        <f aca="false">IF(ISNUMBER(SEARCH("Bundle",C978)),"Bundles",IF(ISNUMBER(SEARCH("Airtime",C978)),"Bundles",IF(ISNUMBER(SEARCH("Merchant",C978)),"Merchant Payment",IF(ISNUMBER(SEARCH("Offnet C2B",C978)),"Merchant Payment",IF(ISNUMBER(SEARCH("Offnet B2C",C978)),"Merchant Payment",IF(ISNUMBER(SEARCH("Customer Payment to Small",C978)),"Merchant Payment",IF(ISNUMBER(SEARCH("Payment to Small Business",C978)),"Merchant Payment",IF(ISNUMBER(SEARCH("Sent to",C978)),"Sent to Person",IF(ISNUMBER(SEARCH("Customer Transfer to",C978)),"Sent to Person",IF(ISNUMBER(SEARCH("Business Payment",C978)),"Money In",IF(ISNUMBER(SEARCH("Funds Received",C978)),"Money In",IF(ISNUMBER(SEARCH("Receive International",C978)),"Money In",IF(ISNUMBER(SEARCH("Send Money Reversal",C978)),"Money In",IF(ISNUMBER(SEARCH("Pay Utility Reversal",C978)),"Money In",IF(ISNUMBER(SEARCH("Customer Transfer",C978)),"Money In",IF(ISNUMBER(SEARCH("Ziidi",C978)),"Investment",IF(ISNUMBER(SEARCH("Nabo",C978)),"Investment",IF(ISNUMBER(SEARCH("Paybill Online",C978)),"Pay Bill",IF(ISNUMBER(SEARCH("Pay Bill",C978)),"Pay Bill",IF(ISNUMBER(SEARCH("Spotify",C978)),"Pay Bill",IF(ISNUMBER(SEARCH("M-Shwari",C978)),"Mshwari",IF(ISNUMBER(SEARCH("Mshwari",C978)),"Mshwari",IF(ISNUMBER(SEARCH("Withdrawal charge",C978)),"Fees",IF(ISNUMBER(SEARCH("Customer Withdrawal",C978)),"Fees",IF(ISNUMBER(SEARCH("charge",C978)),"Fees","Other")))))))))))))))))))))))))</f>
        <v>Bundles</v>
      </c>
      <c r="R978" s="1" t="str">
        <f aca="false">TEXT(B978,"MMM YYYY")</f>
        <v>Jun 2026</v>
      </c>
    </row>
    <row r="979" customFormat="false" ht="13.8" hidden="false" customHeight="false" outlineLevel="0" collapsed="false">
      <c r="A979" s="4" t="s">
        <v>2026</v>
      </c>
      <c r="B979" s="4" t="s">
        <v>2027</v>
      </c>
      <c r="C979" s="4" t="s">
        <v>90</v>
      </c>
      <c r="D979" s="4" t="s">
        <v>18</v>
      </c>
      <c r="E979" s="4"/>
      <c r="F979" s="4" t="n">
        <v>10</v>
      </c>
      <c r="G979" s="4" t="n">
        <v>701.78</v>
      </c>
      <c r="L979" s="1" t="str">
        <f aca="false">IF(ISNUMBER(SEARCH("Bundle",C979)),"Bundles",IF(ISNUMBER(SEARCH("Airtime",C979)),"Bundles",IF(ISNUMBER(SEARCH("Merchant",C979)),"Merchant Payment",IF(ISNUMBER(SEARCH("Offnet C2B",C979)),"Merchant Payment",IF(ISNUMBER(SEARCH("Offnet B2C",C979)),"Merchant Payment",IF(ISNUMBER(SEARCH("Customer Payment to Small",C979)),"Merchant Payment",IF(ISNUMBER(SEARCH("Payment to Small Business",C979)),"Merchant Payment",IF(ISNUMBER(SEARCH("Sent to",C979)),"Sent to Person",IF(ISNUMBER(SEARCH("Customer Transfer to",C979)),"Sent to Person",IF(ISNUMBER(SEARCH("Business Payment",C979)),"Money In",IF(ISNUMBER(SEARCH("Funds Received",C979)),"Money In",IF(ISNUMBER(SEARCH("Receive International",C979)),"Money In",IF(ISNUMBER(SEARCH("Send Money Reversal",C979)),"Money In",IF(ISNUMBER(SEARCH("Pay Utility Reversal",C979)),"Money In",IF(ISNUMBER(SEARCH("Customer Transfer",C979)),"Money In",IF(ISNUMBER(SEARCH("Ziidi",C979)),"Investment",IF(ISNUMBER(SEARCH("Nabo",C979)),"Investment",IF(ISNUMBER(SEARCH("Paybill Online",C979)),"Pay Bill",IF(ISNUMBER(SEARCH("Pay Bill",C979)),"Pay Bill",IF(ISNUMBER(SEARCH("Spotify",C979)),"Pay Bill",IF(ISNUMBER(SEARCH("M-Shwari",C979)),"Mshwari",IF(ISNUMBER(SEARCH("Mshwari",C979)),"Mshwari",IF(ISNUMBER(SEARCH("Withdrawal charge",C979)),"Fees",IF(ISNUMBER(SEARCH("Customer Withdrawal",C979)),"Fees",IF(ISNUMBER(SEARCH("charge",C979)),"Fees","Other")))))))))))))))))))))))))</f>
        <v>Bundles</v>
      </c>
      <c r="R979" s="1" t="str">
        <f aca="false">TEXT(B979,"MMM YYYY")</f>
        <v>Jun 2026</v>
      </c>
    </row>
    <row r="980" customFormat="false" ht="13.8" hidden="false" customHeight="false" outlineLevel="0" collapsed="false">
      <c r="A980" s="4" t="s">
        <v>2028</v>
      </c>
      <c r="B980" s="4" t="s">
        <v>2029</v>
      </c>
      <c r="C980" s="4" t="s">
        <v>90</v>
      </c>
      <c r="D980" s="4" t="s">
        <v>18</v>
      </c>
      <c r="E980" s="4"/>
      <c r="F980" s="4" t="n">
        <v>10</v>
      </c>
      <c r="G980" s="4" t="n">
        <v>691.78</v>
      </c>
      <c r="L980" s="1" t="str">
        <f aca="false">IF(ISNUMBER(SEARCH("Bundle",C980)),"Bundles",IF(ISNUMBER(SEARCH("Airtime",C980)),"Bundles",IF(ISNUMBER(SEARCH("Merchant",C980)),"Merchant Payment",IF(ISNUMBER(SEARCH("Offnet C2B",C980)),"Merchant Payment",IF(ISNUMBER(SEARCH("Offnet B2C",C980)),"Merchant Payment",IF(ISNUMBER(SEARCH("Customer Payment to Small",C980)),"Merchant Payment",IF(ISNUMBER(SEARCH("Payment to Small Business",C980)),"Merchant Payment",IF(ISNUMBER(SEARCH("Sent to",C980)),"Sent to Person",IF(ISNUMBER(SEARCH("Customer Transfer to",C980)),"Sent to Person",IF(ISNUMBER(SEARCH("Business Payment",C980)),"Money In",IF(ISNUMBER(SEARCH("Funds Received",C980)),"Money In",IF(ISNUMBER(SEARCH("Receive International",C980)),"Money In",IF(ISNUMBER(SEARCH("Send Money Reversal",C980)),"Money In",IF(ISNUMBER(SEARCH("Pay Utility Reversal",C980)),"Money In",IF(ISNUMBER(SEARCH("Customer Transfer",C980)),"Money In",IF(ISNUMBER(SEARCH("Ziidi",C980)),"Investment",IF(ISNUMBER(SEARCH("Nabo",C980)),"Investment",IF(ISNUMBER(SEARCH("Paybill Online",C980)),"Pay Bill",IF(ISNUMBER(SEARCH("Pay Bill",C980)),"Pay Bill",IF(ISNUMBER(SEARCH("Spotify",C980)),"Pay Bill",IF(ISNUMBER(SEARCH("M-Shwari",C980)),"Mshwari",IF(ISNUMBER(SEARCH("Mshwari",C980)),"Mshwari",IF(ISNUMBER(SEARCH("Withdrawal charge",C980)),"Fees",IF(ISNUMBER(SEARCH("Customer Withdrawal",C980)),"Fees",IF(ISNUMBER(SEARCH("charge",C980)),"Fees","Other")))))))))))))))))))))))))</f>
        <v>Bundles</v>
      </c>
      <c r="R980" s="1" t="str">
        <f aca="false">TEXT(B980,"MMM YYYY")</f>
        <v>Jun 2026</v>
      </c>
    </row>
    <row r="981" customFormat="false" ht="13.8" hidden="false" customHeight="false" outlineLevel="0" collapsed="false">
      <c r="A981" s="4" t="s">
        <v>2030</v>
      </c>
      <c r="B981" s="4" t="s">
        <v>2031</v>
      </c>
      <c r="C981" s="4" t="s">
        <v>90</v>
      </c>
      <c r="D981" s="4" t="s">
        <v>18</v>
      </c>
      <c r="E981" s="4"/>
      <c r="F981" s="4" t="n">
        <v>10</v>
      </c>
      <c r="G981" s="4" t="n">
        <v>681.78</v>
      </c>
      <c r="L981" s="1" t="str">
        <f aca="false">IF(ISNUMBER(SEARCH("Bundle",C981)),"Bundles",IF(ISNUMBER(SEARCH("Airtime",C981)),"Bundles",IF(ISNUMBER(SEARCH("Merchant",C981)),"Merchant Payment",IF(ISNUMBER(SEARCH("Offnet C2B",C981)),"Merchant Payment",IF(ISNUMBER(SEARCH("Offnet B2C",C981)),"Merchant Payment",IF(ISNUMBER(SEARCH("Customer Payment to Small",C981)),"Merchant Payment",IF(ISNUMBER(SEARCH("Payment to Small Business",C981)),"Merchant Payment",IF(ISNUMBER(SEARCH("Sent to",C981)),"Sent to Person",IF(ISNUMBER(SEARCH("Customer Transfer to",C981)),"Sent to Person",IF(ISNUMBER(SEARCH("Business Payment",C981)),"Money In",IF(ISNUMBER(SEARCH("Funds Received",C981)),"Money In",IF(ISNUMBER(SEARCH("Receive International",C981)),"Money In",IF(ISNUMBER(SEARCH("Send Money Reversal",C981)),"Money In",IF(ISNUMBER(SEARCH("Pay Utility Reversal",C981)),"Money In",IF(ISNUMBER(SEARCH("Customer Transfer",C981)),"Money In",IF(ISNUMBER(SEARCH("Ziidi",C981)),"Investment",IF(ISNUMBER(SEARCH("Nabo",C981)),"Investment",IF(ISNUMBER(SEARCH("Paybill Online",C981)),"Pay Bill",IF(ISNUMBER(SEARCH("Pay Bill",C981)),"Pay Bill",IF(ISNUMBER(SEARCH("Spotify",C981)),"Pay Bill",IF(ISNUMBER(SEARCH("M-Shwari",C981)),"Mshwari",IF(ISNUMBER(SEARCH("Mshwari",C981)),"Mshwari",IF(ISNUMBER(SEARCH("Withdrawal charge",C981)),"Fees",IF(ISNUMBER(SEARCH("Customer Withdrawal",C981)),"Fees",IF(ISNUMBER(SEARCH("charge",C981)),"Fees","Other")))))))))))))))))))))))))</f>
        <v>Bundles</v>
      </c>
      <c r="R981" s="1" t="str">
        <f aca="false">TEXT(B981,"MMM YYYY")</f>
        <v>Jun 2026</v>
      </c>
    </row>
    <row r="982" customFormat="false" ht="13.8" hidden="false" customHeight="false" outlineLevel="0" collapsed="false">
      <c r="A982" s="4" t="s">
        <v>2032</v>
      </c>
      <c r="B982" s="4" t="s">
        <v>2033</v>
      </c>
      <c r="C982" s="4" t="s">
        <v>90</v>
      </c>
      <c r="D982" s="4" t="s">
        <v>18</v>
      </c>
      <c r="E982" s="4"/>
      <c r="F982" s="4" t="n">
        <v>10</v>
      </c>
      <c r="G982" s="4" t="n">
        <v>671.78</v>
      </c>
      <c r="L982" s="1" t="str">
        <f aca="false">IF(ISNUMBER(SEARCH("Bundle",C982)),"Bundles",IF(ISNUMBER(SEARCH("Airtime",C982)),"Bundles",IF(ISNUMBER(SEARCH("Merchant",C982)),"Merchant Payment",IF(ISNUMBER(SEARCH("Offnet C2B",C982)),"Merchant Payment",IF(ISNUMBER(SEARCH("Offnet B2C",C982)),"Merchant Payment",IF(ISNUMBER(SEARCH("Customer Payment to Small",C982)),"Merchant Payment",IF(ISNUMBER(SEARCH("Payment to Small Business",C982)),"Merchant Payment",IF(ISNUMBER(SEARCH("Sent to",C982)),"Sent to Person",IF(ISNUMBER(SEARCH("Customer Transfer to",C982)),"Sent to Person",IF(ISNUMBER(SEARCH("Business Payment",C982)),"Money In",IF(ISNUMBER(SEARCH("Funds Received",C982)),"Money In",IF(ISNUMBER(SEARCH("Receive International",C982)),"Money In",IF(ISNUMBER(SEARCH("Send Money Reversal",C982)),"Money In",IF(ISNUMBER(SEARCH("Pay Utility Reversal",C982)),"Money In",IF(ISNUMBER(SEARCH("Customer Transfer",C982)),"Money In",IF(ISNUMBER(SEARCH("Ziidi",C982)),"Investment",IF(ISNUMBER(SEARCH("Nabo",C982)),"Investment",IF(ISNUMBER(SEARCH("Paybill Online",C982)),"Pay Bill",IF(ISNUMBER(SEARCH("Pay Bill",C982)),"Pay Bill",IF(ISNUMBER(SEARCH("Spotify",C982)),"Pay Bill",IF(ISNUMBER(SEARCH("M-Shwari",C982)),"Mshwari",IF(ISNUMBER(SEARCH("Mshwari",C982)),"Mshwari",IF(ISNUMBER(SEARCH("Withdrawal charge",C982)),"Fees",IF(ISNUMBER(SEARCH("Customer Withdrawal",C982)),"Fees",IF(ISNUMBER(SEARCH("charge",C982)),"Fees","Other")))))))))))))))))))))))))</f>
        <v>Bundles</v>
      </c>
      <c r="R982" s="1" t="str">
        <f aca="false">TEXT(B982,"MMM YYYY")</f>
        <v>Jun 2026</v>
      </c>
    </row>
    <row r="983" customFormat="false" ht="13.8" hidden="false" customHeight="false" outlineLevel="0" collapsed="false">
      <c r="A983" s="4" t="s">
        <v>2034</v>
      </c>
      <c r="B983" s="4" t="s">
        <v>2035</v>
      </c>
      <c r="C983" s="4" t="s">
        <v>90</v>
      </c>
      <c r="D983" s="4" t="s">
        <v>18</v>
      </c>
      <c r="E983" s="4"/>
      <c r="F983" s="4" t="n">
        <v>10</v>
      </c>
      <c r="G983" s="4" t="n">
        <v>661.78</v>
      </c>
      <c r="L983" s="1" t="str">
        <f aca="false">IF(ISNUMBER(SEARCH("Bundle",C983)),"Bundles",IF(ISNUMBER(SEARCH("Airtime",C983)),"Bundles",IF(ISNUMBER(SEARCH("Merchant",C983)),"Merchant Payment",IF(ISNUMBER(SEARCH("Offnet C2B",C983)),"Merchant Payment",IF(ISNUMBER(SEARCH("Offnet B2C",C983)),"Merchant Payment",IF(ISNUMBER(SEARCH("Customer Payment to Small",C983)),"Merchant Payment",IF(ISNUMBER(SEARCH("Payment to Small Business",C983)),"Merchant Payment",IF(ISNUMBER(SEARCH("Sent to",C983)),"Sent to Person",IF(ISNUMBER(SEARCH("Customer Transfer to",C983)),"Sent to Person",IF(ISNUMBER(SEARCH("Business Payment",C983)),"Money In",IF(ISNUMBER(SEARCH("Funds Received",C983)),"Money In",IF(ISNUMBER(SEARCH("Receive International",C983)),"Money In",IF(ISNUMBER(SEARCH("Send Money Reversal",C983)),"Money In",IF(ISNUMBER(SEARCH("Pay Utility Reversal",C983)),"Money In",IF(ISNUMBER(SEARCH("Customer Transfer",C983)),"Money In",IF(ISNUMBER(SEARCH("Ziidi",C983)),"Investment",IF(ISNUMBER(SEARCH("Nabo",C983)),"Investment",IF(ISNUMBER(SEARCH("Paybill Online",C983)),"Pay Bill",IF(ISNUMBER(SEARCH("Pay Bill",C983)),"Pay Bill",IF(ISNUMBER(SEARCH("Spotify",C983)),"Pay Bill",IF(ISNUMBER(SEARCH("M-Shwari",C983)),"Mshwari",IF(ISNUMBER(SEARCH("Mshwari",C983)),"Mshwari",IF(ISNUMBER(SEARCH("Withdrawal charge",C983)),"Fees",IF(ISNUMBER(SEARCH("Customer Withdrawal",C983)),"Fees",IF(ISNUMBER(SEARCH("charge",C983)),"Fees","Other")))))))))))))))))))))))))</f>
        <v>Bundles</v>
      </c>
      <c r="R983" s="1" t="str">
        <f aca="false">TEXT(B983,"MMM YYYY")</f>
        <v>Jun 2026</v>
      </c>
    </row>
    <row r="984" customFormat="false" ht="13.8" hidden="false" customHeight="false" outlineLevel="0" collapsed="false">
      <c r="A984" s="4" t="s">
        <v>2036</v>
      </c>
      <c r="B984" s="4" t="s">
        <v>2037</v>
      </c>
      <c r="C984" s="4" t="s">
        <v>2038</v>
      </c>
      <c r="D984" s="4" t="s">
        <v>18</v>
      </c>
      <c r="E984" s="4" t="n">
        <v>7.13</v>
      </c>
      <c r="F984" s="4"/>
      <c r="G984" s="4" t="n">
        <v>668.91</v>
      </c>
      <c r="L984" s="1" t="str">
        <f aca="false">IF(ISNUMBER(SEARCH("Bundle",C984)),"Bundles",IF(ISNUMBER(SEARCH("Airtime",C984)),"Bundles",IF(ISNUMBER(SEARCH("Merchant",C984)),"Merchant Payment",IF(ISNUMBER(SEARCH("Offnet C2B",C984)),"Merchant Payment",IF(ISNUMBER(SEARCH("Offnet B2C",C984)),"Merchant Payment",IF(ISNUMBER(SEARCH("Customer Payment to Small",C984)),"Merchant Payment",IF(ISNUMBER(SEARCH("Payment to Small Business",C984)),"Merchant Payment",IF(ISNUMBER(SEARCH("Sent to",C984)),"Sent to Person",IF(ISNUMBER(SEARCH("Customer Transfer to",C984)),"Sent to Person",IF(ISNUMBER(SEARCH("Business Payment",C984)),"Money In",IF(ISNUMBER(SEARCH("Funds Received",C984)),"Money In",IF(ISNUMBER(SEARCH("Receive International",C984)),"Money In",IF(ISNUMBER(SEARCH("Send Money Reversal",C984)),"Money In",IF(ISNUMBER(SEARCH("Pay Utility Reversal",C984)),"Money In",IF(ISNUMBER(SEARCH("Customer Transfer",C984)),"Money In",IF(ISNUMBER(SEARCH("Ziidi",C984)),"Investment",IF(ISNUMBER(SEARCH("Nabo",C984)),"Investment",IF(ISNUMBER(SEARCH("Paybill Online",C984)),"Pay Bill",IF(ISNUMBER(SEARCH("Pay Bill",C984)),"Pay Bill",IF(ISNUMBER(SEARCH("Spotify",C984)),"Pay Bill",IF(ISNUMBER(SEARCH("M-Shwari",C984)),"Mshwari",IF(ISNUMBER(SEARCH("Mshwari",C984)),"Mshwari",IF(ISNUMBER(SEARCH("Withdrawal charge",C984)),"Fees",IF(ISNUMBER(SEARCH("Customer Withdrawal",C984)),"Fees",IF(ISNUMBER(SEARCH("charge",C984)),"Fees","Other")))))))))))))))))))))))))</f>
        <v>Investment</v>
      </c>
      <c r="R984" s="1" t="str">
        <f aca="false">TEXT(B984,"MMM YYYY")</f>
        <v>Jun 2026</v>
      </c>
    </row>
    <row r="985" customFormat="false" ht="13.8" hidden="false" customHeight="false" outlineLevel="0" collapsed="false">
      <c r="A985" s="4" t="s">
        <v>2039</v>
      </c>
      <c r="B985" s="4" t="s">
        <v>2040</v>
      </c>
      <c r="C985" s="4" t="s">
        <v>90</v>
      </c>
      <c r="D985" s="4" t="s">
        <v>18</v>
      </c>
      <c r="E985" s="4"/>
      <c r="F985" s="4" t="n">
        <v>10</v>
      </c>
      <c r="G985" s="4" t="n">
        <v>658.91</v>
      </c>
      <c r="L985" s="1" t="str">
        <f aca="false">IF(ISNUMBER(SEARCH("Bundle",C985)),"Bundles",IF(ISNUMBER(SEARCH("Airtime",C985)),"Bundles",IF(ISNUMBER(SEARCH("Merchant",C985)),"Merchant Payment",IF(ISNUMBER(SEARCH("Offnet C2B",C985)),"Merchant Payment",IF(ISNUMBER(SEARCH("Offnet B2C",C985)),"Merchant Payment",IF(ISNUMBER(SEARCH("Customer Payment to Small",C985)),"Merchant Payment",IF(ISNUMBER(SEARCH("Payment to Small Business",C985)),"Merchant Payment",IF(ISNUMBER(SEARCH("Sent to",C985)),"Sent to Person",IF(ISNUMBER(SEARCH("Customer Transfer to",C985)),"Sent to Person",IF(ISNUMBER(SEARCH("Business Payment",C985)),"Money In",IF(ISNUMBER(SEARCH("Funds Received",C985)),"Money In",IF(ISNUMBER(SEARCH("Receive International",C985)),"Money In",IF(ISNUMBER(SEARCH("Send Money Reversal",C985)),"Money In",IF(ISNUMBER(SEARCH("Pay Utility Reversal",C985)),"Money In",IF(ISNUMBER(SEARCH("Customer Transfer",C985)),"Money In",IF(ISNUMBER(SEARCH("Ziidi",C985)),"Investment",IF(ISNUMBER(SEARCH("Nabo",C985)),"Investment",IF(ISNUMBER(SEARCH("Paybill Online",C985)),"Pay Bill",IF(ISNUMBER(SEARCH("Pay Bill",C985)),"Pay Bill",IF(ISNUMBER(SEARCH("Spotify",C985)),"Pay Bill",IF(ISNUMBER(SEARCH("M-Shwari",C985)),"Mshwari",IF(ISNUMBER(SEARCH("Mshwari",C985)),"Mshwari",IF(ISNUMBER(SEARCH("Withdrawal charge",C985)),"Fees",IF(ISNUMBER(SEARCH("Customer Withdrawal",C985)),"Fees",IF(ISNUMBER(SEARCH("charge",C985)),"Fees","Other")))))))))))))))))))))))))</f>
        <v>Bundles</v>
      </c>
      <c r="R985" s="1" t="str">
        <f aca="false">TEXT(B985,"MMM YYYY")</f>
        <v>Jun 2026</v>
      </c>
    </row>
    <row r="986" customFormat="false" ht="13.8" hidden="false" customHeight="false" outlineLevel="0" collapsed="false">
      <c r="A986" s="4" t="s">
        <v>2041</v>
      </c>
      <c r="B986" s="4" t="s">
        <v>2042</v>
      </c>
      <c r="C986" s="4" t="s">
        <v>90</v>
      </c>
      <c r="D986" s="4" t="s">
        <v>18</v>
      </c>
      <c r="E986" s="4"/>
      <c r="F986" s="4" t="n">
        <v>10</v>
      </c>
      <c r="G986" s="4" t="n">
        <v>648.91</v>
      </c>
      <c r="L986" s="1" t="str">
        <f aca="false">IF(ISNUMBER(SEARCH("Bundle",C986)),"Bundles",IF(ISNUMBER(SEARCH("Airtime",C986)),"Bundles",IF(ISNUMBER(SEARCH("Merchant",C986)),"Merchant Payment",IF(ISNUMBER(SEARCH("Offnet C2B",C986)),"Merchant Payment",IF(ISNUMBER(SEARCH("Offnet B2C",C986)),"Merchant Payment",IF(ISNUMBER(SEARCH("Customer Payment to Small",C986)),"Merchant Payment",IF(ISNUMBER(SEARCH("Payment to Small Business",C986)),"Merchant Payment",IF(ISNUMBER(SEARCH("Sent to",C986)),"Sent to Person",IF(ISNUMBER(SEARCH("Customer Transfer to",C986)),"Sent to Person",IF(ISNUMBER(SEARCH("Business Payment",C986)),"Money In",IF(ISNUMBER(SEARCH("Funds Received",C986)),"Money In",IF(ISNUMBER(SEARCH("Receive International",C986)),"Money In",IF(ISNUMBER(SEARCH("Send Money Reversal",C986)),"Money In",IF(ISNUMBER(SEARCH("Pay Utility Reversal",C986)),"Money In",IF(ISNUMBER(SEARCH("Customer Transfer",C986)),"Money In",IF(ISNUMBER(SEARCH("Ziidi",C986)),"Investment",IF(ISNUMBER(SEARCH("Nabo",C986)),"Investment",IF(ISNUMBER(SEARCH("Paybill Online",C986)),"Pay Bill",IF(ISNUMBER(SEARCH("Pay Bill",C986)),"Pay Bill",IF(ISNUMBER(SEARCH("Spotify",C986)),"Pay Bill",IF(ISNUMBER(SEARCH("M-Shwari",C986)),"Mshwari",IF(ISNUMBER(SEARCH("Mshwari",C986)),"Mshwari",IF(ISNUMBER(SEARCH("Withdrawal charge",C986)),"Fees",IF(ISNUMBER(SEARCH("Customer Withdrawal",C986)),"Fees",IF(ISNUMBER(SEARCH("charge",C986)),"Fees","Other")))))))))))))))))))))))))</f>
        <v>Bundles</v>
      </c>
      <c r="R986" s="1" t="str">
        <f aca="false">TEXT(B986,"MMM YYYY")</f>
        <v>Jun 2026</v>
      </c>
    </row>
    <row r="987" customFormat="false" ht="13.8" hidden="false" customHeight="false" outlineLevel="0" collapsed="false">
      <c r="A987" s="4" t="s">
        <v>2043</v>
      </c>
      <c r="B987" s="4" t="s">
        <v>2044</v>
      </c>
      <c r="C987" s="4" t="s">
        <v>90</v>
      </c>
      <c r="D987" s="4" t="s">
        <v>18</v>
      </c>
      <c r="E987" s="4"/>
      <c r="F987" s="4" t="n">
        <v>10</v>
      </c>
      <c r="G987" s="4" t="n">
        <v>638.91</v>
      </c>
      <c r="L987" s="1" t="str">
        <f aca="false">IF(ISNUMBER(SEARCH("Bundle",C987)),"Bundles",IF(ISNUMBER(SEARCH("Airtime",C987)),"Bundles",IF(ISNUMBER(SEARCH("Merchant",C987)),"Merchant Payment",IF(ISNUMBER(SEARCH("Offnet C2B",C987)),"Merchant Payment",IF(ISNUMBER(SEARCH("Offnet B2C",C987)),"Merchant Payment",IF(ISNUMBER(SEARCH("Customer Payment to Small",C987)),"Merchant Payment",IF(ISNUMBER(SEARCH("Payment to Small Business",C987)),"Merchant Payment",IF(ISNUMBER(SEARCH("Sent to",C987)),"Sent to Person",IF(ISNUMBER(SEARCH("Customer Transfer to",C987)),"Sent to Person",IF(ISNUMBER(SEARCH("Business Payment",C987)),"Money In",IF(ISNUMBER(SEARCH("Funds Received",C987)),"Money In",IF(ISNUMBER(SEARCH("Receive International",C987)),"Money In",IF(ISNUMBER(SEARCH("Send Money Reversal",C987)),"Money In",IF(ISNUMBER(SEARCH("Pay Utility Reversal",C987)),"Money In",IF(ISNUMBER(SEARCH("Customer Transfer",C987)),"Money In",IF(ISNUMBER(SEARCH("Ziidi",C987)),"Investment",IF(ISNUMBER(SEARCH("Nabo",C987)),"Investment",IF(ISNUMBER(SEARCH("Paybill Online",C987)),"Pay Bill",IF(ISNUMBER(SEARCH("Pay Bill",C987)),"Pay Bill",IF(ISNUMBER(SEARCH("Spotify",C987)),"Pay Bill",IF(ISNUMBER(SEARCH("M-Shwari",C987)),"Mshwari",IF(ISNUMBER(SEARCH("Mshwari",C987)),"Mshwari",IF(ISNUMBER(SEARCH("Withdrawal charge",C987)),"Fees",IF(ISNUMBER(SEARCH("Customer Withdrawal",C987)),"Fees",IF(ISNUMBER(SEARCH("charge",C987)),"Fees","Other")))))))))))))))))))))))))</f>
        <v>Bundles</v>
      </c>
      <c r="R987" s="1" t="str">
        <f aca="false">TEXT(B987,"MMM YYYY")</f>
        <v>Jun 2026</v>
      </c>
    </row>
    <row r="988" customFormat="false" ht="13.8" hidden="false" customHeight="false" outlineLevel="0" collapsed="false">
      <c r="A988" s="4" t="s">
        <v>2045</v>
      </c>
      <c r="B988" s="4" t="s">
        <v>2046</v>
      </c>
      <c r="C988" s="4" t="s">
        <v>90</v>
      </c>
      <c r="D988" s="4" t="s">
        <v>18</v>
      </c>
      <c r="E988" s="4"/>
      <c r="F988" s="4" t="n">
        <v>10</v>
      </c>
      <c r="G988" s="4" t="n">
        <v>628.91</v>
      </c>
      <c r="L988" s="1" t="str">
        <f aca="false">IF(ISNUMBER(SEARCH("Bundle",C988)),"Bundles",IF(ISNUMBER(SEARCH("Airtime",C988)),"Bundles",IF(ISNUMBER(SEARCH("Merchant",C988)),"Merchant Payment",IF(ISNUMBER(SEARCH("Offnet C2B",C988)),"Merchant Payment",IF(ISNUMBER(SEARCH("Offnet B2C",C988)),"Merchant Payment",IF(ISNUMBER(SEARCH("Customer Payment to Small",C988)),"Merchant Payment",IF(ISNUMBER(SEARCH("Payment to Small Business",C988)),"Merchant Payment",IF(ISNUMBER(SEARCH("Sent to",C988)),"Sent to Person",IF(ISNUMBER(SEARCH("Customer Transfer to",C988)),"Sent to Person",IF(ISNUMBER(SEARCH("Business Payment",C988)),"Money In",IF(ISNUMBER(SEARCH("Funds Received",C988)),"Money In",IF(ISNUMBER(SEARCH("Receive International",C988)),"Money In",IF(ISNUMBER(SEARCH("Send Money Reversal",C988)),"Money In",IF(ISNUMBER(SEARCH("Pay Utility Reversal",C988)),"Money In",IF(ISNUMBER(SEARCH("Customer Transfer",C988)),"Money In",IF(ISNUMBER(SEARCH("Ziidi",C988)),"Investment",IF(ISNUMBER(SEARCH("Nabo",C988)),"Investment",IF(ISNUMBER(SEARCH("Paybill Online",C988)),"Pay Bill",IF(ISNUMBER(SEARCH("Pay Bill",C988)),"Pay Bill",IF(ISNUMBER(SEARCH("Spotify",C988)),"Pay Bill",IF(ISNUMBER(SEARCH("M-Shwari",C988)),"Mshwari",IF(ISNUMBER(SEARCH("Mshwari",C988)),"Mshwari",IF(ISNUMBER(SEARCH("Withdrawal charge",C988)),"Fees",IF(ISNUMBER(SEARCH("Customer Withdrawal",C988)),"Fees",IF(ISNUMBER(SEARCH("charge",C988)),"Fees","Other")))))))))))))))))))))))))</f>
        <v>Bundles</v>
      </c>
      <c r="R988" s="1" t="str">
        <f aca="false">TEXT(B988,"MMM YYYY")</f>
        <v>Jun 2026</v>
      </c>
    </row>
    <row r="989" customFormat="false" ht="13.8" hidden="false" customHeight="false" outlineLevel="0" collapsed="false">
      <c r="A989" s="4" t="s">
        <v>2047</v>
      </c>
      <c r="B989" s="4" t="s">
        <v>2048</v>
      </c>
      <c r="C989" s="4" t="s">
        <v>90</v>
      </c>
      <c r="D989" s="4" t="s">
        <v>18</v>
      </c>
      <c r="E989" s="4"/>
      <c r="F989" s="4" t="n">
        <v>10</v>
      </c>
      <c r="G989" s="4" t="n">
        <v>618.91</v>
      </c>
      <c r="L989" s="1" t="str">
        <f aca="false">IF(ISNUMBER(SEARCH("Bundle",C989)),"Bundles",IF(ISNUMBER(SEARCH("Airtime",C989)),"Bundles",IF(ISNUMBER(SEARCH("Merchant",C989)),"Merchant Payment",IF(ISNUMBER(SEARCH("Offnet C2B",C989)),"Merchant Payment",IF(ISNUMBER(SEARCH("Offnet B2C",C989)),"Merchant Payment",IF(ISNUMBER(SEARCH("Customer Payment to Small",C989)),"Merchant Payment",IF(ISNUMBER(SEARCH("Payment to Small Business",C989)),"Merchant Payment",IF(ISNUMBER(SEARCH("Sent to",C989)),"Sent to Person",IF(ISNUMBER(SEARCH("Customer Transfer to",C989)),"Sent to Person",IF(ISNUMBER(SEARCH("Business Payment",C989)),"Money In",IF(ISNUMBER(SEARCH("Funds Received",C989)),"Money In",IF(ISNUMBER(SEARCH("Receive International",C989)),"Money In",IF(ISNUMBER(SEARCH("Send Money Reversal",C989)),"Money In",IF(ISNUMBER(SEARCH("Pay Utility Reversal",C989)),"Money In",IF(ISNUMBER(SEARCH("Customer Transfer",C989)),"Money In",IF(ISNUMBER(SEARCH("Ziidi",C989)),"Investment",IF(ISNUMBER(SEARCH("Nabo",C989)),"Investment",IF(ISNUMBER(SEARCH("Paybill Online",C989)),"Pay Bill",IF(ISNUMBER(SEARCH("Pay Bill",C989)),"Pay Bill",IF(ISNUMBER(SEARCH("Spotify",C989)),"Pay Bill",IF(ISNUMBER(SEARCH("M-Shwari",C989)),"Mshwari",IF(ISNUMBER(SEARCH("Mshwari",C989)),"Mshwari",IF(ISNUMBER(SEARCH("Withdrawal charge",C989)),"Fees",IF(ISNUMBER(SEARCH("Customer Withdrawal",C989)),"Fees",IF(ISNUMBER(SEARCH("charge",C989)),"Fees","Other")))))))))))))))))))))))))</f>
        <v>Bundles</v>
      </c>
      <c r="R989" s="1" t="str">
        <f aca="false">TEXT(B989,"MMM YYYY")</f>
        <v>Jun 2026</v>
      </c>
    </row>
    <row r="990" customFormat="false" ht="13.8" hidden="false" customHeight="false" outlineLevel="0" collapsed="false">
      <c r="A990" s="4" t="s">
        <v>2049</v>
      </c>
      <c r="B990" s="4" t="s">
        <v>2050</v>
      </c>
      <c r="C990" s="4" t="s">
        <v>90</v>
      </c>
      <c r="D990" s="4" t="s">
        <v>18</v>
      </c>
      <c r="E990" s="4"/>
      <c r="F990" s="4" t="n">
        <v>10</v>
      </c>
      <c r="G990" s="4" t="n">
        <v>608.91</v>
      </c>
      <c r="L990" s="1" t="str">
        <f aca="false">IF(ISNUMBER(SEARCH("Bundle",C990)),"Bundles",IF(ISNUMBER(SEARCH("Airtime",C990)),"Bundles",IF(ISNUMBER(SEARCH("Merchant",C990)),"Merchant Payment",IF(ISNUMBER(SEARCH("Offnet C2B",C990)),"Merchant Payment",IF(ISNUMBER(SEARCH("Offnet B2C",C990)),"Merchant Payment",IF(ISNUMBER(SEARCH("Customer Payment to Small",C990)),"Merchant Payment",IF(ISNUMBER(SEARCH("Payment to Small Business",C990)),"Merchant Payment",IF(ISNUMBER(SEARCH("Sent to",C990)),"Sent to Person",IF(ISNUMBER(SEARCH("Customer Transfer to",C990)),"Sent to Person",IF(ISNUMBER(SEARCH("Business Payment",C990)),"Money In",IF(ISNUMBER(SEARCH("Funds Received",C990)),"Money In",IF(ISNUMBER(SEARCH("Receive International",C990)),"Money In",IF(ISNUMBER(SEARCH("Send Money Reversal",C990)),"Money In",IF(ISNUMBER(SEARCH("Pay Utility Reversal",C990)),"Money In",IF(ISNUMBER(SEARCH("Customer Transfer",C990)),"Money In",IF(ISNUMBER(SEARCH("Ziidi",C990)),"Investment",IF(ISNUMBER(SEARCH("Nabo",C990)),"Investment",IF(ISNUMBER(SEARCH("Paybill Online",C990)),"Pay Bill",IF(ISNUMBER(SEARCH("Pay Bill",C990)),"Pay Bill",IF(ISNUMBER(SEARCH("Spotify",C990)),"Pay Bill",IF(ISNUMBER(SEARCH("M-Shwari",C990)),"Mshwari",IF(ISNUMBER(SEARCH("Mshwari",C990)),"Mshwari",IF(ISNUMBER(SEARCH("Withdrawal charge",C990)),"Fees",IF(ISNUMBER(SEARCH("Customer Withdrawal",C990)),"Fees",IF(ISNUMBER(SEARCH("charge",C990)),"Fees","Other")))))))))))))))))))))))))</f>
        <v>Bundles</v>
      </c>
      <c r="R990" s="1" t="str">
        <f aca="false">TEXT(B990,"MMM YYYY")</f>
        <v>Jun 2026</v>
      </c>
    </row>
    <row r="991" customFormat="false" ht="13.8" hidden="false" customHeight="false" outlineLevel="0" collapsed="false">
      <c r="A991" s="4" t="s">
        <v>2051</v>
      </c>
      <c r="B991" s="4" t="s">
        <v>2052</v>
      </c>
      <c r="C991" s="4" t="s">
        <v>90</v>
      </c>
      <c r="D991" s="4" t="s">
        <v>18</v>
      </c>
      <c r="E991" s="4"/>
      <c r="F991" s="4" t="n">
        <v>10</v>
      </c>
      <c r="G991" s="4" t="n">
        <v>598.91</v>
      </c>
      <c r="L991" s="1" t="str">
        <f aca="false">IF(ISNUMBER(SEARCH("Bundle",C991)),"Bundles",IF(ISNUMBER(SEARCH("Airtime",C991)),"Bundles",IF(ISNUMBER(SEARCH("Merchant",C991)),"Merchant Payment",IF(ISNUMBER(SEARCH("Offnet C2B",C991)),"Merchant Payment",IF(ISNUMBER(SEARCH("Offnet B2C",C991)),"Merchant Payment",IF(ISNUMBER(SEARCH("Customer Payment to Small",C991)),"Merchant Payment",IF(ISNUMBER(SEARCH("Payment to Small Business",C991)),"Merchant Payment",IF(ISNUMBER(SEARCH("Sent to",C991)),"Sent to Person",IF(ISNUMBER(SEARCH("Customer Transfer to",C991)),"Sent to Person",IF(ISNUMBER(SEARCH("Business Payment",C991)),"Money In",IF(ISNUMBER(SEARCH("Funds Received",C991)),"Money In",IF(ISNUMBER(SEARCH("Receive International",C991)),"Money In",IF(ISNUMBER(SEARCH("Send Money Reversal",C991)),"Money In",IF(ISNUMBER(SEARCH("Pay Utility Reversal",C991)),"Money In",IF(ISNUMBER(SEARCH("Customer Transfer",C991)),"Money In",IF(ISNUMBER(SEARCH("Ziidi",C991)),"Investment",IF(ISNUMBER(SEARCH("Nabo",C991)),"Investment",IF(ISNUMBER(SEARCH("Paybill Online",C991)),"Pay Bill",IF(ISNUMBER(SEARCH("Pay Bill",C991)),"Pay Bill",IF(ISNUMBER(SEARCH("Spotify",C991)),"Pay Bill",IF(ISNUMBER(SEARCH("M-Shwari",C991)),"Mshwari",IF(ISNUMBER(SEARCH("Mshwari",C991)),"Mshwari",IF(ISNUMBER(SEARCH("Withdrawal charge",C991)),"Fees",IF(ISNUMBER(SEARCH("Customer Withdrawal",C991)),"Fees",IF(ISNUMBER(SEARCH("charge",C991)),"Fees","Other")))))))))))))))))))))))))</f>
        <v>Bundles</v>
      </c>
      <c r="R991" s="1" t="str">
        <f aca="false">TEXT(B991,"MMM YYYY")</f>
        <v>Jun 2026</v>
      </c>
    </row>
    <row r="992" customFormat="false" ht="13.8" hidden="false" customHeight="false" outlineLevel="0" collapsed="false">
      <c r="A992" s="4" t="s">
        <v>2053</v>
      </c>
      <c r="B992" s="4" t="s">
        <v>2054</v>
      </c>
      <c r="C992" s="4" t="s">
        <v>390</v>
      </c>
      <c r="D992" s="4" t="s">
        <v>18</v>
      </c>
      <c r="E992" s="4" t="n">
        <v>100</v>
      </c>
      <c r="F992" s="4"/>
      <c r="G992" s="4" t="n">
        <v>698.91</v>
      </c>
      <c r="L992" s="1" t="str">
        <f aca="false">IF(ISNUMBER(SEARCH("Bundle",C992)),"Bundles",IF(ISNUMBER(SEARCH("Airtime",C992)),"Bundles",IF(ISNUMBER(SEARCH("Merchant",C992)),"Merchant Payment",IF(ISNUMBER(SEARCH("Offnet C2B",C992)),"Merchant Payment",IF(ISNUMBER(SEARCH("Offnet B2C",C992)),"Merchant Payment",IF(ISNUMBER(SEARCH("Customer Payment to Small",C992)),"Merchant Payment",IF(ISNUMBER(SEARCH("Payment to Small Business",C992)),"Merchant Payment",IF(ISNUMBER(SEARCH("Sent to",C992)),"Sent to Person",IF(ISNUMBER(SEARCH("Customer Transfer to",C992)),"Sent to Person",IF(ISNUMBER(SEARCH("Business Payment",C992)),"Money In",IF(ISNUMBER(SEARCH("Funds Received",C992)),"Money In",IF(ISNUMBER(SEARCH("Receive International",C992)),"Money In",IF(ISNUMBER(SEARCH("Send Money Reversal",C992)),"Money In",IF(ISNUMBER(SEARCH("Pay Utility Reversal",C992)),"Money In",IF(ISNUMBER(SEARCH("Customer Transfer",C992)),"Money In",IF(ISNUMBER(SEARCH("Ziidi",C992)),"Investment",IF(ISNUMBER(SEARCH("Nabo",C992)),"Investment",IF(ISNUMBER(SEARCH("Paybill Online",C992)),"Pay Bill",IF(ISNUMBER(SEARCH("Pay Bill",C992)),"Pay Bill",IF(ISNUMBER(SEARCH("Spotify",C992)),"Pay Bill",IF(ISNUMBER(SEARCH("M-Shwari",C992)),"Mshwari",IF(ISNUMBER(SEARCH("Mshwari",C992)),"Mshwari",IF(ISNUMBER(SEARCH("Withdrawal charge",C992)),"Fees",IF(ISNUMBER(SEARCH("Customer Withdrawal",C992)),"Fees",IF(ISNUMBER(SEARCH("charge",C992)),"Fees","Other")))))))))))))))))))))))))</f>
        <v>Money In</v>
      </c>
      <c r="R992" s="1" t="str">
        <f aca="false">TEXT(B992,"MMM YYYY")</f>
        <v>Jun 2026</v>
      </c>
    </row>
    <row r="993" customFormat="false" ht="13.8" hidden="false" customHeight="false" outlineLevel="0" collapsed="false">
      <c r="A993" s="4" t="s">
        <v>2055</v>
      </c>
      <c r="B993" s="4" t="s">
        <v>2056</v>
      </c>
      <c r="C993" s="4" t="s">
        <v>90</v>
      </c>
      <c r="D993" s="4" t="s">
        <v>18</v>
      </c>
      <c r="E993" s="4"/>
      <c r="F993" s="4" t="n">
        <v>10</v>
      </c>
      <c r="G993" s="4" t="n">
        <v>688.91</v>
      </c>
      <c r="L993" s="1" t="str">
        <f aca="false">IF(ISNUMBER(SEARCH("Bundle",C993)),"Bundles",IF(ISNUMBER(SEARCH("Airtime",C993)),"Bundles",IF(ISNUMBER(SEARCH("Merchant",C993)),"Merchant Payment",IF(ISNUMBER(SEARCH("Offnet C2B",C993)),"Merchant Payment",IF(ISNUMBER(SEARCH("Offnet B2C",C993)),"Merchant Payment",IF(ISNUMBER(SEARCH("Customer Payment to Small",C993)),"Merchant Payment",IF(ISNUMBER(SEARCH("Payment to Small Business",C993)),"Merchant Payment",IF(ISNUMBER(SEARCH("Sent to",C993)),"Sent to Person",IF(ISNUMBER(SEARCH("Customer Transfer to",C993)),"Sent to Person",IF(ISNUMBER(SEARCH("Business Payment",C993)),"Money In",IF(ISNUMBER(SEARCH("Funds Received",C993)),"Money In",IF(ISNUMBER(SEARCH("Receive International",C993)),"Money In",IF(ISNUMBER(SEARCH("Send Money Reversal",C993)),"Money In",IF(ISNUMBER(SEARCH("Pay Utility Reversal",C993)),"Money In",IF(ISNUMBER(SEARCH("Customer Transfer",C993)),"Money In",IF(ISNUMBER(SEARCH("Ziidi",C993)),"Investment",IF(ISNUMBER(SEARCH("Nabo",C993)),"Investment",IF(ISNUMBER(SEARCH("Paybill Online",C993)),"Pay Bill",IF(ISNUMBER(SEARCH("Pay Bill",C993)),"Pay Bill",IF(ISNUMBER(SEARCH("Spotify",C993)),"Pay Bill",IF(ISNUMBER(SEARCH("M-Shwari",C993)),"Mshwari",IF(ISNUMBER(SEARCH("Mshwari",C993)),"Mshwari",IF(ISNUMBER(SEARCH("Withdrawal charge",C993)),"Fees",IF(ISNUMBER(SEARCH("Customer Withdrawal",C993)),"Fees",IF(ISNUMBER(SEARCH("charge",C993)),"Fees","Other")))))))))))))))))))))))))</f>
        <v>Bundles</v>
      </c>
      <c r="R993" s="1" t="str">
        <f aca="false">TEXT(B993,"MMM YYYY")</f>
        <v>Jun 2026</v>
      </c>
    </row>
    <row r="994" customFormat="false" ht="13.8" hidden="false" customHeight="false" outlineLevel="0" collapsed="false">
      <c r="A994" s="4" t="s">
        <v>2057</v>
      </c>
      <c r="B994" s="4" t="s">
        <v>2058</v>
      </c>
      <c r="C994" s="4" t="s">
        <v>90</v>
      </c>
      <c r="D994" s="4" t="s">
        <v>18</v>
      </c>
      <c r="E994" s="4"/>
      <c r="F994" s="4" t="n">
        <v>20</v>
      </c>
      <c r="G994" s="4" t="n">
        <v>668.91</v>
      </c>
      <c r="L994" s="1" t="str">
        <f aca="false">IF(ISNUMBER(SEARCH("Bundle",C994)),"Bundles",IF(ISNUMBER(SEARCH("Airtime",C994)),"Bundles",IF(ISNUMBER(SEARCH("Merchant",C994)),"Merchant Payment",IF(ISNUMBER(SEARCH("Offnet C2B",C994)),"Merchant Payment",IF(ISNUMBER(SEARCH("Offnet B2C",C994)),"Merchant Payment",IF(ISNUMBER(SEARCH("Customer Payment to Small",C994)),"Merchant Payment",IF(ISNUMBER(SEARCH("Payment to Small Business",C994)),"Merchant Payment",IF(ISNUMBER(SEARCH("Sent to",C994)),"Sent to Person",IF(ISNUMBER(SEARCH("Customer Transfer to",C994)),"Sent to Person",IF(ISNUMBER(SEARCH("Business Payment",C994)),"Money In",IF(ISNUMBER(SEARCH("Funds Received",C994)),"Money In",IF(ISNUMBER(SEARCH("Receive International",C994)),"Money In",IF(ISNUMBER(SEARCH("Send Money Reversal",C994)),"Money In",IF(ISNUMBER(SEARCH("Pay Utility Reversal",C994)),"Money In",IF(ISNUMBER(SEARCH("Customer Transfer",C994)),"Money In",IF(ISNUMBER(SEARCH("Ziidi",C994)),"Investment",IF(ISNUMBER(SEARCH("Nabo",C994)),"Investment",IF(ISNUMBER(SEARCH("Paybill Online",C994)),"Pay Bill",IF(ISNUMBER(SEARCH("Pay Bill",C994)),"Pay Bill",IF(ISNUMBER(SEARCH("Spotify",C994)),"Pay Bill",IF(ISNUMBER(SEARCH("M-Shwari",C994)),"Mshwari",IF(ISNUMBER(SEARCH("Mshwari",C994)),"Mshwari",IF(ISNUMBER(SEARCH("Withdrawal charge",C994)),"Fees",IF(ISNUMBER(SEARCH("Customer Withdrawal",C994)),"Fees",IF(ISNUMBER(SEARCH("charge",C994)),"Fees","Other")))))))))))))))))))))))))</f>
        <v>Bundles</v>
      </c>
      <c r="R994" s="1" t="str">
        <f aca="false">TEXT(B994,"MMM YYYY")</f>
        <v>Jun 2026</v>
      </c>
    </row>
    <row r="995" customFormat="false" ht="13.8" hidden="false" customHeight="false" outlineLevel="0" collapsed="false">
      <c r="A995" s="4" t="s">
        <v>2059</v>
      </c>
      <c r="B995" s="4" t="s">
        <v>2060</v>
      </c>
      <c r="C995" s="4" t="s">
        <v>90</v>
      </c>
      <c r="D995" s="4" t="s">
        <v>18</v>
      </c>
      <c r="E995" s="4"/>
      <c r="F995" s="4" t="n">
        <v>10</v>
      </c>
      <c r="G995" s="4" t="n">
        <v>658.91</v>
      </c>
      <c r="L995" s="1" t="str">
        <f aca="false">IF(ISNUMBER(SEARCH("Bundle",C995)),"Bundles",IF(ISNUMBER(SEARCH("Airtime",C995)),"Bundles",IF(ISNUMBER(SEARCH("Merchant",C995)),"Merchant Payment",IF(ISNUMBER(SEARCH("Offnet C2B",C995)),"Merchant Payment",IF(ISNUMBER(SEARCH("Offnet B2C",C995)),"Merchant Payment",IF(ISNUMBER(SEARCH("Customer Payment to Small",C995)),"Merchant Payment",IF(ISNUMBER(SEARCH("Payment to Small Business",C995)),"Merchant Payment",IF(ISNUMBER(SEARCH("Sent to",C995)),"Sent to Person",IF(ISNUMBER(SEARCH("Customer Transfer to",C995)),"Sent to Person",IF(ISNUMBER(SEARCH("Business Payment",C995)),"Money In",IF(ISNUMBER(SEARCH("Funds Received",C995)),"Money In",IF(ISNUMBER(SEARCH("Receive International",C995)),"Money In",IF(ISNUMBER(SEARCH("Send Money Reversal",C995)),"Money In",IF(ISNUMBER(SEARCH("Pay Utility Reversal",C995)),"Money In",IF(ISNUMBER(SEARCH("Customer Transfer",C995)),"Money In",IF(ISNUMBER(SEARCH("Ziidi",C995)),"Investment",IF(ISNUMBER(SEARCH("Nabo",C995)),"Investment",IF(ISNUMBER(SEARCH("Paybill Online",C995)),"Pay Bill",IF(ISNUMBER(SEARCH("Pay Bill",C995)),"Pay Bill",IF(ISNUMBER(SEARCH("Spotify",C995)),"Pay Bill",IF(ISNUMBER(SEARCH("M-Shwari",C995)),"Mshwari",IF(ISNUMBER(SEARCH("Mshwari",C995)),"Mshwari",IF(ISNUMBER(SEARCH("Withdrawal charge",C995)),"Fees",IF(ISNUMBER(SEARCH("Customer Withdrawal",C995)),"Fees",IF(ISNUMBER(SEARCH("charge",C995)),"Fees","Other")))))))))))))))))))))))))</f>
        <v>Bundles</v>
      </c>
      <c r="R995" s="1" t="str">
        <f aca="false">TEXT(B995,"MMM YYYY")</f>
        <v>Jun 2026</v>
      </c>
    </row>
    <row r="996" customFormat="false" ht="13.8" hidden="false" customHeight="false" outlineLevel="0" collapsed="false">
      <c r="A996" s="4" t="s">
        <v>2061</v>
      </c>
      <c r="B996" s="4" t="s">
        <v>2062</v>
      </c>
      <c r="C996" s="4" t="s">
        <v>90</v>
      </c>
      <c r="D996" s="4" t="s">
        <v>18</v>
      </c>
      <c r="E996" s="4"/>
      <c r="F996" s="4" t="n">
        <v>10</v>
      </c>
      <c r="G996" s="4" t="n">
        <v>648.91</v>
      </c>
      <c r="L996" s="1" t="str">
        <f aca="false">IF(ISNUMBER(SEARCH("Bundle",C996)),"Bundles",IF(ISNUMBER(SEARCH("Airtime",C996)),"Bundles",IF(ISNUMBER(SEARCH("Merchant",C996)),"Merchant Payment",IF(ISNUMBER(SEARCH("Offnet C2B",C996)),"Merchant Payment",IF(ISNUMBER(SEARCH("Offnet B2C",C996)),"Merchant Payment",IF(ISNUMBER(SEARCH("Customer Payment to Small",C996)),"Merchant Payment",IF(ISNUMBER(SEARCH("Payment to Small Business",C996)),"Merchant Payment",IF(ISNUMBER(SEARCH("Sent to",C996)),"Sent to Person",IF(ISNUMBER(SEARCH("Customer Transfer to",C996)),"Sent to Person",IF(ISNUMBER(SEARCH("Business Payment",C996)),"Money In",IF(ISNUMBER(SEARCH("Funds Received",C996)),"Money In",IF(ISNUMBER(SEARCH("Receive International",C996)),"Money In",IF(ISNUMBER(SEARCH("Send Money Reversal",C996)),"Money In",IF(ISNUMBER(SEARCH("Pay Utility Reversal",C996)),"Money In",IF(ISNUMBER(SEARCH("Customer Transfer",C996)),"Money In",IF(ISNUMBER(SEARCH("Ziidi",C996)),"Investment",IF(ISNUMBER(SEARCH("Nabo",C996)),"Investment",IF(ISNUMBER(SEARCH("Paybill Online",C996)),"Pay Bill",IF(ISNUMBER(SEARCH("Pay Bill",C996)),"Pay Bill",IF(ISNUMBER(SEARCH("Spotify",C996)),"Pay Bill",IF(ISNUMBER(SEARCH("M-Shwari",C996)),"Mshwari",IF(ISNUMBER(SEARCH("Mshwari",C996)),"Mshwari",IF(ISNUMBER(SEARCH("Withdrawal charge",C996)),"Fees",IF(ISNUMBER(SEARCH("Customer Withdrawal",C996)),"Fees",IF(ISNUMBER(SEARCH("charge",C996)),"Fees","Other")))))))))))))))))))))))))</f>
        <v>Bundles</v>
      </c>
      <c r="R996" s="1" t="str">
        <f aca="false">TEXT(B996,"MMM YYYY")</f>
        <v>Jun 2026</v>
      </c>
    </row>
    <row r="997" customFormat="false" ht="13.8" hidden="false" customHeight="false" outlineLevel="0" collapsed="false">
      <c r="A997" s="4" t="s">
        <v>2063</v>
      </c>
      <c r="B997" s="4" t="s">
        <v>2064</v>
      </c>
      <c r="C997" s="4" t="s">
        <v>90</v>
      </c>
      <c r="D997" s="4" t="s">
        <v>18</v>
      </c>
      <c r="E997" s="4"/>
      <c r="F997" s="4" t="n">
        <v>10</v>
      </c>
      <c r="G997" s="4" t="n">
        <v>638.91</v>
      </c>
      <c r="L997" s="1" t="str">
        <f aca="false">IF(ISNUMBER(SEARCH("Bundle",C997)),"Bundles",IF(ISNUMBER(SEARCH("Airtime",C997)),"Bundles",IF(ISNUMBER(SEARCH("Merchant",C997)),"Merchant Payment",IF(ISNUMBER(SEARCH("Offnet C2B",C997)),"Merchant Payment",IF(ISNUMBER(SEARCH("Offnet B2C",C997)),"Merchant Payment",IF(ISNUMBER(SEARCH("Customer Payment to Small",C997)),"Merchant Payment",IF(ISNUMBER(SEARCH("Payment to Small Business",C997)),"Merchant Payment",IF(ISNUMBER(SEARCH("Sent to",C997)),"Sent to Person",IF(ISNUMBER(SEARCH("Customer Transfer to",C997)),"Sent to Person",IF(ISNUMBER(SEARCH("Business Payment",C997)),"Money In",IF(ISNUMBER(SEARCH("Funds Received",C997)),"Money In",IF(ISNUMBER(SEARCH("Receive International",C997)),"Money In",IF(ISNUMBER(SEARCH("Send Money Reversal",C997)),"Money In",IF(ISNUMBER(SEARCH("Pay Utility Reversal",C997)),"Money In",IF(ISNUMBER(SEARCH("Customer Transfer",C997)),"Money In",IF(ISNUMBER(SEARCH("Ziidi",C997)),"Investment",IF(ISNUMBER(SEARCH("Nabo",C997)),"Investment",IF(ISNUMBER(SEARCH("Paybill Online",C997)),"Pay Bill",IF(ISNUMBER(SEARCH("Pay Bill",C997)),"Pay Bill",IF(ISNUMBER(SEARCH("Spotify",C997)),"Pay Bill",IF(ISNUMBER(SEARCH("M-Shwari",C997)),"Mshwari",IF(ISNUMBER(SEARCH("Mshwari",C997)),"Mshwari",IF(ISNUMBER(SEARCH("Withdrawal charge",C997)),"Fees",IF(ISNUMBER(SEARCH("Customer Withdrawal",C997)),"Fees",IF(ISNUMBER(SEARCH("charge",C997)),"Fees","Other")))))))))))))))))))))))))</f>
        <v>Bundles</v>
      </c>
      <c r="R997" s="1" t="str">
        <f aca="false">TEXT(B997,"MMM YYYY")</f>
        <v>Jun 2026</v>
      </c>
    </row>
    <row r="998" customFormat="false" ht="13.8" hidden="false" customHeight="false" outlineLevel="0" collapsed="false">
      <c r="A998" s="4" t="s">
        <v>2065</v>
      </c>
      <c r="B998" s="4" t="s">
        <v>2066</v>
      </c>
      <c r="C998" s="4" t="s">
        <v>90</v>
      </c>
      <c r="D998" s="4" t="s">
        <v>18</v>
      </c>
      <c r="E998" s="4"/>
      <c r="F998" s="4" t="n">
        <v>10</v>
      </c>
      <c r="G998" s="4" t="n">
        <v>628.91</v>
      </c>
      <c r="L998" s="1" t="str">
        <f aca="false">IF(ISNUMBER(SEARCH("Bundle",C998)),"Bundles",IF(ISNUMBER(SEARCH("Airtime",C998)),"Bundles",IF(ISNUMBER(SEARCH("Merchant",C998)),"Merchant Payment",IF(ISNUMBER(SEARCH("Offnet C2B",C998)),"Merchant Payment",IF(ISNUMBER(SEARCH("Offnet B2C",C998)),"Merchant Payment",IF(ISNUMBER(SEARCH("Customer Payment to Small",C998)),"Merchant Payment",IF(ISNUMBER(SEARCH("Payment to Small Business",C998)),"Merchant Payment",IF(ISNUMBER(SEARCH("Sent to",C998)),"Sent to Person",IF(ISNUMBER(SEARCH("Customer Transfer to",C998)),"Sent to Person",IF(ISNUMBER(SEARCH("Business Payment",C998)),"Money In",IF(ISNUMBER(SEARCH("Funds Received",C998)),"Money In",IF(ISNUMBER(SEARCH("Receive International",C998)),"Money In",IF(ISNUMBER(SEARCH("Send Money Reversal",C998)),"Money In",IF(ISNUMBER(SEARCH("Pay Utility Reversal",C998)),"Money In",IF(ISNUMBER(SEARCH("Customer Transfer",C998)),"Money In",IF(ISNUMBER(SEARCH("Ziidi",C998)),"Investment",IF(ISNUMBER(SEARCH("Nabo",C998)),"Investment",IF(ISNUMBER(SEARCH("Paybill Online",C998)),"Pay Bill",IF(ISNUMBER(SEARCH("Pay Bill",C998)),"Pay Bill",IF(ISNUMBER(SEARCH("Spotify",C998)),"Pay Bill",IF(ISNUMBER(SEARCH("M-Shwari",C998)),"Mshwari",IF(ISNUMBER(SEARCH("Mshwari",C998)),"Mshwari",IF(ISNUMBER(SEARCH("Withdrawal charge",C998)),"Fees",IF(ISNUMBER(SEARCH("Customer Withdrawal",C998)),"Fees",IF(ISNUMBER(SEARCH("charge",C998)),"Fees","Other")))))))))))))))))))))))))</f>
        <v>Bundles</v>
      </c>
      <c r="R998" s="1" t="str">
        <f aca="false">TEXT(B998,"MMM YYYY")</f>
        <v>Jun 2026</v>
      </c>
    </row>
    <row r="999" customFormat="false" ht="13.8" hidden="false" customHeight="false" outlineLevel="0" collapsed="false">
      <c r="A999" s="4" t="s">
        <v>2067</v>
      </c>
      <c r="B999" s="4" t="s">
        <v>2068</v>
      </c>
      <c r="C999" s="4" t="s">
        <v>90</v>
      </c>
      <c r="D999" s="4" t="s">
        <v>18</v>
      </c>
      <c r="E999" s="4"/>
      <c r="F999" s="4" t="n">
        <v>10</v>
      </c>
      <c r="G999" s="4" t="n">
        <v>618.91</v>
      </c>
      <c r="L999" s="1" t="str">
        <f aca="false">IF(ISNUMBER(SEARCH("Bundle",C999)),"Bundles",IF(ISNUMBER(SEARCH("Airtime",C999)),"Bundles",IF(ISNUMBER(SEARCH("Merchant",C999)),"Merchant Payment",IF(ISNUMBER(SEARCH("Offnet C2B",C999)),"Merchant Payment",IF(ISNUMBER(SEARCH("Offnet B2C",C999)),"Merchant Payment",IF(ISNUMBER(SEARCH("Customer Payment to Small",C999)),"Merchant Payment",IF(ISNUMBER(SEARCH("Payment to Small Business",C999)),"Merchant Payment",IF(ISNUMBER(SEARCH("Sent to",C999)),"Sent to Person",IF(ISNUMBER(SEARCH("Customer Transfer to",C999)),"Sent to Person",IF(ISNUMBER(SEARCH("Business Payment",C999)),"Money In",IF(ISNUMBER(SEARCH("Funds Received",C999)),"Money In",IF(ISNUMBER(SEARCH("Receive International",C999)),"Money In",IF(ISNUMBER(SEARCH("Send Money Reversal",C999)),"Money In",IF(ISNUMBER(SEARCH("Pay Utility Reversal",C999)),"Money In",IF(ISNUMBER(SEARCH("Customer Transfer",C999)),"Money In",IF(ISNUMBER(SEARCH("Ziidi",C999)),"Investment",IF(ISNUMBER(SEARCH("Nabo",C999)),"Investment",IF(ISNUMBER(SEARCH("Paybill Online",C999)),"Pay Bill",IF(ISNUMBER(SEARCH("Pay Bill",C999)),"Pay Bill",IF(ISNUMBER(SEARCH("Spotify",C999)),"Pay Bill",IF(ISNUMBER(SEARCH("M-Shwari",C999)),"Mshwari",IF(ISNUMBER(SEARCH("Mshwari",C999)),"Mshwari",IF(ISNUMBER(SEARCH("Withdrawal charge",C999)),"Fees",IF(ISNUMBER(SEARCH("Customer Withdrawal",C999)),"Fees",IF(ISNUMBER(SEARCH("charge",C999)),"Fees","Other")))))))))))))))))))))))))</f>
        <v>Bundles</v>
      </c>
      <c r="R999" s="1" t="str">
        <f aca="false">TEXT(B999,"MMM YYYY")</f>
        <v>Jun 2026</v>
      </c>
    </row>
    <row r="1000" customFormat="false" ht="13.8" hidden="false" customHeight="false" outlineLevel="0" collapsed="false">
      <c r="A1000" s="4" t="s">
        <v>2069</v>
      </c>
      <c r="B1000" s="4" t="s">
        <v>2070</v>
      </c>
      <c r="C1000" s="4" t="s">
        <v>90</v>
      </c>
      <c r="D1000" s="4" t="s">
        <v>18</v>
      </c>
      <c r="E1000" s="4"/>
      <c r="F1000" s="4" t="n">
        <v>10</v>
      </c>
      <c r="G1000" s="4" t="n">
        <v>608.91</v>
      </c>
      <c r="L1000" s="1" t="str">
        <f aca="false">IF(ISNUMBER(SEARCH("Bundle",C1000)),"Bundles",IF(ISNUMBER(SEARCH("Airtime",C1000)),"Bundles",IF(ISNUMBER(SEARCH("Merchant",C1000)),"Merchant Payment",IF(ISNUMBER(SEARCH("Offnet C2B",C1000)),"Merchant Payment",IF(ISNUMBER(SEARCH("Offnet B2C",C1000)),"Merchant Payment",IF(ISNUMBER(SEARCH("Customer Payment to Small",C1000)),"Merchant Payment",IF(ISNUMBER(SEARCH("Payment to Small Business",C1000)),"Merchant Payment",IF(ISNUMBER(SEARCH("Sent to",C1000)),"Sent to Person",IF(ISNUMBER(SEARCH("Customer Transfer to",C1000)),"Sent to Person",IF(ISNUMBER(SEARCH("Business Payment",C1000)),"Money In",IF(ISNUMBER(SEARCH("Funds Received",C1000)),"Money In",IF(ISNUMBER(SEARCH("Receive International",C1000)),"Money In",IF(ISNUMBER(SEARCH("Send Money Reversal",C1000)),"Money In",IF(ISNUMBER(SEARCH("Pay Utility Reversal",C1000)),"Money In",IF(ISNUMBER(SEARCH("Customer Transfer",C1000)),"Money In",IF(ISNUMBER(SEARCH("Ziidi",C1000)),"Investment",IF(ISNUMBER(SEARCH("Nabo",C1000)),"Investment",IF(ISNUMBER(SEARCH("Paybill Online",C1000)),"Pay Bill",IF(ISNUMBER(SEARCH("Pay Bill",C1000)),"Pay Bill",IF(ISNUMBER(SEARCH("Spotify",C1000)),"Pay Bill",IF(ISNUMBER(SEARCH("M-Shwari",C1000)),"Mshwari",IF(ISNUMBER(SEARCH("Mshwari",C1000)),"Mshwari",IF(ISNUMBER(SEARCH("Withdrawal charge",C1000)),"Fees",IF(ISNUMBER(SEARCH("Customer Withdrawal",C1000)),"Fees",IF(ISNUMBER(SEARCH("charge",C1000)),"Fees","Other")))))))))))))))))))))))))</f>
        <v>Bundles</v>
      </c>
      <c r="R1000" s="1" t="str">
        <f aca="false">TEXT(B1000,"MMM YYYY")</f>
        <v>Jun 2026</v>
      </c>
    </row>
    <row r="1001" customFormat="false" ht="13.8" hidden="false" customHeight="false" outlineLevel="0" collapsed="false">
      <c r="A1001" s="4" t="s">
        <v>2071</v>
      </c>
      <c r="B1001" s="4" t="s">
        <v>2072</v>
      </c>
      <c r="C1001" s="4" t="s">
        <v>90</v>
      </c>
      <c r="D1001" s="4" t="s">
        <v>18</v>
      </c>
      <c r="E1001" s="4"/>
      <c r="F1001" s="4" t="n">
        <v>10</v>
      </c>
      <c r="G1001" s="4" t="n">
        <v>598.91</v>
      </c>
      <c r="L1001" s="1" t="str">
        <f aca="false">IF(ISNUMBER(SEARCH("Bundle",C1001)),"Bundles",IF(ISNUMBER(SEARCH("Airtime",C1001)),"Bundles",IF(ISNUMBER(SEARCH("Merchant",C1001)),"Merchant Payment",IF(ISNUMBER(SEARCH("Offnet C2B",C1001)),"Merchant Payment",IF(ISNUMBER(SEARCH("Offnet B2C",C1001)),"Merchant Payment",IF(ISNUMBER(SEARCH("Customer Payment to Small",C1001)),"Merchant Payment",IF(ISNUMBER(SEARCH("Payment to Small Business",C1001)),"Merchant Payment",IF(ISNUMBER(SEARCH("Sent to",C1001)),"Sent to Person",IF(ISNUMBER(SEARCH("Customer Transfer to",C1001)),"Sent to Person",IF(ISNUMBER(SEARCH("Business Payment",C1001)),"Money In",IF(ISNUMBER(SEARCH("Funds Received",C1001)),"Money In",IF(ISNUMBER(SEARCH("Receive International",C1001)),"Money In",IF(ISNUMBER(SEARCH("Send Money Reversal",C1001)),"Money In",IF(ISNUMBER(SEARCH("Pay Utility Reversal",C1001)),"Money In",IF(ISNUMBER(SEARCH("Customer Transfer",C1001)),"Money In",IF(ISNUMBER(SEARCH("Ziidi",C1001)),"Investment",IF(ISNUMBER(SEARCH("Nabo",C1001)),"Investment",IF(ISNUMBER(SEARCH("Paybill Online",C1001)),"Pay Bill",IF(ISNUMBER(SEARCH("Pay Bill",C1001)),"Pay Bill",IF(ISNUMBER(SEARCH("Spotify",C1001)),"Pay Bill",IF(ISNUMBER(SEARCH("M-Shwari",C1001)),"Mshwari",IF(ISNUMBER(SEARCH("Mshwari",C1001)),"Mshwari",IF(ISNUMBER(SEARCH("Withdrawal charge",C1001)),"Fees",IF(ISNUMBER(SEARCH("Customer Withdrawal",C1001)),"Fees",IF(ISNUMBER(SEARCH("charge",C1001)),"Fees","Other")))))))))))))))))))))))))</f>
        <v>Bundles</v>
      </c>
      <c r="R1001" s="1" t="str">
        <f aca="false">TEXT(B1001,"MMM YYYY")</f>
        <v>Jun 2026</v>
      </c>
    </row>
    <row r="1002" customFormat="false" ht="13.8" hidden="false" customHeight="false" outlineLevel="0" collapsed="false">
      <c r="A1002" s="4" t="s">
        <v>2073</v>
      </c>
      <c r="B1002" s="4" t="s">
        <v>2074</v>
      </c>
      <c r="C1002" s="4" t="s">
        <v>90</v>
      </c>
      <c r="D1002" s="4" t="s">
        <v>18</v>
      </c>
      <c r="E1002" s="4"/>
      <c r="F1002" s="4" t="n">
        <v>10</v>
      </c>
      <c r="G1002" s="4" t="n">
        <v>588.91</v>
      </c>
      <c r="L1002" s="1" t="str">
        <f aca="false">IF(ISNUMBER(SEARCH("Bundle",C1002)),"Bundles",IF(ISNUMBER(SEARCH("Airtime",C1002)),"Bundles",IF(ISNUMBER(SEARCH("Merchant",C1002)),"Merchant Payment",IF(ISNUMBER(SEARCH("Offnet C2B",C1002)),"Merchant Payment",IF(ISNUMBER(SEARCH("Offnet B2C",C1002)),"Merchant Payment",IF(ISNUMBER(SEARCH("Customer Payment to Small",C1002)),"Merchant Payment",IF(ISNUMBER(SEARCH("Payment to Small Business",C1002)),"Merchant Payment",IF(ISNUMBER(SEARCH("Sent to",C1002)),"Sent to Person",IF(ISNUMBER(SEARCH("Customer Transfer to",C1002)),"Sent to Person",IF(ISNUMBER(SEARCH("Business Payment",C1002)),"Money In",IF(ISNUMBER(SEARCH("Funds Received",C1002)),"Money In",IF(ISNUMBER(SEARCH("Receive International",C1002)),"Money In",IF(ISNUMBER(SEARCH("Send Money Reversal",C1002)),"Money In",IF(ISNUMBER(SEARCH("Pay Utility Reversal",C1002)),"Money In",IF(ISNUMBER(SEARCH("Customer Transfer",C1002)),"Money In",IF(ISNUMBER(SEARCH("Ziidi",C1002)),"Investment",IF(ISNUMBER(SEARCH("Nabo",C1002)),"Investment",IF(ISNUMBER(SEARCH("Paybill Online",C1002)),"Pay Bill",IF(ISNUMBER(SEARCH("Pay Bill",C1002)),"Pay Bill",IF(ISNUMBER(SEARCH("Spotify",C1002)),"Pay Bill",IF(ISNUMBER(SEARCH("M-Shwari",C1002)),"Mshwari",IF(ISNUMBER(SEARCH("Mshwari",C1002)),"Mshwari",IF(ISNUMBER(SEARCH("Withdrawal charge",C1002)),"Fees",IF(ISNUMBER(SEARCH("Customer Withdrawal",C1002)),"Fees",IF(ISNUMBER(SEARCH("charge",C1002)),"Fees","Other")))))))))))))))))))))))))</f>
        <v>Bundles</v>
      </c>
      <c r="R1002" s="1" t="str">
        <f aca="false">TEXT(B1002,"MMM YYYY")</f>
        <v>Jun 2026</v>
      </c>
    </row>
    <row r="1003" customFormat="false" ht="13.8" hidden="false" customHeight="false" outlineLevel="0" collapsed="false">
      <c r="A1003" s="4" t="s">
        <v>2075</v>
      </c>
      <c r="B1003" s="4" t="s">
        <v>2076</v>
      </c>
      <c r="C1003" s="4" t="s">
        <v>90</v>
      </c>
      <c r="D1003" s="4" t="s">
        <v>18</v>
      </c>
      <c r="E1003" s="4"/>
      <c r="F1003" s="4" t="n">
        <v>10</v>
      </c>
      <c r="G1003" s="4" t="n">
        <v>578.91</v>
      </c>
      <c r="L1003" s="1" t="str">
        <f aca="false">IF(ISNUMBER(SEARCH("Bundle",C1003)),"Bundles",IF(ISNUMBER(SEARCH("Airtime",C1003)),"Bundles",IF(ISNUMBER(SEARCH("Merchant",C1003)),"Merchant Payment",IF(ISNUMBER(SEARCH("Offnet C2B",C1003)),"Merchant Payment",IF(ISNUMBER(SEARCH("Offnet B2C",C1003)),"Merchant Payment",IF(ISNUMBER(SEARCH("Customer Payment to Small",C1003)),"Merchant Payment",IF(ISNUMBER(SEARCH("Payment to Small Business",C1003)),"Merchant Payment",IF(ISNUMBER(SEARCH("Sent to",C1003)),"Sent to Person",IF(ISNUMBER(SEARCH("Customer Transfer to",C1003)),"Sent to Person",IF(ISNUMBER(SEARCH("Business Payment",C1003)),"Money In",IF(ISNUMBER(SEARCH("Funds Received",C1003)),"Money In",IF(ISNUMBER(SEARCH("Receive International",C1003)),"Money In",IF(ISNUMBER(SEARCH("Send Money Reversal",C1003)),"Money In",IF(ISNUMBER(SEARCH("Pay Utility Reversal",C1003)),"Money In",IF(ISNUMBER(SEARCH("Customer Transfer",C1003)),"Money In",IF(ISNUMBER(SEARCH("Ziidi",C1003)),"Investment",IF(ISNUMBER(SEARCH("Nabo",C1003)),"Investment",IF(ISNUMBER(SEARCH("Paybill Online",C1003)),"Pay Bill",IF(ISNUMBER(SEARCH("Pay Bill",C1003)),"Pay Bill",IF(ISNUMBER(SEARCH("Spotify",C1003)),"Pay Bill",IF(ISNUMBER(SEARCH("M-Shwari",C1003)),"Mshwari",IF(ISNUMBER(SEARCH("Mshwari",C1003)),"Mshwari",IF(ISNUMBER(SEARCH("Withdrawal charge",C1003)),"Fees",IF(ISNUMBER(SEARCH("Customer Withdrawal",C1003)),"Fees",IF(ISNUMBER(SEARCH("charge",C1003)),"Fees","Other")))))))))))))))))))))))))</f>
        <v>Bundles</v>
      </c>
      <c r="R1003" s="1" t="str">
        <f aca="false">TEXT(B1003,"MMM YYYY")</f>
        <v>Jun 2026</v>
      </c>
    </row>
    <row r="1004" customFormat="false" ht="13.8" hidden="false" customHeight="false" outlineLevel="0" collapsed="false">
      <c r="A1004" s="4" t="s">
        <v>2077</v>
      </c>
      <c r="B1004" s="4" t="s">
        <v>2078</v>
      </c>
      <c r="C1004" s="4" t="s">
        <v>90</v>
      </c>
      <c r="D1004" s="4" t="s">
        <v>18</v>
      </c>
      <c r="E1004" s="4"/>
      <c r="F1004" s="4" t="n">
        <v>20</v>
      </c>
      <c r="G1004" s="4" t="n">
        <v>558.91</v>
      </c>
      <c r="L1004" s="1" t="str">
        <f aca="false">IF(ISNUMBER(SEARCH("Bundle",C1004)),"Bundles",IF(ISNUMBER(SEARCH("Airtime",C1004)),"Bundles",IF(ISNUMBER(SEARCH("Merchant",C1004)),"Merchant Payment",IF(ISNUMBER(SEARCH("Offnet C2B",C1004)),"Merchant Payment",IF(ISNUMBER(SEARCH("Offnet B2C",C1004)),"Merchant Payment",IF(ISNUMBER(SEARCH("Customer Payment to Small",C1004)),"Merchant Payment",IF(ISNUMBER(SEARCH("Payment to Small Business",C1004)),"Merchant Payment",IF(ISNUMBER(SEARCH("Sent to",C1004)),"Sent to Person",IF(ISNUMBER(SEARCH("Customer Transfer to",C1004)),"Sent to Person",IF(ISNUMBER(SEARCH("Business Payment",C1004)),"Money In",IF(ISNUMBER(SEARCH("Funds Received",C1004)),"Money In",IF(ISNUMBER(SEARCH("Receive International",C1004)),"Money In",IF(ISNUMBER(SEARCH("Send Money Reversal",C1004)),"Money In",IF(ISNUMBER(SEARCH("Pay Utility Reversal",C1004)),"Money In",IF(ISNUMBER(SEARCH("Customer Transfer",C1004)),"Money In",IF(ISNUMBER(SEARCH("Ziidi",C1004)),"Investment",IF(ISNUMBER(SEARCH("Nabo",C1004)),"Investment",IF(ISNUMBER(SEARCH("Paybill Online",C1004)),"Pay Bill",IF(ISNUMBER(SEARCH("Pay Bill",C1004)),"Pay Bill",IF(ISNUMBER(SEARCH("Spotify",C1004)),"Pay Bill",IF(ISNUMBER(SEARCH("M-Shwari",C1004)),"Mshwari",IF(ISNUMBER(SEARCH("Mshwari",C1004)),"Mshwari",IF(ISNUMBER(SEARCH("Withdrawal charge",C1004)),"Fees",IF(ISNUMBER(SEARCH("Customer Withdrawal",C1004)),"Fees",IF(ISNUMBER(SEARCH("charge",C1004)),"Fees","Other")))))))))))))))))))))))))</f>
        <v>Bundles</v>
      </c>
      <c r="R1004" s="1" t="str">
        <f aca="false">TEXT(B1004,"MMM YYYY")</f>
        <v>Jun 2026</v>
      </c>
    </row>
    <row r="1005" customFormat="false" ht="13.8" hidden="false" customHeight="false" outlineLevel="0" collapsed="false">
      <c r="A1005" s="4" t="s">
        <v>2079</v>
      </c>
      <c r="B1005" s="4" t="s">
        <v>2080</v>
      </c>
      <c r="C1005" s="4" t="s">
        <v>90</v>
      </c>
      <c r="D1005" s="4" t="s">
        <v>18</v>
      </c>
      <c r="E1005" s="4"/>
      <c r="F1005" s="4" t="n">
        <v>10</v>
      </c>
      <c r="G1005" s="4" t="n">
        <v>548.91</v>
      </c>
      <c r="L1005" s="1" t="str">
        <f aca="false">IF(ISNUMBER(SEARCH("Bundle",C1005)),"Bundles",IF(ISNUMBER(SEARCH("Airtime",C1005)),"Bundles",IF(ISNUMBER(SEARCH("Merchant",C1005)),"Merchant Payment",IF(ISNUMBER(SEARCH("Offnet C2B",C1005)),"Merchant Payment",IF(ISNUMBER(SEARCH("Offnet B2C",C1005)),"Merchant Payment",IF(ISNUMBER(SEARCH("Customer Payment to Small",C1005)),"Merchant Payment",IF(ISNUMBER(SEARCH("Payment to Small Business",C1005)),"Merchant Payment",IF(ISNUMBER(SEARCH("Sent to",C1005)),"Sent to Person",IF(ISNUMBER(SEARCH("Customer Transfer to",C1005)),"Sent to Person",IF(ISNUMBER(SEARCH("Business Payment",C1005)),"Money In",IF(ISNUMBER(SEARCH("Funds Received",C1005)),"Money In",IF(ISNUMBER(SEARCH("Receive International",C1005)),"Money In",IF(ISNUMBER(SEARCH("Send Money Reversal",C1005)),"Money In",IF(ISNUMBER(SEARCH("Pay Utility Reversal",C1005)),"Money In",IF(ISNUMBER(SEARCH("Customer Transfer",C1005)),"Money In",IF(ISNUMBER(SEARCH("Ziidi",C1005)),"Investment",IF(ISNUMBER(SEARCH("Nabo",C1005)),"Investment",IF(ISNUMBER(SEARCH("Paybill Online",C1005)),"Pay Bill",IF(ISNUMBER(SEARCH("Pay Bill",C1005)),"Pay Bill",IF(ISNUMBER(SEARCH("Spotify",C1005)),"Pay Bill",IF(ISNUMBER(SEARCH("M-Shwari",C1005)),"Mshwari",IF(ISNUMBER(SEARCH("Mshwari",C1005)),"Mshwari",IF(ISNUMBER(SEARCH("Withdrawal charge",C1005)),"Fees",IF(ISNUMBER(SEARCH("Customer Withdrawal",C1005)),"Fees",IF(ISNUMBER(SEARCH("charge",C1005)),"Fees","Other")))))))))))))))))))))))))</f>
        <v>Bundles</v>
      </c>
      <c r="R1005" s="1" t="str">
        <f aca="false">TEXT(B1005,"MMM YYYY")</f>
        <v>Jun 2026</v>
      </c>
    </row>
    <row r="1006" customFormat="false" ht="13.8" hidden="false" customHeight="false" outlineLevel="0" collapsed="false">
      <c r="A1006" s="4" t="s">
        <v>2081</v>
      </c>
      <c r="B1006" s="4" t="s">
        <v>2082</v>
      </c>
      <c r="C1006" s="4" t="s">
        <v>90</v>
      </c>
      <c r="D1006" s="4" t="s">
        <v>18</v>
      </c>
      <c r="E1006" s="4"/>
      <c r="F1006" s="4" t="n">
        <v>20</v>
      </c>
      <c r="G1006" s="4" t="n">
        <v>528.91</v>
      </c>
      <c r="L1006" s="1" t="str">
        <f aca="false">IF(ISNUMBER(SEARCH("Bundle",C1006)),"Bundles",IF(ISNUMBER(SEARCH("Airtime",C1006)),"Bundles",IF(ISNUMBER(SEARCH("Merchant",C1006)),"Merchant Payment",IF(ISNUMBER(SEARCH("Offnet C2B",C1006)),"Merchant Payment",IF(ISNUMBER(SEARCH("Offnet B2C",C1006)),"Merchant Payment",IF(ISNUMBER(SEARCH("Customer Payment to Small",C1006)),"Merchant Payment",IF(ISNUMBER(SEARCH("Payment to Small Business",C1006)),"Merchant Payment",IF(ISNUMBER(SEARCH("Sent to",C1006)),"Sent to Person",IF(ISNUMBER(SEARCH("Customer Transfer to",C1006)),"Sent to Person",IF(ISNUMBER(SEARCH("Business Payment",C1006)),"Money In",IF(ISNUMBER(SEARCH("Funds Received",C1006)),"Money In",IF(ISNUMBER(SEARCH("Receive International",C1006)),"Money In",IF(ISNUMBER(SEARCH("Send Money Reversal",C1006)),"Money In",IF(ISNUMBER(SEARCH("Pay Utility Reversal",C1006)),"Money In",IF(ISNUMBER(SEARCH("Customer Transfer",C1006)),"Money In",IF(ISNUMBER(SEARCH("Ziidi",C1006)),"Investment",IF(ISNUMBER(SEARCH("Nabo",C1006)),"Investment",IF(ISNUMBER(SEARCH("Paybill Online",C1006)),"Pay Bill",IF(ISNUMBER(SEARCH("Pay Bill",C1006)),"Pay Bill",IF(ISNUMBER(SEARCH("Spotify",C1006)),"Pay Bill",IF(ISNUMBER(SEARCH("M-Shwari",C1006)),"Mshwari",IF(ISNUMBER(SEARCH("Mshwari",C1006)),"Mshwari",IF(ISNUMBER(SEARCH("Withdrawal charge",C1006)),"Fees",IF(ISNUMBER(SEARCH("Customer Withdrawal",C1006)),"Fees",IF(ISNUMBER(SEARCH("charge",C1006)),"Fees","Other")))))))))))))))))))))))))</f>
        <v>Bundles</v>
      </c>
      <c r="R1006" s="1" t="str">
        <f aca="false">TEXT(B1006,"MMM YYYY")</f>
        <v>Jun 2026</v>
      </c>
    </row>
    <row r="1007" customFormat="false" ht="13.8" hidden="false" customHeight="false" outlineLevel="0" collapsed="false">
      <c r="A1007" s="4" t="s">
        <v>2083</v>
      </c>
      <c r="B1007" s="4" t="s">
        <v>2084</v>
      </c>
      <c r="C1007" s="4" t="s">
        <v>90</v>
      </c>
      <c r="D1007" s="4" t="s">
        <v>18</v>
      </c>
      <c r="E1007" s="4"/>
      <c r="F1007" s="4" t="n">
        <v>25</v>
      </c>
      <c r="G1007" s="4" t="n">
        <v>503.91</v>
      </c>
      <c r="L1007" s="1" t="str">
        <f aca="false">IF(ISNUMBER(SEARCH("Bundle",C1007)),"Bundles",IF(ISNUMBER(SEARCH("Airtime",C1007)),"Bundles",IF(ISNUMBER(SEARCH("Merchant",C1007)),"Merchant Payment",IF(ISNUMBER(SEARCH("Offnet C2B",C1007)),"Merchant Payment",IF(ISNUMBER(SEARCH("Offnet B2C",C1007)),"Merchant Payment",IF(ISNUMBER(SEARCH("Customer Payment to Small",C1007)),"Merchant Payment",IF(ISNUMBER(SEARCH("Payment to Small Business",C1007)),"Merchant Payment",IF(ISNUMBER(SEARCH("Sent to",C1007)),"Sent to Person",IF(ISNUMBER(SEARCH("Customer Transfer to",C1007)),"Sent to Person",IF(ISNUMBER(SEARCH("Business Payment",C1007)),"Money In",IF(ISNUMBER(SEARCH("Funds Received",C1007)),"Money In",IF(ISNUMBER(SEARCH("Receive International",C1007)),"Money In",IF(ISNUMBER(SEARCH("Send Money Reversal",C1007)),"Money In",IF(ISNUMBER(SEARCH("Pay Utility Reversal",C1007)),"Money In",IF(ISNUMBER(SEARCH("Customer Transfer",C1007)),"Money In",IF(ISNUMBER(SEARCH("Ziidi",C1007)),"Investment",IF(ISNUMBER(SEARCH("Nabo",C1007)),"Investment",IF(ISNUMBER(SEARCH("Paybill Online",C1007)),"Pay Bill",IF(ISNUMBER(SEARCH("Pay Bill",C1007)),"Pay Bill",IF(ISNUMBER(SEARCH("Spotify",C1007)),"Pay Bill",IF(ISNUMBER(SEARCH("M-Shwari",C1007)),"Mshwari",IF(ISNUMBER(SEARCH("Mshwari",C1007)),"Mshwari",IF(ISNUMBER(SEARCH("Withdrawal charge",C1007)),"Fees",IF(ISNUMBER(SEARCH("Customer Withdrawal",C1007)),"Fees",IF(ISNUMBER(SEARCH("charge",C1007)),"Fees","Other")))))))))))))))))))))))))</f>
        <v>Bundles</v>
      </c>
      <c r="R1007" s="1" t="str">
        <f aca="false">TEXT(B1007,"MMM YYYY")</f>
        <v>Jun 2026</v>
      </c>
    </row>
    <row r="1008" customFormat="false" ht="13.8" hidden="false" customHeight="false" outlineLevel="0" collapsed="false">
      <c r="A1008" s="4" t="s">
        <v>2085</v>
      </c>
      <c r="B1008" s="4" t="s">
        <v>2086</v>
      </c>
      <c r="C1008" s="4" t="s">
        <v>29</v>
      </c>
      <c r="D1008" s="4" t="s">
        <v>18</v>
      </c>
      <c r="E1008" s="4"/>
      <c r="F1008" s="4" t="n">
        <v>26</v>
      </c>
      <c r="G1008" s="4" t="n">
        <v>477.91</v>
      </c>
      <c r="L1008" s="1" t="str">
        <f aca="false">IF(ISNUMBER(SEARCH("Bundle",C1008)),"Bundles",IF(ISNUMBER(SEARCH("Airtime",C1008)),"Bundles",IF(ISNUMBER(SEARCH("Merchant",C1008)),"Merchant Payment",IF(ISNUMBER(SEARCH("Offnet C2B",C1008)),"Merchant Payment",IF(ISNUMBER(SEARCH("Offnet B2C",C1008)),"Merchant Payment",IF(ISNUMBER(SEARCH("Customer Payment to Small",C1008)),"Merchant Payment",IF(ISNUMBER(SEARCH("Payment to Small Business",C1008)),"Merchant Payment",IF(ISNUMBER(SEARCH("Sent to",C1008)),"Sent to Person",IF(ISNUMBER(SEARCH("Customer Transfer to",C1008)),"Sent to Person",IF(ISNUMBER(SEARCH("Business Payment",C1008)),"Money In",IF(ISNUMBER(SEARCH("Funds Received",C1008)),"Money In",IF(ISNUMBER(SEARCH("Receive International",C1008)),"Money In",IF(ISNUMBER(SEARCH("Send Money Reversal",C1008)),"Money In",IF(ISNUMBER(SEARCH("Pay Utility Reversal",C1008)),"Money In",IF(ISNUMBER(SEARCH("Customer Transfer",C1008)),"Money In",IF(ISNUMBER(SEARCH("Ziidi",C1008)),"Investment",IF(ISNUMBER(SEARCH("Nabo",C1008)),"Investment",IF(ISNUMBER(SEARCH("Paybill Online",C1008)),"Pay Bill",IF(ISNUMBER(SEARCH("Pay Bill",C1008)),"Pay Bill",IF(ISNUMBER(SEARCH("Spotify",C1008)),"Pay Bill",IF(ISNUMBER(SEARCH("M-Shwari",C1008)),"Mshwari",IF(ISNUMBER(SEARCH("Mshwari",C1008)),"Mshwari",IF(ISNUMBER(SEARCH("Withdrawal charge",C1008)),"Fees",IF(ISNUMBER(SEARCH("Customer Withdrawal",C1008)),"Fees",IF(ISNUMBER(SEARCH("charge",C1008)),"Fees","Other")))))))))))))))))))))))))</f>
        <v>Bundles</v>
      </c>
      <c r="R1008" s="1" t="str">
        <f aca="false">TEXT(B1008,"MMM YYYY")</f>
        <v>Jun 2026</v>
      </c>
    </row>
    <row r="1009" customFormat="false" ht="13.8" hidden="false" customHeight="false" outlineLevel="0" collapsed="false">
      <c r="A1009" s="4" t="s">
        <v>2087</v>
      </c>
      <c r="B1009" s="4" t="s">
        <v>2088</v>
      </c>
      <c r="C1009" s="4" t="s">
        <v>29</v>
      </c>
      <c r="D1009" s="4" t="s">
        <v>18</v>
      </c>
      <c r="E1009" s="4"/>
      <c r="F1009" s="4" t="n">
        <v>10</v>
      </c>
      <c r="G1009" s="4" t="n">
        <v>467.91</v>
      </c>
      <c r="L1009" s="1" t="str">
        <f aca="false">IF(ISNUMBER(SEARCH("Bundle",C1009)),"Bundles",IF(ISNUMBER(SEARCH("Airtime",C1009)),"Bundles",IF(ISNUMBER(SEARCH("Merchant",C1009)),"Merchant Payment",IF(ISNUMBER(SEARCH("Offnet C2B",C1009)),"Merchant Payment",IF(ISNUMBER(SEARCH("Offnet B2C",C1009)),"Merchant Payment",IF(ISNUMBER(SEARCH("Customer Payment to Small",C1009)),"Merchant Payment",IF(ISNUMBER(SEARCH("Payment to Small Business",C1009)),"Merchant Payment",IF(ISNUMBER(SEARCH("Sent to",C1009)),"Sent to Person",IF(ISNUMBER(SEARCH("Customer Transfer to",C1009)),"Sent to Person",IF(ISNUMBER(SEARCH("Business Payment",C1009)),"Money In",IF(ISNUMBER(SEARCH("Funds Received",C1009)),"Money In",IF(ISNUMBER(SEARCH("Receive International",C1009)),"Money In",IF(ISNUMBER(SEARCH("Send Money Reversal",C1009)),"Money In",IF(ISNUMBER(SEARCH("Pay Utility Reversal",C1009)),"Money In",IF(ISNUMBER(SEARCH("Customer Transfer",C1009)),"Money In",IF(ISNUMBER(SEARCH("Ziidi",C1009)),"Investment",IF(ISNUMBER(SEARCH("Nabo",C1009)),"Investment",IF(ISNUMBER(SEARCH("Paybill Online",C1009)),"Pay Bill",IF(ISNUMBER(SEARCH("Pay Bill",C1009)),"Pay Bill",IF(ISNUMBER(SEARCH("Spotify",C1009)),"Pay Bill",IF(ISNUMBER(SEARCH("M-Shwari",C1009)),"Mshwari",IF(ISNUMBER(SEARCH("Mshwari",C1009)),"Mshwari",IF(ISNUMBER(SEARCH("Withdrawal charge",C1009)),"Fees",IF(ISNUMBER(SEARCH("Customer Withdrawal",C1009)),"Fees",IF(ISNUMBER(SEARCH("charge",C1009)),"Fees","Other")))))))))))))))))))))))))</f>
        <v>Bundles</v>
      </c>
      <c r="R1009" s="1" t="str">
        <f aca="false">TEXT(B1009,"MMM YYYY")</f>
        <v>Jun 2026</v>
      </c>
    </row>
    <row r="1010" customFormat="false" ht="13.8" hidden="false" customHeight="false" outlineLevel="0" collapsed="false">
      <c r="A1010" s="4" t="s">
        <v>2089</v>
      </c>
      <c r="B1010" s="4" t="s">
        <v>2090</v>
      </c>
      <c r="C1010" s="4" t="s">
        <v>29</v>
      </c>
      <c r="D1010" s="4" t="s">
        <v>18</v>
      </c>
      <c r="E1010" s="4"/>
      <c r="F1010" s="4" t="n">
        <v>10</v>
      </c>
      <c r="G1010" s="4" t="n">
        <v>457.91</v>
      </c>
      <c r="L1010" s="1" t="str">
        <f aca="false">IF(ISNUMBER(SEARCH("Bundle",C1010)),"Bundles",IF(ISNUMBER(SEARCH("Airtime",C1010)),"Bundles",IF(ISNUMBER(SEARCH("Merchant",C1010)),"Merchant Payment",IF(ISNUMBER(SEARCH("Offnet C2B",C1010)),"Merchant Payment",IF(ISNUMBER(SEARCH("Offnet B2C",C1010)),"Merchant Payment",IF(ISNUMBER(SEARCH("Customer Payment to Small",C1010)),"Merchant Payment",IF(ISNUMBER(SEARCH("Payment to Small Business",C1010)),"Merchant Payment",IF(ISNUMBER(SEARCH("Sent to",C1010)),"Sent to Person",IF(ISNUMBER(SEARCH("Customer Transfer to",C1010)),"Sent to Person",IF(ISNUMBER(SEARCH("Business Payment",C1010)),"Money In",IF(ISNUMBER(SEARCH("Funds Received",C1010)),"Money In",IF(ISNUMBER(SEARCH("Receive International",C1010)),"Money In",IF(ISNUMBER(SEARCH("Send Money Reversal",C1010)),"Money In",IF(ISNUMBER(SEARCH("Pay Utility Reversal",C1010)),"Money In",IF(ISNUMBER(SEARCH("Customer Transfer",C1010)),"Money In",IF(ISNUMBER(SEARCH("Ziidi",C1010)),"Investment",IF(ISNUMBER(SEARCH("Nabo",C1010)),"Investment",IF(ISNUMBER(SEARCH("Paybill Online",C1010)),"Pay Bill",IF(ISNUMBER(SEARCH("Pay Bill",C1010)),"Pay Bill",IF(ISNUMBER(SEARCH("Spotify",C1010)),"Pay Bill",IF(ISNUMBER(SEARCH("M-Shwari",C1010)),"Mshwari",IF(ISNUMBER(SEARCH("Mshwari",C1010)),"Mshwari",IF(ISNUMBER(SEARCH("Withdrawal charge",C1010)),"Fees",IF(ISNUMBER(SEARCH("Customer Withdrawal",C1010)),"Fees",IF(ISNUMBER(SEARCH("charge",C1010)),"Fees","Other")))))))))))))))))))))))))</f>
        <v>Bundles</v>
      </c>
      <c r="R1010" s="1" t="str">
        <f aca="false">TEXT(B1010,"MMM YYYY")</f>
        <v>Jun 2026</v>
      </c>
    </row>
    <row r="1011" customFormat="false" ht="13.8" hidden="false" customHeight="false" outlineLevel="0" collapsed="false">
      <c r="A1011" s="4" t="s">
        <v>2091</v>
      </c>
      <c r="B1011" s="4" t="s">
        <v>2092</v>
      </c>
      <c r="C1011" s="4" t="s">
        <v>29</v>
      </c>
      <c r="D1011" s="4" t="s">
        <v>18</v>
      </c>
      <c r="E1011" s="4"/>
      <c r="F1011" s="4" t="n">
        <v>10</v>
      </c>
      <c r="G1011" s="4" t="n">
        <v>447.91</v>
      </c>
      <c r="L1011" s="1" t="str">
        <f aca="false">IF(ISNUMBER(SEARCH("Bundle",C1011)),"Bundles",IF(ISNUMBER(SEARCH("Airtime",C1011)),"Bundles",IF(ISNUMBER(SEARCH("Merchant",C1011)),"Merchant Payment",IF(ISNUMBER(SEARCH("Offnet C2B",C1011)),"Merchant Payment",IF(ISNUMBER(SEARCH("Offnet B2C",C1011)),"Merchant Payment",IF(ISNUMBER(SEARCH("Customer Payment to Small",C1011)),"Merchant Payment",IF(ISNUMBER(SEARCH("Payment to Small Business",C1011)),"Merchant Payment",IF(ISNUMBER(SEARCH("Sent to",C1011)),"Sent to Person",IF(ISNUMBER(SEARCH("Customer Transfer to",C1011)),"Sent to Person",IF(ISNUMBER(SEARCH("Business Payment",C1011)),"Money In",IF(ISNUMBER(SEARCH("Funds Received",C1011)),"Money In",IF(ISNUMBER(SEARCH("Receive International",C1011)),"Money In",IF(ISNUMBER(SEARCH("Send Money Reversal",C1011)),"Money In",IF(ISNUMBER(SEARCH("Pay Utility Reversal",C1011)),"Money In",IF(ISNUMBER(SEARCH("Customer Transfer",C1011)),"Money In",IF(ISNUMBER(SEARCH("Ziidi",C1011)),"Investment",IF(ISNUMBER(SEARCH("Nabo",C1011)),"Investment",IF(ISNUMBER(SEARCH("Paybill Online",C1011)),"Pay Bill",IF(ISNUMBER(SEARCH("Pay Bill",C1011)),"Pay Bill",IF(ISNUMBER(SEARCH("Spotify",C1011)),"Pay Bill",IF(ISNUMBER(SEARCH("M-Shwari",C1011)),"Mshwari",IF(ISNUMBER(SEARCH("Mshwari",C1011)),"Mshwari",IF(ISNUMBER(SEARCH("Withdrawal charge",C1011)),"Fees",IF(ISNUMBER(SEARCH("Customer Withdrawal",C1011)),"Fees",IF(ISNUMBER(SEARCH("charge",C1011)),"Fees","Other")))))))))))))))))))))))))</f>
        <v>Bundles</v>
      </c>
      <c r="R1011" s="1" t="str">
        <f aca="false">TEXT(B1011,"MMM YYYY")</f>
        <v>Jun 2026</v>
      </c>
    </row>
    <row r="1012" customFormat="false" ht="13.8" hidden="false" customHeight="false" outlineLevel="0" collapsed="false">
      <c r="A1012" s="4" t="s">
        <v>2093</v>
      </c>
      <c r="B1012" s="4" t="s">
        <v>2094</v>
      </c>
      <c r="C1012" s="4" t="s">
        <v>29</v>
      </c>
      <c r="D1012" s="4" t="s">
        <v>18</v>
      </c>
      <c r="E1012" s="4"/>
      <c r="F1012" s="4" t="n">
        <v>10</v>
      </c>
      <c r="G1012" s="4" t="n">
        <v>437.91</v>
      </c>
      <c r="L1012" s="1" t="str">
        <f aca="false">IF(ISNUMBER(SEARCH("Bundle",C1012)),"Bundles",IF(ISNUMBER(SEARCH("Airtime",C1012)),"Bundles",IF(ISNUMBER(SEARCH("Merchant",C1012)),"Merchant Payment",IF(ISNUMBER(SEARCH("Offnet C2B",C1012)),"Merchant Payment",IF(ISNUMBER(SEARCH("Offnet B2C",C1012)),"Merchant Payment",IF(ISNUMBER(SEARCH("Customer Payment to Small",C1012)),"Merchant Payment",IF(ISNUMBER(SEARCH("Payment to Small Business",C1012)),"Merchant Payment",IF(ISNUMBER(SEARCH("Sent to",C1012)),"Sent to Person",IF(ISNUMBER(SEARCH("Customer Transfer to",C1012)),"Sent to Person",IF(ISNUMBER(SEARCH("Business Payment",C1012)),"Money In",IF(ISNUMBER(SEARCH("Funds Received",C1012)),"Money In",IF(ISNUMBER(SEARCH("Receive International",C1012)),"Money In",IF(ISNUMBER(SEARCH("Send Money Reversal",C1012)),"Money In",IF(ISNUMBER(SEARCH("Pay Utility Reversal",C1012)),"Money In",IF(ISNUMBER(SEARCH("Customer Transfer",C1012)),"Money In",IF(ISNUMBER(SEARCH("Ziidi",C1012)),"Investment",IF(ISNUMBER(SEARCH("Nabo",C1012)),"Investment",IF(ISNUMBER(SEARCH("Paybill Online",C1012)),"Pay Bill",IF(ISNUMBER(SEARCH("Pay Bill",C1012)),"Pay Bill",IF(ISNUMBER(SEARCH("Spotify",C1012)),"Pay Bill",IF(ISNUMBER(SEARCH("M-Shwari",C1012)),"Mshwari",IF(ISNUMBER(SEARCH("Mshwari",C1012)),"Mshwari",IF(ISNUMBER(SEARCH("Withdrawal charge",C1012)),"Fees",IF(ISNUMBER(SEARCH("Customer Withdrawal",C1012)),"Fees",IF(ISNUMBER(SEARCH("charge",C1012)),"Fees","Other")))))))))))))))))))))))))</f>
        <v>Bundles</v>
      </c>
      <c r="R1012" s="1" t="str">
        <f aca="false">TEXT(B1012,"MMM YYYY")</f>
        <v>Jun 2026</v>
      </c>
    </row>
    <row r="1013" customFormat="false" ht="13.8" hidden="false" customHeight="false" outlineLevel="0" collapsed="false">
      <c r="A1013" s="4" t="s">
        <v>2095</v>
      </c>
      <c r="B1013" s="4" t="s">
        <v>2096</v>
      </c>
      <c r="C1013" s="4" t="s">
        <v>29</v>
      </c>
      <c r="D1013" s="4" t="s">
        <v>18</v>
      </c>
      <c r="E1013" s="4"/>
      <c r="F1013" s="4" t="n">
        <v>15</v>
      </c>
      <c r="G1013" s="4" t="n">
        <v>422.91</v>
      </c>
      <c r="L1013" s="1" t="str">
        <f aca="false">IF(ISNUMBER(SEARCH("Bundle",C1013)),"Bundles",IF(ISNUMBER(SEARCH("Airtime",C1013)),"Bundles",IF(ISNUMBER(SEARCH("Merchant",C1013)),"Merchant Payment",IF(ISNUMBER(SEARCH("Offnet C2B",C1013)),"Merchant Payment",IF(ISNUMBER(SEARCH("Offnet B2C",C1013)),"Merchant Payment",IF(ISNUMBER(SEARCH("Customer Payment to Small",C1013)),"Merchant Payment",IF(ISNUMBER(SEARCH("Payment to Small Business",C1013)),"Merchant Payment",IF(ISNUMBER(SEARCH("Sent to",C1013)),"Sent to Person",IF(ISNUMBER(SEARCH("Customer Transfer to",C1013)),"Sent to Person",IF(ISNUMBER(SEARCH("Business Payment",C1013)),"Money In",IF(ISNUMBER(SEARCH("Funds Received",C1013)),"Money In",IF(ISNUMBER(SEARCH("Receive International",C1013)),"Money In",IF(ISNUMBER(SEARCH("Send Money Reversal",C1013)),"Money In",IF(ISNUMBER(SEARCH("Pay Utility Reversal",C1013)),"Money In",IF(ISNUMBER(SEARCH("Customer Transfer",C1013)),"Money In",IF(ISNUMBER(SEARCH("Ziidi",C1013)),"Investment",IF(ISNUMBER(SEARCH("Nabo",C1013)),"Investment",IF(ISNUMBER(SEARCH("Paybill Online",C1013)),"Pay Bill",IF(ISNUMBER(SEARCH("Pay Bill",C1013)),"Pay Bill",IF(ISNUMBER(SEARCH("Spotify",C1013)),"Pay Bill",IF(ISNUMBER(SEARCH("M-Shwari",C1013)),"Mshwari",IF(ISNUMBER(SEARCH("Mshwari",C1013)),"Mshwari",IF(ISNUMBER(SEARCH("Withdrawal charge",C1013)),"Fees",IF(ISNUMBER(SEARCH("Customer Withdrawal",C1013)),"Fees",IF(ISNUMBER(SEARCH("charge",C1013)),"Fees","Other")))))))))))))))))))))))))</f>
        <v>Bundles</v>
      </c>
      <c r="R1013" s="1" t="str">
        <f aca="false">TEXT(B1013,"MMM YYYY")</f>
        <v>Jun 2026</v>
      </c>
    </row>
    <row r="1014" customFormat="false" ht="13.8" hidden="false" customHeight="false" outlineLevel="0" collapsed="false">
      <c r="A1014" s="4" t="s">
        <v>2097</v>
      </c>
      <c r="B1014" s="4" t="s">
        <v>2098</v>
      </c>
      <c r="C1014" s="4" t="s">
        <v>29</v>
      </c>
      <c r="D1014" s="4" t="s">
        <v>18</v>
      </c>
      <c r="E1014" s="4"/>
      <c r="F1014" s="4" t="n">
        <v>10</v>
      </c>
      <c r="G1014" s="4" t="n">
        <v>412.91</v>
      </c>
      <c r="L1014" s="1" t="str">
        <f aca="false">IF(ISNUMBER(SEARCH("Bundle",C1014)),"Bundles",IF(ISNUMBER(SEARCH("Airtime",C1014)),"Bundles",IF(ISNUMBER(SEARCH("Merchant",C1014)),"Merchant Payment",IF(ISNUMBER(SEARCH("Offnet C2B",C1014)),"Merchant Payment",IF(ISNUMBER(SEARCH("Offnet B2C",C1014)),"Merchant Payment",IF(ISNUMBER(SEARCH("Customer Payment to Small",C1014)),"Merchant Payment",IF(ISNUMBER(SEARCH("Payment to Small Business",C1014)),"Merchant Payment",IF(ISNUMBER(SEARCH("Sent to",C1014)),"Sent to Person",IF(ISNUMBER(SEARCH("Customer Transfer to",C1014)),"Sent to Person",IF(ISNUMBER(SEARCH("Business Payment",C1014)),"Money In",IF(ISNUMBER(SEARCH("Funds Received",C1014)),"Money In",IF(ISNUMBER(SEARCH("Receive International",C1014)),"Money In",IF(ISNUMBER(SEARCH("Send Money Reversal",C1014)),"Money In",IF(ISNUMBER(SEARCH("Pay Utility Reversal",C1014)),"Money In",IF(ISNUMBER(SEARCH("Customer Transfer",C1014)),"Money In",IF(ISNUMBER(SEARCH("Ziidi",C1014)),"Investment",IF(ISNUMBER(SEARCH("Nabo",C1014)),"Investment",IF(ISNUMBER(SEARCH("Paybill Online",C1014)),"Pay Bill",IF(ISNUMBER(SEARCH("Pay Bill",C1014)),"Pay Bill",IF(ISNUMBER(SEARCH("Spotify",C1014)),"Pay Bill",IF(ISNUMBER(SEARCH("M-Shwari",C1014)),"Mshwari",IF(ISNUMBER(SEARCH("Mshwari",C1014)),"Mshwari",IF(ISNUMBER(SEARCH("Withdrawal charge",C1014)),"Fees",IF(ISNUMBER(SEARCH("Customer Withdrawal",C1014)),"Fees",IF(ISNUMBER(SEARCH("charge",C1014)),"Fees","Other")))))))))))))))))))))))))</f>
        <v>Bundles</v>
      </c>
      <c r="R1014" s="1" t="str">
        <f aca="false">TEXT(B1014,"MMM YYYY")</f>
        <v>Jun 2026</v>
      </c>
    </row>
    <row r="1015" customFormat="false" ht="13.8" hidden="false" customHeight="false" outlineLevel="0" collapsed="false">
      <c r="A1015" s="4" t="s">
        <v>2099</v>
      </c>
      <c r="B1015" s="4" t="s">
        <v>2100</v>
      </c>
      <c r="C1015" s="4" t="s">
        <v>29</v>
      </c>
      <c r="D1015" s="4" t="s">
        <v>18</v>
      </c>
      <c r="E1015" s="4"/>
      <c r="F1015" s="4" t="n">
        <v>20</v>
      </c>
      <c r="G1015" s="4" t="n">
        <v>392.91</v>
      </c>
      <c r="L1015" s="1" t="str">
        <f aca="false">IF(ISNUMBER(SEARCH("Bundle",C1015)),"Bundles",IF(ISNUMBER(SEARCH("Airtime",C1015)),"Bundles",IF(ISNUMBER(SEARCH("Merchant",C1015)),"Merchant Payment",IF(ISNUMBER(SEARCH("Offnet C2B",C1015)),"Merchant Payment",IF(ISNUMBER(SEARCH("Offnet B2C",C1015)),"Merchant Payment",IF(ISNUMBER(SEARCH("Customer Payment to Small",C1015)),"Merchant Payment",IF(ISNUMBER(SEARCH("Payment to Small Business",C1015)),"Merchant Payment",IF(ISNUMBER(SEARCH("Sent to",C1015)),"Sent to Person",IF(ISNUMBER(SEARCH("Customer Transfer to",C1015)),"Sent to Person",IF(ISNUMBER(SEARCH("Business Payment",C1015)),"Money In",IF(ISNUMBER(SEARCH("Funds Received",C1015)),"Money In",IF(ISNUMBER(SEARCH("Receive International",C1015)),"Money In",IF(ISNUMBER(SEARCH("Send Money Reversal",C1015)),"Money In",IF(ISNUMBER(SEARCH("Pay Utility Reversal",C1015)),"Money In",IF(ISNUMBER(SEARCH("Customer Transfer",C1015)),"Money In",IF(ISNUMBER(SEARCH("Ziidi",C1015)),"Investment",IF(ISNUMBER(SEARCH("Nabo",C1015)),"Investment",IF(ISNUMBER(SEARCH("Paybill Online",C1015)),"Pay Bill",IF(ISNUMBER(SEARCH("Pay Bill",C1015)),"Pay Bill",IF(ISNUMBER(SEARCH("Spotify",C1015)),"Pay Bill",IF(ISNUMBER(SEARCH("M-Shwari",C1015)),"Mshwari",IF(ISNUMBER(SEARCH("Mshwari",C1015)),"Mshwari",IF(ISNUMBER(SEARCH("Withdrawal charge",C1015)),"Fees",IF(ISNUMBER(SEARCH("Customer Withdrawal",C1015)),"Fees",IF(ISNUMBER(SEARCH("charge",C1015)),"Fees","Other")))))))))))))))))))))))))</f>
        <v>Bundles</v>
      </c>
      <c r="R1015" s="1" t="str">
        <f aca="false">TEXT(B1015,"MMM YYYY")</f>
        <v>Jun 2026</v>
      </c>
    </row>
    <row r="1016" customFormat="false" ht="13.8" hidden="false" customHeight="false" outlineLevel="0" collapsed="false">
      <c r="A1016" s="4" t="s">
        <v>2101</v>
      </c>
      <c r="B1016" s="4" t="s">
        <v>2102</v>
      </c>
      <c r="C1016" s="4" t="s">
        <v>29</v>
      </c>
      <c r="D1016" s="4" t="s">
        <v>18</v>
      </c>
      <c r="E1016" s="4"/>
      <c r="F1016" s="4" t="n">
        <v>10</v>
      </c>
      <c r="G1016" s="4" t="n">
        <v>382.91</v>
      </c>
      <c r="L1016" s="1" t="str">
        <f aca="false">IF(ISNUMBER(SEARCH("Bundle",C1016)),"Bundles",IF(ISNUMBER(SEARCH("Airtime",C1016)),"Bundles",IF(ISNUMBER(SEARCH("Merchant",C1016)),"Merchant Payment",IF(ISNUMBER(SEARCH("Offnet C2B",C1016)),"Merchant Payment",IF(ISNUMBER(SEARCH("Offnet B2C",C1016)),"Merchant Payment",IF(ISNUMBER(SEARCH("Customer Payment to Small",C1016)),"Merchant Payment",IF(ISNUMBER(SEARCH("Payment to Small Business",C1016)),"Merchant Payment",IF(ISNUMBER(SEARCH("Sent to",C1016)),"Sent to Person",IF(ISNUMBER(SEARCH("Customer Transfer to",C1016)),"Sent to Person",IF(ISNUMBER(SEARCH("Business Payment",C1016)),"Money In",IF(ISNUMBER(SEARCH("Funds Received",C1016)),"Money In",IF(ISNUMBER(SEARCH("Receive International",C1016)),"Money In",IF(ISNUMBER(SEARCH("Send Money Reversal",C1016)),"Money In",IF(ISNUMBER(SEARCH("Pay Utility Reversal",C1016)),"Money In",IF(ISNUMBER(SEARCH("Customer Transfer",C1016)),"Money In",IF(ISNUMBER(SEARCH("Ziidi",C1016)),"Investment",IF(ISNUMBER(SEARCH("Nabo",C1016)),"Investment",IF(ISNUMBER(SEARCH("Paybill Online",C1016)),"Pay Bill",IF(ISNUMBER(SEARCH("Pay Bill",C1016)),"Pay Bill",IF(ISNUMBER(SEARCH("Spotify",C1016)),"Pay Bill",IF(ISNUMBER(SEARCH("M-Shwari",C1016)),"Mshwari",IF(ISNUMBER(SEARCH("Mshwari",C1016)),"Mshwari",IF(ISNUMBER(SEARCH("Withdrawal charge",C1016)),"Fees",IF(ISNUMBER(SEARCH("Customer Withdrawal",C1016)),"Fees",IF(ISNUMBER(SEARCH("charge",C1016)),"Fees","Other")))))))))))))))))))))))))</f>
        <v>Bundles</v>
      </c>
      <c r="R1016" s="1" t="str">
        <f aca="false">TEXT(B1016,"MMM YYYY")</f>
        <v>Jun 2026</v>
      </c>
    </row>
    <row r="1017" customFormat="false" ht="13.8" hidden="false" customHeight="false" outlineLevel="0" collapsed="false">
      <c r="A1017" s="4" t="s">
        <v>2103</v>
      </c>
      <c r="B1017" s="4" t="s">
        <v>2104</v>
      </c>
      <c r="C1017" s="4" t="s">
        <v>29</v>
      </c>
      <c r="D1017" s="4" t="s">
        <v>18</v>
      </c>
      <c r="E1017" s="4"/>
      <c r="F1017" s="4" t="n">
        <v>10</v>
      </c>
      <c r="G1017" s="4" t="n">
        <v>372.91</v>
      </c>
      <c r="L1017" s="1" t="str">
        <f aca="false">IF(ISNUMBER(SEARCH("Bundle",C1017)),"Bundles",IF(ISNUMBER(SEARCH("Airtime",C1017)),"Bundles",IF(ISNUMBER(SEARCH("Merchant",C1017)),"Merchant Payment",IF(ISNUMBER(SEARCH("Offnet C2B",C1017)),"Merchant Payment",IF(ISNUMBER(SEARCH("Offnet B2C",C1017)),"Merchant Payment",IF(ISNUMBER(SEARCH("Customer Payment to Small",C1017)),"Merchant Payment",IF(ISNUMBER(SEARCH("Payment to Small Business",C1017)),"Merchant Payment",IF(ISNUMBER(SEARCH("Sent to",C1017)),"Sent to Person",IF(ISNUMBER(SEARCH("Customer Transfer to",C1017)),"Sent to Person",IF(ISNUMBER(SEARCH("Business Payment",C1017)),"Money In",IF(ISNUMBER(SEARCH("Funds Received",C1017)),"Money In",IF(ISNUMBER(SEARCH("Receive International",C1017)),"Money In",IF(ISNUMBER(SEARCH("Send Money Reversal",C1017)),"Money In",IF(ISNUMBER(SEARCH("Pay Utility Reversal",C1017)),"Money In",IF(ISNUMBER(SEARCH("Customer Transfer",C1017)),"Money In",IF(ISNUMBER(SEARCH("Ziidi",C1017)),"Investment",IF(ISNUMBER(SEARCH("Nabo",C1017)),"Investment",IF(ISNUMBER(SEARCH("Paybill Online",C1017)),"Pay Bill",IF(ISNUMBER(SEARCH("Pay Bill",C1017)),"Pay Bill",IF(ISNUMBER(SEARCH("Spotify",C1017)),"Pay Bill",IF(ISNUMBER(SEARCH("M-Shwari",C1017)),"Mshwari",IF(ISNUMBER(SEARCH("Mshwari",C1017)),"Mshwari",IF(ISNUMBER(SEARCH("Withdrawal charge",C1017)),"Fees",IF(ISNUMBER(SEARCH("Customer Withdrawal",C1017)),"Fees",IF(ISNUMBER(SEARCH("charge",C1017)),"Fees","Other")))))))))))))))))))))))))</f>
        <v>Bundles</v>
      </c>
      <c r="R1017" s="1" t="str">
        <f aca="false">TEXT(B1017,"MMM YYYY")</f>
        <v>Jun 2026</v>
      </c>
    </row>
    <row r="1018" customFormat="false" ht="13.8" hidden="false" customHeight="false" outlineLevel="0" collapsed="false">
      <c r="A1018" s="4" t="s">
        <v>2105</v>
      </c>
      <c r="B1018" s="4" t="s">
        <v>2106</v>
      </c>
      <c r="C1018" s="4" t="s">
        <v>323</v>
      </c>
      <c r="D1018" s="4" t="s">
        <v>18</v>
      </c>
      <c r="E1018" s="4"/>
      <c r="F1018" s="4" t="n">
        <v>350</v>
      </c>
      <c r="G1018" s="4" t="n">
        <v>22.91</v>
      </c>
      <c r="L1018" s="1" t="str">
        <f aca="false">IF(ISNUMBER(SEARCH("Bundle",C1018)),"Bundles",IF(ISNUMBER(SEARCH("Airtime",C1018)),"Bundles",IF(ISNUMBER(SEARCH("Merchant",C1018)),"Merchant Payment",IF(ISNUMBER(SEARCH("Offnet C2B",C1018)),"Merchant Payment",IF(ISNUMBER(SEARCH("Offnet B2C",C1018)),"Merchant Payment",IF(ISNUMBER(SEARCH("Customer Payment to Small",C1018)),"Merchant Payment",IF(ISNUMBER(SEARCH("Payment to Small Business",C1018)),"Merchant Payment",IF(ISNUMBER(SEARCH("Sent to",C1018)),"Sent to Person",IF(ISNUMBER(SEARCH("Customer Transfer to",C1018)),"Sent to Person",IF(ISNUMBER(SEARCH("Business Payment",C1018)),"Money In",IF(ISNUMBER(SEARCH("Funds Received",C1018)),"Money In",IF(ISNUMBER(SEARCH("Receive International",C1018)),"Money In",IF(ISNUMBER(SEARCH("Send Money Reversal",C1018)),"Money In",IF(ISNUMBER(SEARCH("Pay Utility Reversal",C1018)),"Money In",IF(ISNUMBER(SEARCH("Customer Transfer",C1018)),"Money In",IF(ISNUMBER(SEARCH("Ziidi",C1018)),"Investment",IF(ISNUMBER(SEARCH("Nabo",C1018)),"Investment",IF(ISNUMBER(SEARCH("Paybill Online",C1018)),"Pay Bill",IF(ISNUMBER(SEARCH("Pay Bill",C1018)),"Pay Bill",IF(ISNUMBER(SEARCH("Spotify",C1018)),"Pay Bill",IF(ISNUMBER(SEARCH("M-Shwari",C1018)),"Mshwari",IF(ISNUMBER(SEARCH("Mshwari",C1018)),"Mshwari",IF(ISNUMBER(SEARCH("Withdrawal charge",C1018)),"Fees",IF(ISNUMBER(SEARCH("Customer Withdrawal",C1018)),"Fees",IF(ISNUMBER(SEARCH("charge",C1018)),"Fees","Other")))))))))))))))))))))))))</f>
        <v>Sent to Person</v>
      </c>
      <c r="R1018" s="1" t="str">
        <f aca="false">TEXT(B1018,"MMM YYYY")</f>
        <v>Jun 2026</v>
      </c>
    </row>
    <row r="1019" customFormat="false" ht="13.8" hidden="false" customHeight="false" outlineLevel="0" collapsed="false">
      <c r="A1019" s="4" t="s">
        <v>2105</v>
      </c>
      <c r="B1019" s="4" t="s">
        <v>2106</v>
      </c>
      <c r="C1019" s="4" t="s">
        <v>239</v>
      </c>
      <c r="D1019" s="4" t="s">
        <v>18</v>
      </c>
      <c r="E1019" s="4"/>
      <c r="F1019" s="4" t="n">
        <v>7</v>
      </c>
      <c r="G1019" s="4" t="n">
        <v>15.91</v>
      </c>
      <c r="L1019" s="1" t="str">
        <f aca="false">IF(ISNUMBER(SEARCH("Bundle",C1019)),"Bundles",IF(ISNUMBER(SEARCH("Airtime",C1019)),"Bundles",IF(ISNUMBER(SEARCH("Merchant",C1019)),"Merchant Payment",IF(ISNUMBER(SEARCH("Offnet C2B",C1019)),"Merchant Payment",IF(ISNUMBER(SEARCH("Offnet B2C",C1019)),"Merchant Payment",IF(ISNUMBER(SEARCH("Customer Payment to Small",C1019)),"Merchant Payment",IF(ISNUMBER(SEARCH("Payment to Small Business",C1019)),"Merchant Payment",IF(ISNUMBER(SEARCH("Sent to",C1019)),"Sent to Person",IF(ISNUMBER(SEARCH("Customer Transfer to",C1019)),"Sent to Person",IF(ISNUMBER(SEARCH("Business Payment",C1019)),"Money In",IF(ISNUMBER(SEARCH("Funds Received",C1019)),"Money In",IF(ISNUMBER(SEARCH("Receive International",C1019)),"Money In",IF(ISNUMBER(SEARCH("Send Money Reversal",C1019)),"Money In",IF(ISNUMBER(SEARCH("Pay Utility Reversal",C1019)),"Money In",IF(ISNUMBER(SEARCH("Customer Transfer",C1019)),"Money In",IF(ISNUMBER(SEARCH("Ziidi",C1019)),"Investment",IF(ISNUMBER(SEARCH("Nabo",C1019)),"Investment",IF(ISNUMBER(SEARCH("Paybill Online",C1019)),"Pay Bill",IF(ISNUMBER(SEARCH("Pay Bill",C1019)),"Pay Bill",IF(ISNUMBER(SEARCH("Spotify",C1019)),"Pay Bill",IF(ISNUMBER(SEARCH("M-Shwari",C1019)),"Mshwari",IF(ISNUMBER(SEARCH("Mshwari",C1019)),"Mshwari",IF(ISNUMBER(SEARCH("Withdrawal charge",C1019)),"Fees",IF(ISNUMBER(SEARCH("Customer Withdrawal",C1019)),"Fees",IF(ISNUMBER(SEARCH("charge",C1019)),"Fees","Other")))))))))))))))))))))))))</f>
        <v>Money In</v>
      </c>
      <c r="R1019" s="1" t="str">
        <f aca="false">TEXT(B1019,"MMM YYYY")</f>
        <v>Jun 2026</v>
      </c>
    </row>
    <row r="1020" customFormat="false" ht="13.8" hidden="false" customHeight="false" outlineLevel="0" collapsed="false">
      <c r="A1020" s="4" t="s">
        <v>2107</v>
      </c>
      <c r="B1020" s="4" t="s">
        <v>2108</v>
      </c>
      <c r="C1020" s="4" t="s">
        <v>29</v>
      </c>
      <c r="D1020" s="4" t="s">
        <v>18</v>
      </c>
      <c r="E1020" s="4"/>
      <c r="F1020" s="4" t="n">
        <v>10</v>
      </c>
      <c r="G1020" s="4" t="n">
        <v>5.91</v>
      </c>
      <c r="L1020" s="1" t="str">
        <f aca="false">IF(ISNUMBER(SEARCH("Bundle",C1020)),"Bundles",IF(ISNUMBER(SEARCH("Airtime",C1020)),"Bundles",IF(ISNUMBER(SEARCH("Merchant",C1020)),"Merchant Payment",IF(ISNUMBER(SEARCH("Offnet C2B",C1020)),"Merchant Payment",IF(ISNUMBER(SEARCH("Offnet B2C",C1020)),"Merchant Payment",IF(ISNUMBER(SEARCH("Customer Payment to Small",C1020)),"Merchant Payment",IF(ISNUMBER(SEARCH("Payment to Small Business",C1020)),"Merchant Payment",IF(ISNUMBER(SEARCH("Sent to",C1020)),"Sent to Person",IF(ISNUMBER(SEARCH("Customer Transfer to",C1020)),"Sent to Person",IF(ISNUMBER(SEARCH("Business Payment",C1020)),"Money In",IF(ISNUMBER(SEARCH("Funds Received",C1020)),"Money In",IF(ISNUMBER(SEARCH("Receive International",C1020)),"Money In",IF(ISNUMBER(SEARCH("Send Money Reversal",C1020)),"Money In",IF(ISNUMBER(SEARCH("Pay Utility Reversal",C1020)),"Money In",IF(ISNUMBER(SEARCH("Customer Transfer",C1020)),"Money In",IF(ISNUMBER(SEARCH("Ziidi",C1020)),"Investment",IF(ISNUMBER(SEARCH("Nabo",C1020)),"Investment",IF(ISNUMBER(SEARCH("Paybill Online",C1020)),"Pay Bill",IF(ISNUMBER(SEARCH("Pay Bill",C1020)),"Pay Bill",IF(ISNUMBER(SEARCH("Spotify",C1020)),"Pay Bill",IF(ISNUMBER(SEARCH("M-Shwari",C1020)),"Mshwari",IF(ISNUMBER(SEARCH("Mshwari",C1020)),"Mshwari",IF(ISNUMBER(SEARCH("Withdrawal charge",C1020)),"Fees",IF(ISNUMBER(SEARCH("Customer Withdrawal",C1020)),"Fees",IF(ISNUMBER(SEARCH("charge",C1020)),"Fees","Other")))))))))))))))))))))))))</f>
        <v>Bundles</v>
      </c>
      <c r="R1020" s="1" t="str">
        <f aca="false">TEXT(B1020,"MMM YYYY")</f>
        <v>Jun 2026</v>
      </c>
    </row>
    <row r="1021" customFormat="false" ht="13.8" hidden="false" customHeight="false" outlineLevel="0" collapsed="false">
      <c r="A1021" s="4" t="s">
        <v>2109</v>
      </c>
      <c r="B1021" s="4" t="s">
        <v>2110</v>
      </c>
      <c r="C1021" s="4" t="s">
        <v>192</v>
      </c>
      <c r="D1021" s="4" t="s">
        <v>18</v>
      </c>
      <c r="E1021" s="4" t="n">
        <v>500</v>
      </c>
      <c r="F1021" s="4"/>
      <c r="G1021" s="4" t="n">
        <v>505.91</v>
      </c>
      <c r="L1021" s="1" t="str">
        <f aca="false">IF(ISNUMBER(SEARCH("Bundle",C1021)),"Bundles",IF(ISNUMBER(SEARCH("Airtime",C1021)),"Bundles",IF(ISNUMBER(SEARCH("Merchant",C1021)),"Merchant Payment",IF(ISNUMBER(SEARCH("Offnet C2B",C1021)),"Merchant Payment",IF(ISNUMBER(SEARCH("Offnet B2C",C1021)),"Merchant Payment",IF(ISNUMBER(SEARCH("Customer Payment to Small",C1021)),"Merchant Payment",IF(ISNUMBER(SEARCH("Payment to Small Business",C1021)),"Merchant Payment",IF(ISNUMBER(SEARCH("Sent to",C1021)),"Sent to Person",IF(ISNUMBER(SEARCH("Customer Transfer to",C1021)),"Sent to Person",IF(ISNUMBER(SEARCH("Business Payment",C1021)),"Money In",IF(ISNUMBER(SEARCH("Funds Received",C1021)),"Money In",IF(ISNUMBER(SEARCH("Receive International",C1021)),"Money In",IF(ISNUMBER(SEARCH("Send Money Reversal",C1021)),"Money In",IF(ISNUMBER(SEARCH("Pay Utility Reversal",C1021)),"Money In",IF(ISNUMBER(SEARCH("Customer Transfer",C1021)),"Money In",IF(ISNUMBER(SEARCH("Ziidi",C1021)),"Investment",IF(ISNUMBER(SEARCH("Nabo",C1021)),"Investment",IF(ISNUMBER(SEARCH("Paybill Online",C1021)),"Pay Bill",IF(ISNUMBER(SEARCH("Pay Bill",C1021)),"Pay Bill",IF(ISNUMBER(SEARCH("Spotify",C1021)),"Pay Bill",IF(ISNUMBER(SEARCH("M-Shwari",C1021)),"Mshwari",IF(ISNUMBER(SEARCH("Mshwari",C1021)),"Mshwari",IF(ISNUMBER(SEARCH("Withdrawal charge",C1021)),"Fees",IF(ISNUMBER(SEARCH("Customer Withdrawal",C1021)),"Fees",IF(ISNUMBER(SEARCH("charge",C1021)),"Fees","Other")))))))))))))))))))))))))</f>
        <v>Mshwari</v>
      </c>
      <c r="R1021" s="1" t="str">
        <f aca="false">TEXT(B1021,"MMM YYYY")</f>
        <v>Jun 2026</v>
      </c>
    </row>
    <row r="1022" customFormat="false" ht="13.8" hidden="false" customHeight="false" outlineLevel="0" collapsed="false">
      <c r="A1022" s="4" t="s">
        <v>2111</v>
      </c>
      <c r="B1022" s="4" t="s">
        <v>2112</v>
      </c>
      <c r="C1022" s="4" t="s">
        <v>323</v>
      </c>
      <c r="D1022" s="4" t="s">
        <v>18</v>
      </c>
      <c r="E1022" s="4"/>
      <c r="F1022" s="4" t="n">
        <v>100</v>
      </c>
      <c r="G1022" s="4" t="n">
        <v>405.91</v>
      </c>
      <c r="L1022" s="1" t="str">
        <f aca="false">IF(ISNUMBER(SEARCH("Bundle",C1022)),"Bundles",IF(ISNUMBER(SEARCH("Airtime",C1022)),"Bundles",IF(ISNUMBER(SEARCH("Merchant",C1022)),"Merchant Payment",IF(ISNUMBER(SEARCH("Offnet C2B",C1022)),"Merchant Payment",IF(ISNUMBER(SEARCH("Offnet B2C",C1022)),"Merchant Payment",IF(ISNUMBER(SEARCH("Customer Payment to Small",C1022)),"Merchant Payment",IF(ISNUMBER(SEARCH("Payment to Small Business",C1022)),"Merchant Payment",IF(ISNUMBER(SEARCH("Sent to",C1022)),"Sent to Person",IF(ISNUMBER(SEARCH("Customer Transfer to",C1022)),"Sent to Person",IF(ISNUMBER(SEARCH("Business Payment",C1022)),"Money In",IF(ISNUMBER(SEARCH("Funds Received",C1022)),"Money In",IF(ISNUMBER(SEARCH("Receive International",C1022)),"Money In",IF(ISNUMBER(SEARCH("Send Money Reversal",C1022)),"Money In",IF(ISNUMBER(SEARCH("Pay Utility Reversal",C1022)),"Money In",IF(ISNUMBER(SEARCH("Customer Transfer",C1022)),"Money In",IF(ISNUMBER(SEARCH("Ziidi",C1022)),"Investment",IF(ISNUMBER(SEARCH("Nabo",C1022)),"Investment",IF(ISNUMBER(SEARCH("Paybill Online",C1022)),"Pay Bill",IF(ISNUMBER(SEARCH("Pay Bill",C1022)),"Pay Bill",IF(ISNUMBER(SEARCH("Spotify",C1022)),"Pay Bill",IF(ISNUMBER(SEARCH("M-Shwari",C1022)),"Mshwari",IF(ISNUMBER(SEARCH("Mshwari",C1022)),"Mshwari",IF(ISNUMBER(SEARCH("Withdrawal charge",C1022)),"Fees",IF(ISNUMBER(SEARCH("Customer Withdrawal",C1022)),"Fees",IF(ISNUMBER(SEARCH("charge",C1022)),"Fees","Other")))))))))))))))))))))))))</f>
        <v>Sent to Person</v>
      </c>
      <c r="R1022" s="1" t="str">
        <f aca="false">TEXT(B1022,"MMM YYYY")</f>
        <v>Jun 2026</v>
      </c>
    </row>
    <row r="1023" customFormat="false" ht="13.8" hidden="false" customHeight="false" outlineLevel="0" collapsed="false">
      <c r="A1023" s="4" t="s">
        <v>2113</v>
      </c>
      <c r="B1023" s="4" t="s">
        <v>2114</v>
      </c>
      <c r="C1023" s="4" t="s">
        <v>29</v>
      </c>
      <c r="D1023" s="4" t="s">
        <v>18</v>
      </c>
      <c r="E1023" s="4"/>
      <c r="F1023" s="4" t="n">
        <v>10</v>
      </c>
      <c r="G1023" s="4" t="n">
        <v>395.91</v>
      </c>
      <c r="L1023" s="1" t="str">
        <f aca="false">IF(ISNUMBER(SEARCH("Bundle",C1023)),"Bundles",IF(ISNUMBER(SEARCH("Airtime",C1023)),"Bundles",IF(ISNUMBER(SEARCH("Merchant",C1023)),"Merchant Payment",IF(ISNUMBER(SEARCH("Offnet C2B",C1023)),"Merchant Payment",IF(ISNUMBER(SEARCH("Offnet B2C",C1023)),"Merchant Payment",IF(ISNUMBER(SEARCH("Customer Payment to Small",C1023)),"Merchant Payment",IF(ISNUMBER(SEARCH("Payment to Small Business",C1023)),"Merchant Payment",IF(ISNUMBER(SEARCH("Sent to",C1023)),"Sent to Person",IF(ISNUMBER(SEARCH("Customer Transfer to",C1023)),"Sent to Person",IF(ISNUMBER(SEARCH("Business Payment",C1023)),"Money In",IF(ISNUMBER(SEARCH("Funds Received",C1023)),"Money In",IF(ISNUMBER(SEARCH("Receive International",C1023)),"Money In",IF(ISNUMBER(SEARCH("Send Money Reversal",C1023)),"Money In",IF(ISNUMBER(SEARCH("Pay Utility Reversal",C1023)),"Money In",IF(ISNUMBER(SEARCH("Customer Transfer",C1023)),"Money In",IF(ISNUMBER(SEARCH("Ziidi",C1023)),"Investment",IF(ISNUMBER(SEARCH("Nabo",C1023)),"Investment",IF(ISNUMBER(SEARCH("Paybill Online",C1023)),"Pay Bill",IF(ISNUMBER(SEARCH("Pay Bill",C1023)),"Pay Bill",IF(ISNUMBER(SEARCH("Spotify",C1023)),"Pay Bill",IF(ISNUMBER(SEARCH("M-Shwari",C1023)),"Mshwari",IF(ISNUMBER(SEARCH("Mshwari",C1023)),"Mshwari",IF(ISNUMBER(SEARCH("Withdrawal charge",C1023)),"Fees",IF(ISNUMBER(SEARCH("Customer Withdrawal",C1023)),"Fees",IF(ISNUMBER(SEARCH("charge",C1023)),"Fees","Other")))))))))))))))))))))))))</f>
        <v>Bundles</v>
      </c>
      <c r="R1023" s="1" t="str">
        <f aca="false">TEXT(B1023,"MMM YYYY")</f>
        <v>Jun 2026</v>
      </c>
    </row>
    <row r="1024" customFormat="false" ht="13.8" hidden="false" customHeight="false" outlineLevel="0" collapsed="false">
      <c r="A1024" s="4" t="s">
        <v>2115</v>
      </c>
      <c r="B1024" s="4" t="s">
        <v>2116</v>
      </c>
      <c r="C1024" s="4" t="s">
        <v>29</v>
      </c>
      <c r="D1024" s="4" t="s">
        <v>18</v>
      </c>
      <c r="E1024" s="4"/>
      <c r="F1024" s="4" t="n">
        <v>10</v>
      </c>
      <c r="G1024" s="4" t="n">
        <v>385.91</v>
      </c>
      <c r="L1024" s="1" t="str">
        <f aca="false">IF(ISNUMBER(SEARCH("Bundle",C1024)),"Bundles",IF(ISNUMBER(SEARCH("Airtime",C1024)),"Bundles",IF(ISNUMBER(SEARCH("Merchant",C1024)),"Merchant Payment",IF(ISNUMBER(SEARCH("Offnet C2B",C1024)),"Merchant Payment",IF(ISNUMBER(SEARCH("Offnet B2C",C1024)),"Merchant Payment",IF(ISNUMBER(SEARCH("Customer Payment to Small",C1024)),"Merchant Payment",IF(ISNUMBER(SEARCH("Payment to Small Business",C1024)),"Merchant Payment",IF(ISNUMBER(SEARCH("Sent to",C1024)),"Sent to Person",IF(ISNUMBER(SEARCH("Customer Transfer to",C1024)),"Sent to Person",IF(ISNUMBER(SEARCH("Business Payment",C1024)),"Money In",IF(ISNUMBER(SEARCH("Funds Received",C1024)),"Money In",IF(ISNUMBER(SEARCH("Receive International",C1024)),"Money In",IF(ISNUMBER(SEARCH("Send Money Reversal",C1024)),"Money In",IF(ISNUMBER(SEARCH("Pay Utility Reversal",C1024)),"Money In",IF(ISNUMBER(SEARCH("Customer Transfer",C1024)),"Money In",IF(ISNUMBER(SEARCH("Ziidi",C1024)),"Investment",IF(ISNUMBER(SEARCH("Nabo",C1024)),"Investment",IF(ISNUMBER(SEARCH("Paybill Online",C1024)),"Pay Bill",IF(ISNUMBER(SEARCH("Pay Bill",C1024)),"Pay Bill",IF(ISNUMBER(SEARCH("Spotify",C1024)),"Pay Bill",IF(ISNUMBER(SEARCH("M-Shwari",C1024)),"Mshwari",IF(ISNUMBER(SEARCH("Mshwari",C1024)),"Mshwari",IF(ISNUMBER(SEARCH("Withdrawal charge",C1024)),"Fees",IF(ISNUMBER(SEARCH("Customer Withdrawal",C1024)),"Fees",IF(ISNUMBER(SEARCH("charge",C1024)),"Fees","Other")))))))))))))))))))))))))</f>
        <v>Bundles</v>
      </c>
      <c r="R1024" s="1" t="str">
        <f aca="false">TEXT(B1024,"MMM YYYY")</f>
        <v>Jun 2026</v>
      </c>
    </row>
    <row r="1025" customFormat="false" ht="13.8" hidden="false" customHeight="false" outlineLevel="0" collapsed="false">
      <c r="A1025" s="4" t="s">
        <v>2117</v>
      </c>
      <c r="B1025" s="4" t="s">
        <v>2118</v>
      </c>
      <c r="C1025" s="4" t="s">
        <v>29</v>
      </c>
      <c r="D1025" s="4" t="s">
        <v>18</v>
      </c>
      <c r="E1025" s="4"/>
      <c r="F1025" s="4" t="n">
        <v>10</v>
      </c>
      <c r="G1025" s="4" t="n">
        <v>375.91</v>
      </c>
      <c r="L1025" s="1" t="str">
        <f aca="false">IF(ISNUMBER(SEARCH("Bundle",C1025)),"Bundles",IF(ISNUMBER(SEARCH("Airtime",C1025)),"Bundles",IF(ISNUMBER(SEARCH("Merchant",C1025)),"Merchant Payment",IF(ISNUMBER(SEARCH("Offnet C2B",C1025)),"Merchant Payment",IF(ISNUMBER(SEARCH("Offnet B2C",C1025)),"Merchant Payment",IF(ISNUMBER(SEARCH("Customer Payment to Small",C1025)),"Merchant Payment",IF(ISNUMBER(SEARCH("Payment to Small Business",C1025)),"Merchant Payment",IF(ISNUMBER(SEARCH("Sent to",C1025)),"Sent to Person",IF(ISNUMBER(SEARCH("Customer Transfer to",C1025)),"Sent to Person",IF(ISNUMBER(SEARCH("Business Payment",C1025)),"Money In",IF(ISNUMBER(SEARCH("Funds Received",C1025)),"Money In",IF(ISNUMBER(SEARCH("Receive International",C1025)),"Money In",IF(ISNUMBER(SEARCH("Send Money Reversal",C1025)),"Money In",IF(ISNUMBER(SEARCH("Pay Utility Reversal",C1025)),"Money In",IF(ISNUMBER(SEARCH("Customer Transfer",C1025)),"Money In",IF(ISNUMBER(SEARCH("Ziidi",C1025)),"Investment",IF(ISNUMBER(SEARCH("Nabo",C1025)),"Investment",IF(ISNUMBER(SEARCH("Paybill Online",C1025)),"Pay Bill",IF(ISNUMBER(SEARCH("Pay Bill",C1025)),"Pay Bill",IF(ISNUMBER(SEARCH("Spotify",C1025)),"Pay Bill",IF(ISNUMBER(SEARCH("M-Shwari",C1025)),"Mshwari",IF(ISNUMBER(SEARCH("Mshwari",C1025)),"Mshwari",IF(ISNUMBER(SEARCH("Withdrawal charge",C1025)),"Fees",IF(ISNUMBER(SEARCH("Customer Withdrawal",C1025)),"Fees",IF(ISNUMBER(SEARCH("charge",C1025)),"Fees","Other")))))))))))))))))))))))))</f>
        <v>Bundles</v>
      </c>
      <c r="R1025" s="1" t="str">
        <f aca="false">TEXT(B1025,"MMM YYYY")</f>
        <v>Jun 2026</v>
      </c>
    </row>
    <row r="1026" customFormat="false" ht="13.8" hidden="false" customHeight="false" outlineLevel="0" collapsed="false">
      <c r="A1026" s="4" t="s">
        <v>2119</v>
      </c>
      <c r="B1026" s="4" t="s">
        <v>2120</v>
      </c>
      <c r="C1026" s="4" t="s">
        <v>29</v>
      </c>
      <c r="D1026" s="4" t="s">
        <v>18</v>
      </c>
      <c r="E1026" s="4"/>
      <c r="F1026" s="4" t="n">
        <v>15</v>
      </c>
      <c r="G1026" s="4" t="n">
        <v>360.91</v>
      </c>
      <c r="L1026" s="1" t="str">
        <f aca="false">IF(ISNUMBER(SEARCH("Bundle",C1026)),"Bundles",IF(ISNUMBER(SEARCH("Airtime",C1026)),"Bundles",IF(ISNUMBER(SEARCH("Merchant",C1026)),"Merchant Payment",IF(ISNUMBER(SEARCH("Offnet C2B",C1026)),"Merchant Payment",IF(ISNUMBER(SEARCH("Offnet B2C",C1026)),"Merchant Payment",IF(ISNUMBER(SEARCH("Customer Payment to Small",C1026)),"Merchant Payment",IF(ISNUMBER(SEARCH("Payment to Small Business",C1026)),"Merchant Payment",IF(ISNUMBER(SEARCH("Sent to",C1026)),"Sent to Person",IF(ISNUMBER(SEARCH("Customer Transfer to",C1026)),"Sent to Person",IF(ISNUMBER(SEARCH("Business Payment",C1026)),"Money In",IF(ISNUMBER(SEARCH("Funds Received",C1026)),"Money In",IF(ISNUMBER(SEARCH("Receive International",C1026)),"Money In",IF(ISNUMBER(SEARCH("Send Money Reversal",C1026)),"Money In",IF(ISNUMBER(SEARCH("Pay Utility Reversal",C1026)),"Money In",IF(ISNUMBER(SEARCH("Customer Transfer",C1026)),"Money In",IF(ISNUMBER(SEARCH("Ziidi",C1026)),"Investment",IF(ISNUMBER(SEARCH("Nabo",C1026)),"Investment",IF(ISNUMBER(SEARCH("Paybill Online",C1026)),"Pay Bill",IF(ISNUMBER(SEARCH("Pay Bill",C1026)),"Pay Bill",IF(ISNUMBER(SEARCH("Spotify",C1026)),"Pay Bill",IF(ISNUMBER(SEARCH("M-Shwari",C1026)),"Mshwari",IF(ISNUMBER(SEARCH("Mshwari",C1026)),"Mshwari",IF(ISNUMBER(SEARCH("Withdrawal charge",C1026)),"Fees",IF(ISNUMBER(SEARCH("Customer Withdrawal",C1026)),"Fees",IF(ISNUMBER(SEARCH("charge",C1026)),"Fees","Other")))))))))))))))))))))))))</f>
        <v>Bundles</v>
      </c>
      <c r="R1026" s="1" t="str">
        <f aca="false">TEXT(B1026,"MMM YYYY")</f>
        <v>Jun 2026</v>
      </c>
    </row>
    <row r="1027" customFormat="false" ht="13.8" hidden="false" customHeight="false" outlineLevel="0" collapsed="false">
      <c r="A1027" s="4" t="s">
        <v>2121</v>
      </c>
      <c r="B1027" s="4" t="s">
        <v>2122</v>
      </c>
      <c r="C1027" s="4" t="s">
        <v>153</v>
      </c>
      <c r="D1027" s="4" t="s">
        <v>18</v>
      </c>
      <c r="E1027" s="4"/>
      <c r="F1027" s="4" t="n">
        <v>50</v>
      </c>
      <c r="G1027" s="4" t="n">
        <v>310.91</v>
      </c>
      <c r="L1027" s="1" t="str">
        <f aca="false">IF(ISNUMBER(SEARCH("Bundle",C1027)),"Bundles",IF(ISNUMBER(SEARCH("Airtime",C1027)),"Bundles",IF(ISNUMBER(SEARCH("Merchant",C1027)),"Merchant Payment",IF(ISNUMBER(SEARCH("Offnet C2B",C1027)),"Merchant Payment",IF(ISNUMBER(SEARCH("Offnet B2C",C1027)),"Merchant Payment",IF(ISNUMBER(SEARCH("Customer Payment to Small",C1027)),"Merchant Payment",IF(ISNUMBER(SEARCH("Payment to Small Business",C1027)),"Merchant Payment",IF(ISNUMBER(SEARCH("Sent to",C1027)),"Sent to Person",IF(ISNUMBER(SEARCH("Customer Transfer to",C1027)),"Sent to Person",IF(ISNUMBER(SEARCH("Business Payment",C1027)),"Money In",IF(ISNUMBER(SEARCH("Funds Received",C1027)),"Money In",IF(ISNUMBER(SEARCH("Receive International",C1027)),"Money In",IF(ISNUMBER(SEARCH("Send Money Reversal",C1027)),"Money In",IF(ISNUMBER(SEARCH("Pay Utility Reversal",C1027)),"Money In",IF(ISNUMBER(SEARCH("Customer Transfer",C1027)),"Money In",IF(ISNUMBER(SEARCH("Ziidi",C1027)),"Investment",IF(ISNUMBER(SEARCH("Nabo",C1027)),"Investment",IF(ISNUMBER(SEARCH("Paybill Online",C1027)),"Pay Bill",IF(ISNUMBER(SEARCH("Pay Bill",C1027)),"Pay Bill",IF(ISNUMBER(SEARCH("Spotify",C1027)),"Pay Bill",IF(ISNUMBER(SEARCH("M-Shwari",C1027)),"Mshwari",IF(ISNUMBER(SEARCH("Mshwari",C1027)),"Mshwari",IF(ISNUMBER(SEARCH("Withdrawal charge",C1027)),"Fees",IF(ISNUMBER(SEARCH("Customer Withdrawal",C1027)),"Fees",IF(ISNUMBER(SEARCH("charge",C1027)),"Fees","Other")))))))))))))))))))))))))</f>
        <v>Bundles</v>
      </c>
      <c r="R1027" s="1" t="str">
        <f aca="false">TEXT(B1027,"MMM YYYY")</f>
        <v>Jun 2026</v>
      </c>
    </row>
    <row r="1028" customFormat="false" ht="13.8" hidden="false" customHeight="false" outlineLevel="0" collapsed="false">
      <c r="A1028" s="4" t="s">
        <v>2123</v>
      </c>
      <c r="B1028" s="4" t="s">
        <v>2124</v>
      </c>
      <c r="C1028" s="4" t="s">
        <v>29</v>
      </c>
      <c r="D1028" s="4" t="s">
        <v>18</v>
      </c>
      <c r="E1028" s="4"/>
      <c r="F1028" s="4" t="n">
        <v>20</v>
      </c>
      <c r="G1028" s="4" t="n">
        <v>290.91</v>
      </c>
      <c r="L1028" s="1" t="str">
        <f aca="false">IF(ISNUMBER(SEARCH("Bundle",C1028)),"Bundles",IF(ISNUMBER(SEARCH("Airtime",C1028)),"Bundles",IF(ISNUMBER(SEARCH("Merchant",C1028)),"Merchant Payment",IF(ISNUMBER(SEARCH("Offnet C2B",C1028)),"Merchant Payment",IF(ISNUMBER(SEARCH("Offnet B2C",C1028)),"Merchant Payment",IF(ISNUMBER(SEARCH("Customer Payment to Small",C1028)),"Merchant Payment",IF(ISNUMBER(SEARCH("Payment to Small Business",C1028)),"Merchant Payment",IF(ISNUMBER(SEARCH("Sent to",C1028)),"Sent to Person",IF(ISNUMBER(SEARCH("Customer Transfer to",C1028)),"Sent to Person",IF(ISNUMBER(SEARCH("Business Payment",C1028)),"Money In",IF(ISNUMBER(SEARCH("Funds Received",C1028)),"Money In",IF(ISNUMBER(SEARCH("Receive International",C1028)),"Money In",IF(ISNUMBER(SEARCH("Send Money Reversal",C1028)),"Money In",IF(ISNUMBER(SEARCH("Pay Utility Reversal",C1028)),"Money In",IF(ISNUMBER(SEARCH("Customer Transfer",C1028)),"Money In",IF(ISNUMBER(SEARCH("Ziidi",C1028)),"Investment",IF(ISNUMBER(SEARCH("Nabo",C1028)),"Investment",IF(ISNUMBER(SEARCH("Paybill Online",C1028)),"Pay Bill",IF(ISNUMBER(SEARCH("Pay Bill",C1028)),"Pay Bill",IF(ISNUMBER(SEARCH("Spotify",C1028)),"Pay Bill",IF(ISNUMBER(SEARCH("M-Shwari",C1028)),"Mshwari",IF(ISNUMBER(SEARCH("Mshwari",C1028)),"Mshwari",IF(ISNUMBER(SEARCH("Withdrawal charge",C1028)),"Fees",IF(ISNUMBER(SEARCH("Customer Withdrawal",C1028)),"Fees",IF(ISNUMBER(SEARCH("charge",C1028)),"Fees","Other")))))))))))))))))))))))))</f>
        <v>Bundles</v>
      </c>
      <c r="R1028" s="1" t="str">
        <f aca="false">TEXT(B1028,"MMM YYYY")</f>
        <v>Jun 2026</v>
      </c>
    </row>
    <row r="1029" customFormat="false" ht="13.8" hidden="false" customHeight="false" outlineLevel="0" collapsed="false">
      <c r="A1029" s="4" t="s">
        <v>2125</v>
      </c>
      <c r="B1029" s="4" t="s">
        <v>2126</v>
      </c>
      <c r="C1029" s="4" t="s">
        <v>29</v>
      </c>
      <c r="D1029" s="4" t="s">
        <v>18</v>
      </c>
      <c r="E1029" s="4"/>
      <c r="F1029" s="4" t="n">
        <v>10</v>
      </c>
      <c r="G1029" s="4" t="n">
        <v>280.91</v>
      </c>
      <c r="L1029" s="1" t="str">
        <f aca="false">IF(ISNUMBER(SEARCH("Bundle",C1029)),"Bundles",IF(ISNUMBER(SEARCH("Airtime",C1029)),"Bundles",IF(ISNUMBER(SEARCH("Merchant",C1029)),"Merchant Payment",IF(ISNUMBER(SEARCH("Offnet C2B",C1029)),"Merchant Payment",IF(ISNUMBER(SEARCH("Offnet B2C",C1029)),"Merchant Payment",IF(ISNUMBER(SEARCH("Customer Payment to Small",C1029)),"Merchant Payment",IF(ISNUMBER(SEARCH("Payment to Small Business",C1029)),"Merchant Payment",IF(ISNUMBER(SEARCH("Sent to",C1029)),"Sent to Person",IF(ISNUMBER(SEARCH("Customer Transfer to",C1029)),"Sent to Person",IF(ISNUMBER(SEARCH("Business Payment",C1029)),"Money In",IF(ISNUMBER(SEARCH("Funds Received",C1029)),"Money In",IF(ISNUMBER(SEARCH("Receive International",C1029)),"Money In",IF(ISNUMBER(SEARCH("Send Money Reversal",C1029)),"Money In",IF(ISNUMBER(SEARCH("Pay Utility Reversal",C1029)),"Money In",IF(ISNUMBER(SEARCH("Customer Transfer",C1029)),"Money In",IF(ISNUMBER(SEARCH("Ziidi",C1029)),"Investment",IF(ISNUMBER(SEARCH("Nabo",C1029)),"Investment",IF(ISNUMBER(SEARCH("Paybill Online",C1029)),"Pay Bill",IF(ISNUMBER(SEARCH("Pay Bill",C1029)),"Pay Bill",IF(ISNUMBER(SEARCH("Spotify",C1029)),"Pay Bill",IF(ISNUMBER(SEARCH("M-Shwari",C1029)),"Mshwari",IF(ISNUMBER(SEARCH("Mshwari",C1029)),"Mshwari",IF(ISNUMBER(SEARCH("Withdrawal charge",C1029)),"Fees",IF(ISNUMBER(SEARCH("Customer Withdrawal",C1029)),"Fees",IF(ISNUMBER(SEARCH("charge",C1029)),"Fees","Other")))))))))))))))))))))))))</f>
        <v>Bundles</v>
      </c>
      <c r="R1029" s="1" t="str">
        <f aca="false">TEXT(B1029,"MMM YYYY")</f>
        <v>Jun 2026</v>
      </c>
    </row>
    <row r="1030" customFormat="false" ht="13.8" hidden="false" customHeight="false" outlineLevel="0" collapsed="false">
      <c r="A1030" s="4" t="s">
        <v>2127</v>
      </c>
      <c r="B1030" s="4" t="s">
        <v>2128</v>
      </c>
      <c r="C1030" s="4" t="s">
        <v>29</v>
      </c>
      <c r="D1030" s="4" t="s">
        <v>18</v>
      </c>
      <c r="E1030" s="4"/>
      <c r="F1030" s="4" t="n">
        <v>10</v>
      </c>
      <c r="G1030" s="4" t="n">
        <v>270.91</v>
      </c>
      <c r="L1030" s="1" t="str">
        <f aca="false">IF(ISNUMBER(SEARCH("Bundle",C1030)),"Bundles",IF(ISNUMBER(SEARCH("Airtime",C1030)),"Bundles",IF(ISNUMBER(SEARCH("Merchant",C1030)),"Merchant Payment",IF(ISNUMBER(SEARCH("Offnet C2B",C1030)),"Merchant Payment",IF(ISNUMBER(SEARCH("Offnet B2C",C1030)),"Merchant Payment",IF(ISNUMBER(SEARCH("Customer Payment to Small",C1030)),"Merchant Payment",IF(ISNUMBER(SEARCH("Payment to Small Business",C1030)),"Merchant Payment",IF(ISNUMBER(SEARCH("Sent to",C1030)),"Sent to Person",IF(ISNUMBER(SEARCH("Customer Transfer to",C1030)),"Sent to Person",IF(ISNUMBER(SEARCH("Business Payment",C1030)),"Money In",IF(ISNUMBER(SEARCH("Funds Received",C1030)),"Money In",IF(ISNUMBER(SEARCH("Receive International",C1030)),"Money In",IF(ISNUMBER(SEARCH("Send Money Reversal",C1030)),"Money In",IF(ISNUMBER(SEARCH("Pay Utility Reversal",C1030)),"Money In",IF(ISNUMBER(SEARCH("Customer Transfer",C1030)),"Money In",IF(ISNUMBER(SEARCH("Ziidi",C1030)),"Investment",IF(ISNUMBER(SEARCH("Nabo",C1030)),"Investment",IF(ISNUMBER(SEARCH("Paybill Online",C1030)),"Pay Bill",IF(ISNUMBER(SEARCH("Pay Bill",C1030)),"Pay Bill",IF(ISNUMBER(SEARCH("Spotify",C1030)),"Pay Bill",IF(ISNUMBER(SEARCH("M-Shwari",C1030)),"Mshwari",IF(ISNUMBER(SEARCH("Mshwari",C1030)),"Mshwari",IF(ISNUMBER(SEARCH("Withdrawal charge",C1030)),"Fees",IF(ISNUMBER(SEARCH("Customer Withdrawal",C1030)),"Fees",IF(ISNUMBER(SEARCH("charge",C1030)),"Fees","Other")))))))))))))))))))))))))</f>
        <v>Bundles</v>
      </c>
      <c r="R1030" s="1" t="str">
        <f aca="false">TEXT(B1030,"MMM YYYY")</f>
        <v>Jun 2026</v>
      </c>
    </row>
    <row r="1031" customFormat="false" ht="13.8" hidden="false" customHeight="false" outlineLevel="0" collapsed="false">
      <c r="A1031" s="4" t="s">
        <v>2129</v>
      </c>
      <c r="B1031" s="4" t="s">
        <v>2130</v>
      </c>
      <c r="C1031" s="4" t="s">
        <v>2131</v>
      </c>
      <c r="D1031" s="4" t="s">
        <v>18</v>
      </c>
      <c r="E1031" s="4"/>
      <c r="F1031" s="4" t="n">
        <v>100</v>
      </c>
      <c r="G1031" s="4" t="n">
        <v>170.91</v>
      </c>
      <c r="L1031" s="1" t="str">
        <f aca="false">IF(ISNUMBER(SEARCH("Bundle",C1031)),"Bundles",IF(ISNUMBER(SEARCH("Airtime",C1031)),"Bundles",IF(ISNUMBER(SEARCH("Merchant",C1031)),"Merchant Payment",IF(ISNUMBER(SEARCH("Offnet C2B",C1031)),"Merchant Payment",IF(ISNUMBER(SEARCH("Offnet B2C",C1031)),"Merchant Payment",IF(ISNUMBER(SEARCH("Customer Payment to Small",C1031)),"Merchant Payment",IF(ISNUMBER(SEARCH("Payment to Small Business",C1031)),"Merchant Payment",IF(ISNUMBER(SEARCH("Sent to",C1031)),"Sent to Person",IF(ISNUMBER(SEARCH("Customer Transfer to",C1031)),"Sent to Person",IF(ISNUMBER(SEARCH("Business Payment",C1031)),"Money In",IF(ISNUMBER(SEARCH("Funds Received",C1031)),"Money In",IF(ISNUMBER(SEARCH("Receive International",C1031)),"Money In",IF(ISNUMBER(SEARCH("Send Money Reversal",C1031)),"Money In",IF(ISNUMBER(SEARCH("Pay Utility Reversal",C1031)),"Money In",IF(ISNUMBER(SEARCH("Customer Transfer",C1031)),"Money In",IF(ISNUMBER(SEARCH("Ziidi",C1031)),"Investment",IF(ISNUMBER(SEARCH("Nabo",C1031)),"Investment",IF(ISNUMBER(SEARCH("Paybill Online",C1031)),"Pay Bill",IF(ISNUMBER(SEARCH("Pay Bill",C1031)),"Pay Bill",IF(ISNUMBER(SEARCH("Spotify",C1031)),"Pay Bill",IF(ISNUMBER(SEARCH("M-Shwari",C1031)),"Mshwari",IF(ISNUMBER(SEARCH("Mshwari",C1031)),"Mshwari",IF(ISNUMBER(SEARCH("Withdrawal charge",C1031)),"Fees",IF(ISNUMBER(SEARCH("Customer Withdrawal",C1031)),"Fees",IF(ISNUMBER(SEARCH("charge",C1031)),"Fees","Other")))))))))))))))))))))))))</f>
        <v>Sent to Person</v>
      </c>
      <c r="R1031" s="1" t="str">
        <f aca="false">TEXT(B1031,"MMM YYYY")</f>
        <v>Jun 2026</v>
      </c>
    </row>
    <row r="1032" customFormat="false" ht="13.8" hidden="false" customHeight="false" outlineLevel="0" collapsed="false">
      <c r="A1032" s="4" t="s">
        <v>2132</v>
      </c>
      <c r="B1032" s="4" t="s">
        <v>2133</v>
      </c>
      <c r="C1032" s="4" t="s">
        <v>2131</v>
      </c>
      <c r="D1032" s="4" t="s">
        <v>18</v>
      </c>
      <c r="E1032" s="4"/>
      <c r="F1032" s="4" t="n">
        <v>70</v>
      </c>
      <c r="G1032" s="4" t="n">
        <v>100.91</v>
      </c>
      <c r="L1032" s="1" t="str">
        <f aca="false">IF(ISNUMBER(SEARCH("Bundle",C1032)),"Bundles",IF(ISNUMBER(SEARCH("Airtime",C1032)),"Bundles",IF(ISNUMBER(SEARCH("Merchant",C1032)),"Merchant Payment",IF(ISNUMBER(SEARCH("Offnet C2B",C1032)),"Merchant Payment",IF(ISNUMBER(SEARCH("Offnet B2C",C1032)),"Merchant Payment",IF(ISNUMBER(SEARCH("Customer Payment to Small",C1032)),"Merchant Payment",IF(ISNUMBER(SEARCH("Payment to Small Business",C1032)),"Merchant Payment",IF(ISNUMBER(SEARCH("Sent to",C1032)),"Sent to Person",IF(ISNUMBER(SEARCH("Customer Transfer to",C1032)),"Sent to Person",IF(ISNUMBER(SEARCH("Business Payment",C1032)),"Money In",IF(ISNUMBER(SEARCH("Funds Received",C1032)),"Money In",IF(ISNUMBER(SEARCH("Receive International",C1032)),"Money In",IF(ISNUMBER(SEARCH("Send Money Reversal",C1032)),"Money In",IF(ISNUMBER(SEARCH("Pay Utility Reversal",C1032)),"Money In",IF(ISNUMBER(SEARCH("Customer Transfer",C1032)),"Money In",IF(ISNUMBER(SEARCH("Ziidi",C1032)),"Investment",IF(ISNUMBER(SEARCH("Nabo",C1032)),"Investment",IF(ISNUMBER(SEARCH("Paybill Online",C1032)),"Pay Bill",IF(ISNUMBER(SEARCH("Pay Bill",C1032)),"Pay Bill",IF(ISNUMBER(SEARCH("Spotify",C1032)),"Pay Bill",IF(ISNUMBER(SEARCH("M-Shwari",C1032)),"Mshwari",IF(ISNUMBER(SEARCH("Mshwari",C1032)),"Mshwari",IF(ISNUMBER(SEARCH("Withdrawal charge",C1032)),"Fees",IF(ISNUMBER(SEARCH("Customer Withdrawal",C1032)),"Fees",IF(ISNUMBER(SEARCH("charge",C1032)),"Fees","Other")))))))))))))))))))))))))</f>
        <v>Sent to Person</v>
      </c>
      <c r="R1032" s="1" t="str">
        <f aca="false">TEXT(B1032,"MMM YYYY")</f>
        <v>Jun 2026</v>
      </c>
    </row>
    <row r="1033" customFormat="false" ht="13.8" hidden="false" customHeight="false" outlineLevel="0" collapsed="false">
      <c r="A1033" s="4" t="s">
        <v>2134</v>
      </c>
      <c r="B1033" s="4" t="s">
        <v>2135</v>
      </c>
      <c r="C1033" s="4" t="s">
        <v>29</v>
      </c>
      <c r="D1033" s="4" t="s">
        <v>18</v>
      </c>
      <c r="E1033" s="4"/>
      <c r="F1033" s="4" t="n">
        <v>10</v>
      </c>
      <c r="G1033" s="4" t="n">
        <v>90.91</v>
      </c>
      <c r="L1033" s="1" t="str">
        <f aca="false">IF(ISNUMBER(SEARCH("Bundle",C1033)),"Bundles",IF(ISNUMBER(SEARCH("Airtime",C1033)),"Bundles",IF(ISNUMBER(SEARCH("Merchant",C1033)),"Merchant Payment",IF(ISNUMBER(SEARCH("Offnet C2B",C1033)),"Merchant Payment",IF(ISNUMBER(SEARCH("Offnet B2C",C1033)),"Merchant Payment",IF(ISNUMBER(SEARCH("Customer Payment to Small",C1033)),"Merchant Payment",IF(ISNUMBER(SEARCH("Payment to Small Business",C1033)),"Merchant Payment",IF(ISNUMBER(SEARCH("Sent to",C1033)),"Sent to Person",IF(ISNUMBER(SEARCH("Customer Transfer to",C1033)),"Sent to Person",IF(ISNUMBER(SEARCH("Business Payment",C1033)),"Money In",IF(ISNUMBER(SEARCH("Funds Received",C1033)),"Money In",IF(ISNUMBER(SEARCH("Receive International",C1033)),"Money In",IF(ISNUMBER(SEARCH("Send Money Reversal",C1033)),"Money In",IF(ISNUMBER(SEARCH("Pay Utility Reversal",C1033)),"Money In",IF(ISNUMBER(SEARCH("Customer Transfer",C1033)),"Money In",IF(ISNUMBER(SEARCH("Ziidi",C1033)),"Investment",IF(ISNUMBER(SEARCH("Nabo",C1033)),"Investment",IF(ISNUMBER(SEARCH("Paybill Online",C1033)),"Pay Bill",IF(ISNUMBER(SEARCH("Pay Bill",C1033)),"Pay Bill",IF(ISNUMBER(SEARCH("Spotify",C1033)),"Pay Bill",IF(ISNUMBER(SEARCH("M-Shwari",C1033)),"Mshwari",IF(ISNUMBER(SEARCH("Mshwari",C1033)),"Mshwari",IF(ISNUMBER(SEARCH("Withdrawal charge",C1033)),"Fees",IF(ISNUMBER(SEARCH("Customer Withdrawal",C1033)),"Fees",IF(ISNUMBER(SEARCH("charge",C1033)),"Fees","Other")))))))))))))))))))))))))</f>
        <v>Bundles</v>
      </c>
      <c r="R1033" s="1" t="str">
        <f aca="false">TEXT(B1033,"MMM YYYY")</f>
        <v>Jun 2026</v>
      </c>
    </row>
    <row r="1034" customFormat="false" ht="13.8" hidden="false" customHeight="false" outlineLevel="0" collapsed="false">
      <c r="A1034" s="4" t="s">
        <v>2136</v>
      </c>
      <c r="B1034" s="4" t="s">
        <v>2137</v>
      </c>
      <c r="C1034" s="4" t="s">
        <v>29</v>
      </c>
      <c r="D1034" s="4" t="s">
        <v>18</v>
      </c>
      <c r="E1034" s="4"/>
      <c r="F1034" s="4" t="n">
        <v>20</v>
      </c>
      <c r="G1034" s="4" t="n">
        <v>70.91</v>
      </c>
      <c r="L1034" s="1" t="str">
        <f aca="false">IF(ISNUMBER(SEARCH("Bundle",C1034)),"Bundles",IF(ISNUMBER(SEARCH("Airtime",C1034)),"Bundles",IF(ISNUMBER(SEARCH("Merchant",C1034)),"Merchant Payment",IF(ISNUMBER(SEARCH("Offnet C2B",C1034)),"Merchant Payment",IF(ISNUMBER(SEARCH("Offnet B2C",C1034)),"Merchant Payment",IF(ISNUMBER(SEARCH("Customer Payment to Small",C1034)),"Merchant Payment",IF(ISNUMBER(SEARCH("Payment to Small Business",C1034)),"Merchant Payment",IF(ISNUMBER(SEARCH("Sent to",C1034)),"Sent to Person",IF(ISNUMBER(SEARCH("Customer Transfer to",C1034)),"Sent to Person",IF(ISNUMBER(SEARCH("Business Payment",C1034)),"Money In",IF(ISNUMBER(SEARCH("Funds Received",C1034)),"Money In",IF(ISNUMBER(SEARCH("Receive International",C1034)),"Money In",IF(ISNUMBER(SEARCH("Send Money Reversal",C1034)),"Money In",IF(ISNUMBER(SEARCH("Pay Utility Reversal",C1034)),"Money In",IF(ISNUMBER(SEARCH("Customer Transfer",C1034)),"Money In",IF(ISNUMBER(SEARCH("Ziidi",C1034)),"Investment",IF(ISNUMBER(SEARCH("Nabo",C1034)),"Investment",IF(ISNUMBER(SEARCH("Paybill Online",C1034)),"Pay Bill",IF(ISNUMBER(SEARCH("Pay Bill",C1034)),"Pay Bill",IF(ISNUMBER(SEARCH("Spotify",C1034)),"Pay Bill",IF(ISNUMBER(SEARCH("M-Shwari",C1034)),"Mshwari",IF(ISNUMBER(SEARCH("Mshwari",C1034)),"Mshwari",IF(ISNUMBER(SEARCH("Withdrawal charge",C1034)),"Fees",IF(ISNUMBER(SEARCH("Customer Withdrawal",C1034)),"Fees",IF(ISNUMBER(SEARCH("charge",C1034)),"Fees","Other")))))))))))))))))))))))))</f>
        <v>Bundles</v>
      </c>
      <c r="R1034" s="1" t="str">
        <f aca="false">TEXT(B1034,"MMM YYYY")</f>
        <v>Jun 2026</v>
      </c>
    </row>
    <row r="1035" customFormat="false" ht="13.8" hidden="false" customHeight="false" outlineLevel="0" collapsed="false">
      <c r="A1035" s="4" t="s">
        <v>2138</v>
      </c>
      <c r="B1035" s="4" t="s">
        <v>2139</v>
      </c>
      <c r="C1035" s="4" t="s">
        <v>29</v>
      </c>
      <c r="D1035" s="4" t="s">
        <v>18</v>
      </c>
      <c r="E1035" s="4"/>
      <c r="F1035" s="4" t="n">
        <v>10</v>
      </c>
      <c r="G1035" s="4" t="n">
        <v>60.91</v>
      </c>
      <c r="L1035" s="1" t="str">
        <f aca="false">IF(ISNUMBER(SEARCH("Bundle",C1035)),"Bundles",IF(ISNUMBER(SEARCH("Airtime",C1035)),"Bundles",IF(ISNUMBER(SEARCH("Merchant",C1035)),"Merchant Payment",IF(ISNUMBER(SEARCH("Offnet C2B",C1035)),"Merchant Payment",IF(ISNUMBER(SEARCH("Offnet B2C",C1035)),"Merchant Payment",IF(ISNUMBER(SEARCH("Customer Payment to Small",C1035)),"Merchant Payment",IF(ISNUMBER(SEARCH("Payment to Small Business",C1035)),"Merchant Payment",IF(ISNUMBER(SEARCH("Sent to",C1035)),"Sent to Person",IF(ISNUMBER(SEARCH("Customer Transfer to",C1035)),"Sent to Person",IF(ISNUMBER(SEARCH("Business Payment",C1035)),"Money In",IF(ISNUMBER(SEARCH("Funds Received",C1035)),"Money In",IF(ISNUMBER(SEARCH("Receive International",C1035)),"Money In",IF(ISNUMBER(SEARCH("Send Money Reversal",C1035)),"Money In",IF(ISNUMBER(SEARCH("Pay Utility Reversal",C1035)),"Money In",IF(ISNUMBER(SEARCH("Customer Transfer",C1035)),"Money In",IF(ISNUMBER(SEARCH("Ziidi",C1035)),"Investment",IF(ISNUMBER(SEARCH("Nabo",C1035)),"Investment",IF(ISNUMBER(SEARCH("Paybill Online",C1035)),"Pay Bill",IF(ISNUMBER(SEARCH("Pay Bill",C1035)),"Pay Bill",IF(ISNUMBER(SEARCH("Spotify",C1035)),"Pay Bill",IF(ISNUMBER(SEARCH("M-Shwari",C1035)),"Mshwari",IF(ISNUMBER(SEARCH("Mshwari",C1035)),"Mshwari",IF(ISNUMBER(SEARCH("Withdrawal charge",C1035)),"Fees",IF(ISNUMBER(SEARCH("Customer Withdrawal",C1035)),"Fees",IF(ISNUMBER(SEARCH("charge",C1035)),"Fees","Other")))))))))))))))))))))))))</f>
        <v>Bundles</v>
      </c>
      <c r="R1035" s="1" t="str">
        <f aca="false">TEXT(B1035,"MMM YYYY")</f>
        <v>Jun 2026</v>
      </c>
    </row>
    <row r="1036" customFormat="false" ht="13.8" hidden="false" customHeight="false" outlineLevel="0" collapsed="false">
      <c r="A1036" s="4" t="s">
        <v>2140</v>
      </c>
      <c r="B1036" s="4" t="s">
        <v>2141</v>
      </c>
      <c r="C1036" s="4" t="s">
        <v>29</v>
      </c>
      <c r="D1036" s="4" t="s">
        <v>18</v>
      </c>
      <c r="E1036" s="4"/>
      <c r="F1036" s="4" t="n">
        <v>10</v>
      </c>
      <c r="G1036" s="4" t="n">
        <v>50.91</v>
      </c>
      <c r="L1036" s="1" t="str">
        <f aca="false">IF(ISNUMBER(SEARCH("Bundle",C1036)),"Bundles",IF(ISNUMBER(SEARCH("Airtime",C1036)),"Bundles",IF(ISNUMBER(SEARCH("Merchant",C1036)),"Merchant Payment",IF(ISNUMBER(SEARCH("Offnet C2B",C1036)),"Merchant Payment",IF(ISNUMBER(SEARCH("Offnet B2C",C1036)),"Merchant Payment",IF(ISNUMBER(SEARCH("Customer Payment to Small",C1036)),"Merchant Payment",IF(ISNUMBER(SEARCH("Payment to Small Business",C1036)),"Merchant Payment",IF(ISNUMBER(SEARCH("Sent to",C1036)),"Sent to Person",IF(ISNUMBER(SEARCH("Customer Transfer to",C1036)),"Sent to Person",IF(ISNUMBER(SEARCH("Business Payment",C1036)),"Money In",IF(ISNUMBER(SEARCH("Funds Received",C1036)),"Money In",IF(ISNUMBER(SEARCH("Receive International",C1036)),"Money In",IF(ISNUMBER(SEARCH("Send Money Reversal",C1036)),"Money In",IF(ISNUMBER(SEARCH("Pay Utility Reversal",C1036)),"Money In",IF(ISNUMBER(SEARCH("Customer Transfer",C1036)),"Money In",IF(ISNUMBER(SEARCH("Ziidi",C1036)),"Investment",IF(ISNUMBER(SEARCH("Nabo",C1036)),"Investment",IF(ISNUMBER(SEARCH("Paybill Online",C1036)),"Pay Bill",IF(ISNUMBER(SEARCH("Pay Bill",C1036)),"Pay Bill",IF(ISNUMBER(SEARCH("Spotify",C1036)),"Pay Bill",IF(ISNUMBER(SEARCH("M-Shwari",C1036)),"Mshwari",IF(ISNUMBER(SEARCH("Mshwari",C1036)),"Mshwari",IF(ISNUMBER(SEARCH("Withdrawal charge",C1036)),"Fees",IF(ISNUMBER(SEARCH("Customer Withdrawal",C1036)),"Fees",IF(ISNUMBER(SEARCH("charge",C1036)),"Fees","Other")))))))))))))))))))))))))</f>
        <v>Bundles</v>
      </c>
      <c r="R1036" s="1" t="str">
        <f aca="false">TEXT(B1036,"MMM YYYY")</f>
        <v>Jun 2026</v>
      </c>
    </row>
    <row r="1037" customFormat="false" ht="13.8" hidden="false" customHeight="false" outlineLevel="0" collapsed="false">
      <c r="A1037" s="4" t="s">
        <v>2142</v>
      </c>
      <c r="B1037" s="4" t="s">
        <v>2143</v>
      </c>
      <c r="C1037" s="4" t="s">
        <v>29</v>
      </c>
      <c r="D1037" s="4" t="s">
        <v>18</v>
      </c>
      <c r="E1037" s="4"/>
      <c r="F1037" s="4" t="n">
        <v>10</v>
      </c>
      <c r="G1037" s="4" t="n">
        <v>40.91</v>
      </c>
      <c r="L1037" s="1" t="str">
        <f aca="false">IF(ISNUMBER(SEARCH("Bundle",C1037)),"Bundles",IF(ISNUMBER(SEARCH("Airtime",C1037)),"Bundles",IF(ISNUMBER(SEARCH("Merchant",C1037)),"Merchant Payment",IF(ISNUMBER(SEARCH("Offnet C2B",C1037)),"Merchant Payment",IF(ISNUMBER(SEARCH("Offnet B2C",C1037)),"Merchant Payment",IF(ISNUMBER(SEARCH("Customer Payment to Small",C1037)),"Merchant Payment",IF(ISNUMBER(SEARCH("Payment to Small Business",C1037)),"Merchant Payment",IF(ISNUMBER(SEARCH("Sent to",C1037)),"Sent to Person",IF(ISNUMBER(SEARCH("Customer Transfer to",C1037)),"Sent to Person",IF(ISNUMBER(SEARCH("Business Payment",C1037)),"Money In",IF(ISNUMBER(SEARCH("Funds Received",C1037)),"Money In",IF(ISNUMBER(SEARCH("Receive International",C1037)),"Money In",IF(ISNUMBER(SEARCH("Send Money Reversal",C1037)),"Money In",IF(ISNUMBER(SEARCH("Pay Utility Reversal",C1037)),"Money In",IF(ISNUMBER(SEARCH("Customer Transfer",C1037)),"Money In",IF(ISNUMBER(SEARCH("Ziidi",C1037)),"Investment",IF(ISNUMBER(SEARCH("Nabo",C1037)),"Investment",IF(ISNUMBER(SEARCH("Paybill Online",C1037)),"Pay Bill",IF(ISNUMBER(SEARCH("Pay Bill",C1037)),"Pay Bill",IF(ISNUMBER(SEARCH("Spotify",C1037)),"Pay Bill",IF(ISNUMBER(SEARCH("M-Shwari",C1037)),"Mshwari",IF(ISNUMBER(SEARCH("Mshwari",C1037)),"Mshwari",IF(ISNUMBER(SEARCH("Withdrawal charge",C1037)),"Fees",IF(ISNUMBER(SEARCH("Customer Withdrawal",C1037)),"Fees",IF(ISNUMBER(SEARCH("charge",C1037)),"Fees","Other")))))))))))))))))))))))))</f>
        <v>Bundles</v>
      </c>
      <c r="R1037" s="1" t="str">
        <f aca="false">TEXT(B1037,"MMM YYYY")</f>
        <v>Jun 2026</v>
      </c>
    </row>
    <row r="1038" customFormat="false" ht="13.8" hidden="false" customHeight="false" outlineLevel="0" collapsed="false">
      <c r="A1038" s="4" t="s">
        <v>2144</v>
      </c>
      <c r="B1038" s="4" t="s">
        <v>2145</v>
      </c>
      <c r="C1038" s="4" t="s">
        <v>29</v>
      </c>
      <c r="D1038" s="4" t="s">
        <v>18</v>
      </c>
      <c r="E1038" s="4"/>
      <c r="F1038" s="4" t="n">
        <v>10</v>
      </c>
      <c r="G1038" s="4" t="n">
        <v>30.91</v>
      </c>
      <c r="L1038" s="1" t="str">
        <f aca="false">IF(ISNUMBER(SEARCH("Bundle",C1038)),"Bundles",IF(ISNUMBER(SEARCH("Airtime",C1038)),"Bundles",IF(ISNUMBER(SEARCH("Merchant",C1038)),"Merchant Payment",IF(ISNUMBER(SEARCH("Offnet C2B",C1038)),"Merchant Payment",IF(ISNUMBER(SEARCH("Offnet B2C",C1038)),"Merchant Payment",IF(ISNUMBER(SEARCH("Customer Payment to Small",C1038)),"Merchant Payment",IF(ISNUMBER(SEARCH("Payment to Small Business",C1038)),"Merchant Payment",IF(ISNUMBER(SEARCH("Sent to",C1038)),"Sent to Person",IF(ISNUMBER(SEARCH("Customer Transfer to",C1038)),"Sent to Person",IF(ISNUMBER(SEARCH("Business Payment",C1038)),"Money In",IF(ISNUMBER(SEARCH("Funds Received",C1038)),"Money In",IF(ISNUMBER(SEARCH("Receive International",C1038)),"Money In",IF(ISNUMBER(SEARCH("Send Money Reversal",C1038)),"Money In",IF(ISNUMBER(SEARCH("Pay Utility Reversal",C1038)),"Money In",IF(ISNUMBER(SEARCH("Customer Transfer",C1038)),"Money In",IF(ISNUMBER(SEARCH("Ziidi",C1038)),"Investment",IF(ISNUMBER(SEARCH("Nabo",C1038)),"Investment",IF(ISNUMBER(SEARCH("Paybill Online",C1038)),"Pay Bill",IF(ISNUMBER(SEARCH("Pay Bill",C1038)),"Pay Bill",IF(ISNUMBER(SEARCH("Spotify",C1038)),"Pay Bill",IF(ISNUMBER(SEARCH("M-Shwari",C1038)),"Mshwari",IF(ISNUMBER(SEARCH("Mshwari",C1038)),"Mshwari",IF(ISNUMBER(SEARCH("Withdrawal charge",C1038)),"Fees",IF(ISNUMBER(SEARCH("Customer Withdrawal",C1038)),"Fees",IF(ISNUMBER(SEARCH("charge",C1038)),"Fees","Other")))))))))))))))))))))))))</f>
        <v>Bundles</v>
      </c>
      <c r="R1038" s="1" t="str">
        <f aca="false">TEXT(B1038,"MMM YYYY")</f>
        <v>Jun 2026</v>
      </c>
    </row>
    <row r="1039" customFormat="false" ht="13.8" hidden="false" customHeight="false" outlineLevel="0" collapsed="false">
      <c r="A1039" s="4" t="s">
        <v>2146</v>
      </c>
      <c r="B1039" s="4" t="s">
        <v>2147</v>
      </c>
      <c r="C1039" s="4" t="s">
        <v>29</v>
      </c>
      <c r="D1039" s="4" t="s">
        <v>18</v>
      </c>
      <c r="E1039" s="4"/>
      <c r="F1039" s="4" t="n">
        <v>10</v>
      </c>
      <c r="G1039" s="4" t="n">
        <v>20.91</v>
      </c>
      <c r="L1039" s="1" t="str">
        <f aca="false">IF(ISNUMBER(SEARCH("Bundle",C1039)),"Bundles",IF(ISNUMBER(SEARCH("Airtime",C1039)),"Bundles",IF(ISNUMBER(SEARCH("Merchant",C1039)),"Merchant Payment",IF(ISNUMBER(SEARCH("Offnet C2B",C1039)),"Merchant Payment",IF(ISNUMBER(SEARCH("Offnet B2C",C1039)),"Merchant Payment",IF(ISNUMBER(SEARCH("Customer Payment to Small",C1039)),"Merchant Payment",IF(ISNUMBER(SEARCH("Payment to Small Business",C1039)),"Merchant Payment",IF(ISNUMBER(SEARCH("Sent to",C1039)),"Sent to Person",IF(ISNUMBER(SEARCH("Customer Transfer to",C1039)),"Sent to Person",IF(ISNUMBER(SEARCH("Business Payment",C1039)),"Money In",IF(ISNUMBER(SEARCH("Funds Received",C1039)),"Money In",IF(ISNUMBER(SEARCH("Receive International",C1039)),"Money In",IF(ISNUMBER(SEARCH("Send Money Reversal",C1039)),"Money In",IF(ISNUMBER(SEARCH("Pay Utility Reversal",C1039)),"Money In",IF(ISNUMBER(SEARCH("Customer Transfer",C1039)),"Money In",IF(ISNUMBER(SEARCH("Ziidi",C1039)),"Investment",IF(ISNUMBER(SEARCH("Nabo",C1039)),"Investment",IF(ISNUMBER(SEARCH("Paybill Online",C1039)),"Pay Bill",IF(ISNUMBER(SEARCH("Pay Bill",C1039)),"Pay Bill",IF(ISNUMBER(SEARCH("Spotify",C1039)),"Pay Bill",IF(ISNUMBER(SEARCH("M-Shwari",C1039)),"Mshwari",IF(ISNUMBER(SEARCH("Mshwari",C1039)),"Mshwari",IF(ISNUMBER(SEARCH("Withdrawal charge",C1039)),"Fees",IF(ISNUMBER(SEARCH("Customer Withdrawal",C1039)),"Fees",IF(ISNUMBER(SEARCH("charge",C1039)),"Fees","Other")))))))))))))))))))))))))</f>
        <v>Bundles</v>
      </c>
      <c r="R1039" s="1" t="str">
        <f aca="false">TEXT(B1039,"MMM YYYY")</f>
        <v>Jun 2026</v>
      </c>
    </row>
    <row r="1040" customFormat="false" ht="13.8" hidden="false" customHeight="false" outlineLevel="0" collapsed="false">
      <c r="A1040" s="4" t="s">
        <v>2148</v>
      </c>
      <c r="B1040" s="4" t="s">
        <v>2149</v>
      </c>
      <c r="C1040" s="4" t="s">
        <v>17</v>
      </c>
      <c r="D1040" s="4" t="s">
        <v>18</v>
      </c>
      <c r="E1040" s="4"/>
      <c r="F1040" s="4" t="n">
        <v>20</v>
      </c>
      <c r="G1040" s="4" t="n">
        <v>0.91</v>
      </c>
      <c r="L1040" s="1" t="str">
        <f aca="false">IF(ISNUMBER(SEARCH("Bundle",C1040)),"Bundles",IF(ISNUMBER(SEARCH("Airtime",C1040)),"Bundles",IF(ISNUMBER(SEARCH("Merchant",C1040)),"Merchant Payment",IF(ISNUMBER(SEARCH("Offnet C2B",C1040)),"Merchant Payment",IF(ISNUMBER(SEARCH("Offnet B2C",C1040)),"Merchant Payment",IF(ISNUMBER(SEARCH("Customer Payment to Small",C1040)),"Merchant Payment",IF(ISNUMBER(SEARCH("Payment to Small Business",C1040)),"Merchant Payment",IF(ISNUMBER(SEARCH("Sent to",C1040)),"Sent to Person",IF(ISNUMBER(SEARCH("Customer Transfer to",C1040)),"Sent to Person",IF(ISNUMBER(SEARCH("Business Payment",C1040)),"Money In",IF(ISNUMBER(SEARCH("Funds Received",C1040)),"Money In",IF(ISNUMBER(SEARCH("Receive International",C1040)),"Money In",IF(ISNUMBER(SEARCH("Send Money Reversal",C1040)),"Money In",IF(ISNUMBER(SEARCH("Pay Utility Reversal",C1040)),"Money In",IF(ISNUMBER(SEARCH("Customer Transfer",C1040)),"Money In",IF(ISNUMBER(SEARCH("Ziidi",C1040)),"Investment",IF(ISNUMBER(SEARCH("Nabo",C1040)),"Investment",IF(ISNUMBER(SEARCH("Paybill Online",C1040)),"Pay Bill",IF(ISNUMBER(SEARCH("Pay Bill",C1040)),"Pay Bill",IF(ISNUMBER(SEARCH("Spotify",C1040)),"Pay Bill",IF(ISNUMBER(SEARCH("M-Shwari",C1040)),"Mshwari",IF(ISNUMBER(SEARCH("Mshwari",C1040)),"Mshwari",IF(ISNUMBER(SEARCH("Withdrawal charge",C1040)),"Fees",IF(ISNUMBER(SEARCH("Customer Withdrawal",C1040)),"Fees",IF(ISNUMBER(SEARCH("charge",C1040)),"Fees","Other")))))))))))))))))))))))))</f>
        <v>Bundles</v>
      </c>
      <c r="R1040" s="1" t="str">
        <f aca="false">TEXT(B1040,"MMM YYYY")</f>
        <v>Jun 2026</v>
      </c>
    </row>
    <row r="1041" customFormat="false" ht="13.8" hidden="false" customHeight="false" outlineLevel="0" collapsed="false">
      <c r="A1041" s="4" t="s">
        <v>2150</v>
      </c>
      <c r="B1041" s="4" t="s">
        <v>2151</v>
      </c>
      <c r="C1041" s="4" t="s">
        <v>177</v>
      </c>
      <c r="D1041" s="4" t="s">
        <v>18</v>
      </c>
      <c r="E1041" s="4" t="n">
        <v>200</v>
      </c>
      <c r="F1041" s="4"/>
      <c r="G1041" s="4" t="n">
        <v>200.91</v>
      </c>
      <c r="L1041" s="1" t="str">
        <f aca="false">IF(ISNUMBER(SEARCH("Bundle",C1041)),"Bundles",IF(ISNUMBER(SEARCH("Airtime",C1041)),"Bundles",IF(ISNUMBER(SEARCH("Merchant",C1041)),"Merchant Payment",IF(ISNUMBER(SEARCH("Offnet C2B",C1041)),"Merchant Payment",IF(ISNUMBER(SEARCH("Offnet B2C",C1041)),"Merchant Payment",IF(ISNUMBER(SEARCH("Customer Payment to Small",C1041)),"Merchant Payment",IF(ISNUMBER(SEARCH("Payment to Small Business",C1041)),"Merchant Payment",IF(ISNUMBER(SEARCH("Sent to",C1041)),"Sent to Person",IF(ISNUMBER(SEARCH("Customer Transfer to",C1041)),"Sent to Person",IF(ISNUMBER(SEARCH("Business Payment",C1041)),"Money In",IF(ISNUMBER(SEARCH("Funds Received",C1041)),"Money In",IF(ISNUMBER(SEARCH("Receive International",C1041)),"Money In",IF(ISNUMBER(SEARCH("Send Money Reversal",C1041)),"Money In",IF(ISNUMBER(SEARCH("Pay Utility Reversal",C1041)),"Money In",IF(ISNUMBER(SEARCH("Customer Transfer",C1041)),"Money In",IF(ISNUMBER(SEARCH("Ziidi",C1041)),"Investment",IF(ISNUMBER(SEARCH("Nabo",C1041)),"Investment",IF(ISNUMBER(SEARCH("Paybill Online",C1041)),"Pay Bill",IF(ISNUMBER(SEARCH("Pay Bill",C1041)),"Pay Bill",IF(ISNUMBER(SEARCH("Spotify",C1041)),"Pay Bill",IF(ISNUMBER(SEARCH("M-Shwari",C1041)),"Mshwari",IF(ISNUMBER(SEARCH("Mshwari",C1041)),"Mshwari",IF(ISNUMBER(SEARCH("Withdrawal charge",C1041)),"Fees",IF(ISNUMBER(SEARCH("Customer Withdrawal",C1041)),"Fees",IF(ISNUMBER(SEARCH("charge",C1041)),"Fees","Other")))))))))))))))))))))))))</f>
        <v>Money In</v>
      </c>
      <c r="R1041" s="1" t="str">
        <f aca="false">TEXT(B1041,"MMM YYYY")</f>
        <v>Jun 2026</v>
      </c>
    </row>
    <row r="1042" customFormat="false" ht="13.8" hidden="false" customHeight="false" outlineLevel="0" collapsed="false">
      <c r="A1042" s="4" t="s">
        <v>2152</v>
      </c>
      <c r="B1042" s="4" t="s">
        <v>2153</v>
      </c>
      <c r="C1042" s="4" t="s">
        <v>29</v>
      </c>
      <c r="D1042" s="4" t="s">
        <v>18</v>
      </c>
      <c r="E1042" s="4"/>
      <c r="F1042" s="4" t="n">
        <v>10</v>
      </c>
      <c r="G1042" s="4" t="n">
        <v>190.91</v>
      </c>
      <c r="L1042" s="1" t="str">
        <f aca="false">IF(ISNUMBER(SEARCH("Bundle",C1042)),"Bundles",IF(ISNUMBER(SEARCH("Airtime",C1042)),"Bundles",IF(ISNUMBER(SEARCH("Merchant",C1042)),"Merchant Payment",IF(ISNUMBER(SEARCH("Offnet C2B",C1042)),"Merchant Payment",IF(ISNUMBER(SEARCH("Offnet B2C",C1042)),"Merchant Payment",IF(ISNUMBER(SEARCH("Customer Payment to Small",C1042)),"Merchant Payment",IF(ISNUMBER(SEARCH("Payment to Small Business",C1042)),"Merchant Payment",IF(ISNUMBER(SEARCH("Sent to",C1042)),"Sent to Person",IF(ISNUMBER(SEARCH("Customer Transfer to",C1042)),"Sent to Person",IF(ISNUMBER(SEARCH("Business Payment",C1042)),"Money In",IF(ISNUMBER(SEARCH("Funds Received",C1042)),"Money In",IF(ISNUMBER(SEARCH("Receive International",C1042)),"Money In",IF(ISNUMBER(SEARCH("Send Money Reversal",C1042)),"Money In",IF(ISNUMBER(SEARCH("Pay Utility Reversal",C1042)),"Money In",IF(ISNUMBER(SEARCH("Customer Transfer",C1042)),"Money In",IF(ISNUMBER(SEARCH("Ziidi",C1042)),"Investment",IF(ISNUMBER(SEARCH("Nabo",C1042)),"Investment",IF(ISNUMBER(SEARCH("Paybill Online",C1042)),"Pay Bill",IF(ISNUMBER(SEARCH("Pay Bill",C1042)),"Pay Bill",IF(ISNUMBER(SEARCH("Spotify",C1042)),"Pay Bill",IF(ISNUMBER(SEARCH("M-Shwari",C1042)),"Mshwari",IF(ISNUMBER(SEARCH("Mshwari",C1042)),"Mshwari",IF(ISNUMBER(SEARCH("Withdrawal charge",C1042)),"Fees",IF(ISNUMBER(SEARCH("Customer Withdrawal",C1042)),"Fees",IF(ISNUMBER(SEARCH("charge",C1042)),"Fees","Other")))))))))))))))))))))))))</f>
        <v>Bundles</v>
      </c>
      <c r="R1042" s="1" t="str">
        <f aca="false">TEXT(B1042,"MMM YYYY")</f>
        <v>Jun 2026</v>
      </c>
    </row>
    <row r="1043" customFormat="false" ht="13.8" hidden="false" customHeight="false" outlineLevel="0" collapsed="false">
      <c r="A1043" s="4" t="s">
        <v>2154</v>
      </c>
      <c r="B1043" s="4" t="s">
        <v>2155</v>
      </c>
      <c r="C1043" s="4" t="s">
        <v>29</v>
      </c>
      <c r="D1043" s="4" t="s">
        <v>18</v>
      </c>
      <c r="E1043" s="4"/>
      <c r="F1043" s="4" t="n">
        <v>50</v>
      </c>
      <c r="G1043" s="4" t="n">
        <v>140.91</v>
      </c>
      <c r="L1043" s="1" t="str">
        <f aca="false">IF(ISNUMBER(SEARCH("Bundle",C1043)),"Bundles",IF(ISNUMBER(SEARCH("Airtime",C1043)),"Bundles",IF(ISNUMBER(SEARCH("Merchant",C1043)),"Merchant Payment",IF(ISNUMBER(SEARCH("Offnet C2B",C1043)),"Merchant Payment",IF(ISNUMBER(SEARCH("Offnet B2C",C1043)),"Merchant Payment",IF(ISNUMBER(SEARCH("Customer Payment to Small",C1043)),"Merchant Payment",IF(ISNUMBER(SEARCH("Payment to Small Business",C1043)),"Merchant Payment",IF(ISNUMBER(SEARCH("Sent to",C1043)),"Sent to Person",IF(ISNUMBER(SEARCH("Customer Transfer to",C1043)),"Sent to Person",IF(ISNUMBER(SEARCH("Business Payment",C1043)),"Money In",IF(ISNUMBER(SEARCH("Funds Received",C1043)),"Money In",IF(ISNUMBER(SEARCH("Receive International",C1043)),"Money In",IF(ISNUMBER(SEARCH("Send Money Reversal",C1043)),"Money In",IF(ISNUMBER(SEARCH("Pay Utility Reversal",C1043)),"Money In",IF(ISNUMBER(SEARCH("Customer Transfer",C1043)),"Money In",IF(ISNUMBER(SEARCH("Ziidi",C1043)),"Investment",IF(ISNUMBER(SEARCH("Nabo",C1043)),"Investment",IF(ISNUMBER(SEARCH("Paybill Online",C1043)),"Pay Bill",IF(ISNUMBER(SEARCH("Pay Bill",C1043)),"Pay Bill",IF(ISNUMBER(SEARCH("Spotify",C1043)),"Pay Bill",IF(ISNUMBER(SEARCH("M-Shwari",C1043)),"Mshwari",IF(ISNUMBER(SEARCH("Mshwari",C1043)),"Mshwari",IF(ISNUMBER(SEARCH("Withdrawal charge",C1043)),"Fees",IF(ISNUMBER(SEARCH("Customer Withdrawal",C1043)),"Fees",IF(ISNUMBER(SEARCH("charge",C1043)),"Fees","Other")))))))))))))))))))))))))</f>
        <v>Bundles</v>
      </c>
      <c r="R1043" s="1" t="str">
        <f aca="false">TEXT(B1043,"MMM YYYY")</f>
        <v>Jun 2026</v>
      </c>
    </row>
    <row r="1044" customFormat="false" ht="13.8" hidden="false" customHeight="false" outlineLevel="0" collapsed="false">
      <c r="A1044" s="4" t="s">
        <v>2156</v>
      </c>
      <c r="B1044" s="4" t="s">
        <v>2157</v>
      </c>
      <c r="C1044" s="4" t="s">
        <v>29</v>
      </c>
      <c r="D1044" s="4" t="s">
        <v>18</v>
      </c>
      <c r="E1044" s="4"/>
      <c r="F1044" s="4" t="n">
        <v>10</v>
      </c>
      <c r="G1044" s="4" t="n">
        <v>130.91</v>
      </c>
      <c r="L1044" s="1" t="str">
        <f aca="false">IF(ISNUMBER(SEARCH("Bundle",C1044)),"Bundles",IF(ISNUMBER(SEARCH("Airtime",C1044)),"Bundles",IF(ISNUMBER(SEARCH("Merchant",C1044)),"Merchant Payment",IF(ISNUMBER(SEARCH("Offnet C2B",C1044)),"Merchant Payment",IF(ISNUMBER(SEARCH("Offnet B2C",C1044)),"Merchant Payment",IF(ISNUMBER(SEARCH("Customer Payment to Small",C1044)),"Merchant Payment",IF(ISNUMBER(SEARCH("Payment to Small Business",C1044)),"Merchant Payment",IF(ISNUMBER(SEARCH("Sent to",C1044)),"Sent to Person",IF(ISNUMBER(SEARCH("Customer Transfer to",C1044)),"Sent to Person",IF(ISNUMBER(SEARCH("Business Payment",C1044)),"Money In",IF(ISNUMBER(SEARCH("Funds Received",C1044)),"Money In",IF(ISNUMBER(SEARCH("Receive International",C1044)),"Money In",IF(ISNUMBER(SEARCH("Send Money Reversal",C1044)),"Money In",IF(ISNUMBER(SEARCH("Pay Utility Reversal",C1044)),"Money In",IF(ISNUMBER(SEARCH("Customer Transfer",C1044)),"Money In",IF(ISNUMBER(SEARCH("Ziidi",C1044)),"Investment",IF(ISNUMBER(SEARCH("Nabo",C1044)),"Investment",IF(ISNUMBER(SEARCH("Paybill Online",C1044)),"Pay Bill",IF(ISNUMBER(SEARCH("Pay Bill",C1044)),"Pay Bill",IF(ISNUMBER(SEARCH("Spotify",C1044)),"Pay Bill",IF(ISNUMBER(SEARCH("M-Shwari",C1044)),"Mshwari",IF(ISNUMBER(SEARCH("Mshwari",C1044)),"Mshwari",IF(ISNUMBER(SEARCH("Withdrawal charge",C1044)),"Fees",IF(ISNUMBER(SEARCH("Customer Withdrawal",C1044)),"Fees",IF(ISNUMBER(SEARCH("charge",C1044)),"Fees","Other")))))))))))))))))))))))))</f>
        <v>Bundles</v>
      </c>
      <c r="R1044" s="1" t="str">
        <f aca="false">TEXT(B1044,"MMM YYYY")</f>
        <v>Jun 2026</v>
      </c>
    </row>
    <row r="1045" customFormat="false" ht="13.8" hidden="false" customHeight="false" outlineLevel="0" collapsed="false">
      <c r="A1045" s="4" t="s">
        <v>2158</v>
      </c>
      <c r="B1045" s="4" t="s">
        <v>2159</v>
      </c>
      <c r="C1045" s="4" t="s">
        <v>29</v>
      </c>
      <c r="D1045" s="4" t="s">
        <v>18</v>
      </c>
      <c r="E1045" s="4"/>
      <c r="F1045" s="4" t="n">
        <v>10</v>
      </c>
      <c r="G1045" s="4" t="n">
        <v>120.91</v>
      </c>
      <c r="L1045" s="1" t="str">
        <f aca="false">IF(ISNUMBER(SEARCH("Bundle",C1045)),"Bundles",IF(ISNUMBER(SEARCH("Airtime",C1045)),"Bundles",IF(ISNUMBER(SEARCH("Merchant",C1045)),"Merchant Payment",IF(ISNUMBER(SEARCH("Offnet C2B",C1045)),"Merchant Payment",IF(ISNUMBER(SEARCH("Offnet B2C",C1045)),"Merchant Payment",IF(ISNUMBER(SEARCH("Customer Payment to Small",C1045)),"Merchant Payment",IF(ISNUMBER(SEARCH("Payment to Small Business",C1045)),"Merchant Payment",IF(ISNUMBER(SEARCH("Sent to",C1045)),"Sent to Person",IF(ISNUMBER(SEARCH("Customer Transfer to",C1045)),"Sent to Person",IF(ISNUMBER(SEARCH("Business Payment",C1045)),"Money In",IF(ISNUMBER(SEARCH("Funds Received",C1045)),"Money In",IF(ISNUMBER(SEARCH("Receive International",C1045)),"Money In",IF(ISNUMBER(SEARCH("Send Money Reversal",C1045)),"Money In",IF(ISNUMBER(SEARCH("Pay Utility Reversal",C1045)),"Money In",IF(ISNUMBER(SEARCH("Customer Transfer",C1045)),"Money In",IF(ISNUMBER(SEARCH("Ziidi",C1045)),"Investment",IF(ISNUMBER(SEARCH("Nabo",C1045)),"Investment",IF(ISNUMBER(SEARCH("Paybill Online",C1045)),"Pay Bill",IF(ISNUMBER(SEARCH("Pay Bill",C1045)),"Pay Bill",IF(ISNUMBER(SEARCH("Spotify",C1045)),"Pay Bill",IF(ISNUMBER(SEARCH("M-Shwari",C1045)),"Mshwari",IF(ISNUMBER(SEARCH("Mshwari",C1045)),"Mshwari",IF(ISNUMBER(SEARCH("Withdrawal charge",C1045)),"Fees",IF(ISNUMBER(SEARCH("Customer Withdrawal",C1045)),"Fees",IF(ISNUMBER(SEARCH("charge",C1045)),"Fees","Other")))))))))))))))))))))))))</f>
        <v>Bundles</v>
      </c>
      <c r="R1045" s="1" t="str">
        <f aca="false">TEXT(B1045,"MMM YYYY")</f>
        <v>Jun 2026</v>
      </c>
    </row>
    <row r="1046" customFormat="false" ht="13.8" hidden="false" customHeight="false" outlineLevel="0" collapsed="false">
      <c r="A1046" s="4" t="s">
        <v>2160</v>
      </c>
      <c r="B1046" s="4" t="s">
        <v>2161</v>
      </c>
      <c r="C1046" s="4" t="s">
        <v>29</v>
      </c>
      <c r="D1046" s="4" t="s">
        <v>18</v>
      </c>
      <c r="E1046" s="4"/>
      <c r="F1046" s="4" t="n">
        <v>10</v>
      </c>
      <c r="G1046" s="4" t="n">
        <v>110.91</v>
      </c>
      <c r="L1046" s="1" t="str">
        <f aca="false">IF(ISNUMBER(SEARCH("Bundle",C1046)),"Bundles",IF(ISNUMBER(SEARCH("Airtime",C1046)),"Bundles",IF(ISNUMBER(SEARCH("Merchant",C1046)),"Merchant Payment",IF(ISNUMBER(SEARCH("Offnet C2B",C1046)),"Merchant Payment",IF(ISNUMBER(SEARCH("Offnet B2C",C1046)),"Merchant Payment",IF(ISNUMBER(SEARCH("Customer Payment to Small",C1046)),"Merchant Payment",IF(ISNUMBER(SEARCH("Payment to Small Business",C1046)),"Merchant Payment",IF(ISNUMBER(SEARCH("Sent to",C1046)),"Sent to Person",IF(ISNUMBER(SEARCH("Customer Transfer to",C1046)),"Sent to Person",IF(ISNUMBER(SEARCH("Business Payment",C1046)),"Money In",IF(ISNUMBER(SEARCH("Funds Received",C1046)),"Money In",IF(ISNUMBER(SEARCH("Receive International",C1046)),"Money In",IF(ISNUMBER(SEARCH("Send Money Reversal",C1046)),"Money In",IF(ISNUMBER(SEARCH("Pay Utility Reversal",C1046)),"Money In",IF(ISNUMBER(SEARCH("Customer Transfer",C1046)),"Money In",IF(ISNUMBER(SEARCH("Ziidi",C1046)),"Investment",IF(ISNUMBER(SEARCH("Nabo",C1046)),"Investment",IF(ISNUMBER(SEARCH("Paybill Online",C1046)),"Pay Bill",IF(ISNUMBER(SEARCH("Pay Bill",C1046)),"Pay Bill",IF(ISNUMBER(SEARCH("Spotify",C1046)),"Pay Bill",IF(ISNUMBER(SEARCH("M-Shwari",C1046)),"Mshwari",IF(ISNUMBER(SEARCH("Mshwari",C1046)),"Mshwari",IF(ISNUMBER(SEARCH("Withdrawal charge",C1046)),"Fees",IF(ISNUMBER(SEARCH("Customer Withdrawal",C1046)),"Fees",IF(ISNUMBER(SEARCH("charge",C1046)),"Fees","Other")))))))))))))))))))))))))</f>
        <v>Bundles</v>
      </c>
      <c r="R1046" s="1" t="str">
        <f aca="false">TEXT(B1046,"MMM YYYY")</f>
        <v>Jun 2026</v>
      </c>
    </row>
    <row r="1047" customFormat="false" ht="13.8" hidden="false" customHeight="false" outlineLevel="0" collapsed="false">
      <c r="A1047" s="4" t="s">
        <v>2162</v>
      </c>
      <c r="B1047" s="4" t="s">
        <v>2163</v>
      </c>
      <c r="C1047" s="4" t="s">
        <v>29</v>
      </c>
      <c r="D1047" s="4" t="s">
        <v>18</v>
      </c>
      <c r="E1047" s="4"/>
      <c r="F1047" s="4" t="n">
        <v>10</v>
      </c>
      <c r="G1047" s="4" t="n">
        <v>100.91</v>
      </c>
      <c r="L1047" s="1" t="str">
        <f aca="false">IF(ISNUMBER(SEARCH("Bundle",C1047)),"Bundles",IF(ISNUMBER(SEARCH("Airtime",C1047)),"Bundles",IF(ISNUMBER(SEARCH("Merchant",C1047)),"Merchant Payment",IF(ISNUMBER(SEARCH("Offnet C2B",C1047)),"Merchant Payment",IF(ISNUMBER(SEARCH("Offnet B2C",C1047)),"Merchant Payment",IF(ISNUMBER(SEARCH("Customer Payment to Small",C1047)),"Merchant Payment",IF(ISNUMBER(SEARCH("Payment to Small Business",C1047)),"Merchant Payment",IF(ISNUMBER(SEARCH("Sent to",C1047)),"Sent to Person",IF(ISNUMBER(SEARCH("Customer Transfer to",C1047)),"Sent to Person",IF(ISNUMBER(SEARCH("Business Payment",C1047)),"Money In",IF(ISNUMBER(SEARCH("Funds Received",C1047)),"Money In",IF(ISNUMBER(SEARCH("Receive International",C1047)),"Money In",IF(ISNUMBER(SEARCH("Send Money Reversal",C1047)),"Money In",IF(ISNUMBER(SEARCH("Pay Utility Reversal",C1047)),"Money In",IF(ISNUMBER(SEARCH("Customer Transfer",C1047)),"Money In",IF(ISNUMBER(SEARCH("Ziidi",C1047)),"Investment",IF(ISNUMBER(SEARCH("Nabo",C1047)),"Investment",IF(ISNUMBER(SEARCH("Paybill Online",C1047)),"Pay Bill",IF(ISNUMBER(SEARCH("Pay Bill",C1047)),"Pay Bill",IF(ISNUMBER(SEARCH("Spotify",C1047)),"Pay Bill",IF(ISNUMBER(SEARCH("M-Shwari",C1047)),"Mshwari",IF(ISNUMBER(SEARCH("Mshwari",C1047)),"Mshwari",IF(ISNUMBER(SEARCH("Withdrawal charge",C1047)),"Fees",IF(ISNUMBER(SEARCH("Customer Withdrawal",C1047)),"Fees",IF(ISNUMBER(SEARCH("charge",C1047)),"Fees","Other")))))))))))))))))))))))))</f>
        <v>Bundles</v>
      </c>
      <c r="R1047" s="1" t="str">
        <f aca="false">TEXT(B1047,"MMM YYYY")</f>
        <v>Jun 2026</v>
      </c>
    </row>
    <row r="1048" customFormat="false" ht="13.8" hidden="false" customHeight="false" outlineLevel="0" collapsed="false">
      <c r="A1048" s="4" t="s">
        <v>2164</v>
      </c>
      <c r="B1048" s="4" t="s">
        <v>2165</v>
      </c>
      <c r="C1048" s="4" t="s">
        <v>90</v>
      </c>
      <c r="D1048" s="4" t="s">
        <v>18</v>
      </c>
      <c r="E1048" s="4"/>
      <c r="F1048" s="4" t="n">
        <v>10</v>
      </c>
      <c r="G1048" s="4" t="n">
        <v>1175.78</v>
      </c>
      <c r="L1048" s="1" t="str">
        <f aca="false">IF(ISNUMBER(SEARCH("Bundle",C1048)),"Bundles",IF(ISNUMBER(SEARCH("Airtime",C1048)),"Bundles",IF(ISNUMBER(SEARCH("Merchant",C1048)),"Merchant Payment",IF(ISNUMBER(SEARCH("Offnet C2B",C1048)),"Merchant Payment",IF(ISNUMBER(SEARCH("Offnet B2C",C1048)),"Merchant Payment",IF(ISNUMBER(SEARCH("Customer Payment to Small",C1048)),"Merchant Payment",IF(ISNUMBER(SEARCH("Payment to Small Business",C1048)),"Merchant Payment",IF(ISNUMBER(SEARCH("Sent to",C1048)),"Sent to Person",IF(ISNUMBER(SEARCH("Customer Transfer to",C1048)),"Sent to Person",IF(ISNUMBER(SEARCH("Business Payment",C1048)),"Money In",IF(ISNUMBER(SEARCH("Funds Received",C1048)),"Money In",IF(ISNUMBER(SEARCH("Receive International",C1048)),"Money In",IF(ISNUMBER(SEARCH("Send Money Reversal",C1048)),"Money In",IF(ISNUMBER(SEARCH("Pay Utility Reversal",C1048)),"Money In",IF(ISNUMBER(SEARCH("Customer Transfer",C1048)),"Money In",IF(ISNUMBER(SEARCH("Ziidi",C1048)),"Investment",IF(ISNUMBER(SEARCH("Nabo",C1048)),"Investment",IF(ISNUMBER(SEARCH("Paybill Online",C1048)),"Pay Bill",IF(ISNUMBER(SEARCH("Pay Bill",C1048)),"Pay Bill",IF(ISNUMBER(SEARCH("Spotify",C1048)),"Pay Bill",IF(ISNUMBER(SEARCH("M-Shwari",C1048)),"Mshwari",IF(ISNUMBER(SEARCH("Mshwari",C1048)),"Mshwari",IF(ISNUMBER(SEARCH("Withdrawal charge",C1048)),"Fees",IF(ISNUMBER(SEARCH("Customer Withdrawal",C1048)),"Fees",IF(ISNUMBER(SEARCH("charge",C1048)),"Fees","Other")))))))))))))))))))))))))</f>
        <v>Bundles</v>
      </c>
      <c r="R1048" s="1" t="str">
        <f aca="false">TEXT(B1048,"MMM YYYY")</f>
        <v>May 2026</v>
      </c>
    </row>
    <row r="1049" customFormat="false" ht="13.8" hidden="false" customHeight="false" outlineLevel="0" collapsed="false">
      <c r="A1049" s="4" t="s">
        <v>2166</v>
      </c>
      <c r="B1049" s="4" t="s">
        <v>2167</v>
      </c>
      <c r="C1049" s="4" t="s">
        <v>390</v>
      </c>
      <c r="D1049" s="4" t="s">
        <v>18</v>
      </c>
      <c r="E1049" s="4" t="n">
        <v>200</v>
      </c>
      <c r="F1049" s="4"/>
      <c r="G1049" s="4" t="n">
        <v>1375.78</v>
      </c>
      <c r="L1049" s="1" t="str">
        <f aca="false">IF(ISNUMBER(SEARCH("Bundle",C1049)),"Bundles",IF(ISNUMBER(SEARCH("Airtime",C1049)),"Bundles",IF(ISNUMBER(SEARCH("Merchant",C1049)),"Merchant Payment",IF(ISNUMBER(SEARCH("Offnet C2B",C1049)),"Merchant Payment",IF(ISNUMBER(SEARCH("Offnet B2C",C1049)),"Merchant Payment",IF(ISNUMBER(SEARCH("Customer Payment to Small",C1049)),"Merchant Payment",IF(ISNUMBER(SEARCH("Payment to Small Business",C1049)),"Merchant Payment",IF(ISNUMBER(SEARCH("Sent to",C1049)),"Sent to Person",IF(ISNUMBER(SEARCH("Customer Transfer to",C1049)),"Sent to Person",IF(ISNUMBER(SEARCH("Business Payment",C1049)),"Money In",IF(ISNUMBER(SEARCH("Funds Received",C1049)),"Money In",IF(ISNUMBER(SEARCH("Receive International",C1049)),"Money In",IF(ISNUMBER(SEARCH("Send Money Reversal",C1049)),"Money In",IF(ISNUMBER(SEARCH("Pay Utility Reversal",C1049)),"Money In",IF(ISNUMBER(SEARCH("Customer Transfer",C1049)),"Money In",IF(ISNUMBER(SEARCH("Ziidi",C1049)),"Investment",IF(ISNUMBER(SEARCH("Nabo",C1049)),"Investment",IF(ISNUMBER(SEARCH("Paybill Online",C1049)),"Pay Bill",IF(ISNUMBER(SEARCH("Pay Bill",C1049)),"Pay Bill",IF(ISNUMBER(SEARCH("Spotify",C1049)),"Pay Bill",IF(ISNUMBER(SEARCH("M-Shwari",C1049)),"Mshwari",IF(ISNUMBER(SEARCH("Mshwari",C1049)),"Mshwari",IF(ISNUMBER(SEARCH("Withdrawal charge",C1049)),"Fees",IF(ISNUMBER(SEARCH("Customer Withdrawal",C1049)),"Fees",IF(ISNUMBER(SEARCH("charge",C1049)),"Fees","Other")))))))))))))))))))))))))</f>
        <v>Money In</v>
      </c>
      <c r="R1049" s="1" t="str">
        <f aca="false">TEXT(B1049,"MMM YYYY")</f>
        <v>May 2026</v>
      </c>
    </row>
    <row r="1050" customFormat="false" ht="13.8" hidden="false" customHeight="false" outlineLevel="0" collapsed="false">
      <c r="A1050" s="4" t="s">
        <v>2168</v>
      </c>
      <c r="B1050" s="4" t="s">
        <v>2169</v>
      </c>
      <c r="C1050" s="4" t="s">
        <v>90</v>
      </c>
      <c r="D1050" s="4" t="s">
        <v>18</v>
      </c>
      <c r="E1050" s="4"/>
      <c r="F1050" s="4" t="n">
        <v>20</v>
      </c>
      <c r="G1050" s="4" t="n">
        <v>1355.78</v>
      </c>
      <c r="L1050" s="1" t="str">
        <f aca="false">IF(ISNUMBER(SEARCH("Bundle",C1050)),"Bundles",IF(ISNUMBER(SEARCH("Airtime",C1050)),"Bundles",IF(ISNUMBER(SEARCH("Merchant",C1050)),"Merchant Payment",IF(ISNUMBER(SEARCH("Offnet C2B",C1050)),"Merchant Payment",IF(ISNUMBER(SEARCH("Offnet B2C",C1050)),"Merchant Payment",IF(ISNUMBER(SEARCH("Customer Payment to Small",C1050)),"Merchant Payment",IF(ISNUMBER(SEARCH("Payment to Small Business",C1050)),"Merchant Payment",IF(ISNUMBER(SEARCH("Sent to",C1050)),"Sent to Person",IF(ISNUMBER(SEARCH("Customer Transfer to",C1050)),"Sent to Person",IF(ISNUMBER(SEARCH("Business Payment",C1050)),"Money In",IF(ISNUMBER(SEARCH("Funds Received",C1050)),"Money In",IF(ISNUMBER(SEARCH("Receive International",C1050)),"Money In",IF(ISNUMBER(SEARCH("Send Money Reversal",C1050)),"Money In",IF(ISNUMBER(SEARCH("Pay Utility Reversal",C1050)),"Money In",IF(ISNUMBER(SEARCH("Customer Transfer",C1050)),"Money In",IF(ISNUMBER(SEARCH("Ziidi",C1050)),"Investment",IF(ISNUMBER(SEARCH("Nabo",C1050)),"Investment",IF(ISNUMBER(SEARCH("Paybill Online",C1050)),"Pay Bill",IF(ISNUMBER(SEARCH("Pay Bill",C1050)),"Pay Bill",IF(ISNUMBER(SEARCH("Spotify",C1050)),"Pay Bill",IF(ISNUMBER(SEARCH("M-Shwari",C1050)),"Mshwari",IF(ISNUMBER(SEARCH("Mshwari",C1050)),"Mshwari",IF(ISNUMBER(SEARCH("Withdrawal charge",C1050)),"Fees",IF(ISNUMBER(SEARCH("Customer Withdrawal",C1050)),"Fees",IF(ISNUMBER(SEARCH("charge",C1050)),"Fees","Other")))))))))))))))))))))))))</f>
        <v>Bundles</v>
      </c>
      <c r="R1050" s="1" t="str">
        <f aca="false">TEXT(B1050,"MMM YYYY")</f>
        <v>May 2026</v>
      </c>
    </row>
    <row r="1051" customFormat="false" ht="13.8" hidden="false" customHeight="false" outlineLevel="0" collapsed="false">
      <c r="A1051" s="4" t="s">
        <v>2170</v>
      </c>
      <c r="B1051" s="4" t="s">
        <v>2171</v>
      </c>
      <c r="C1051" s="4" t="s">
        <v>90</v>
      </c>
      <c r="D1051" s="4" t="s">
        <v>18</v>
      </c>
      <c r="E1051" s="4"/>
      <c r="F1051" s="4" t="n">
        <v>10</v>
      </c>
      <c r="G1051" s="4" t="n">
        <v>1345.78</v>
      </c>
      <c r="L1051" s="1" t="str">
        <f aca="false">IF(ISNUMBER(SEARCH("Bundle",C1051)),"Bundles",IF(ISNUMBER(SEARCH("Airtime",C1051)),"Bundles",IF(ISNUMBER(SEARCH("Merchant",C1051)),"Merchant Payment",IF(ISNUMBER(SEARCH("Offnet C2B",C1051)),"Merchant Payment",IF(ISNUMBER(SEARCH("Offnet B2C",C1051)),"Merchant Payment",IF(ISNUMBER(SEARCH("Customer Payment to Small",C1051)),"Merchant Payment",IF(ISNUMBER(SEARCH("Payment to Small Business",C1051)),"Merchant Payment",IF(ISNUMBER(SEARCH("Sent to",C1051)),"Sent to Person",IF(ISNUMBER(SEARCH("Customer Transfer to",C1051)),"Sent to Person",IF(ISNUMBER(SEARCH("Business Payment",C1051)),"Money In",IF(ISNUMBER(SEARCH("Funds Received",C1051)),"Money In",IF(ISNUMBER(SEARCH("Receive International",C1051)),"Money In",IF(ISNUMBER(SEARCH("Send Money Reversal",C1051)),"Money In",IF(ISNUMBER(SEARCH("Pay Utility Reversal",C1051)),"Money In",IF(ISNUMBER(SEARCH("Customer Transfer",C1051)),"Money In",IF(ISNUMBER(SEARCH("Ziidi",C1051)),"Investment",IF(ISNUMBER(SEARCH("Nabo",C1051)),"Investment",IF(ISNUMBER(SEARCH("Paybill Online",C1051)),"Pay Bill",IF(ISNUMBER(SEARCH("Pay Bill",C1051)),"Pay Bill",IF(ISNUMBER(SEARCH("Spotify",C1051)),"Pay Bill",IF(ISNUMBER(SEARCH("M-Shwari",C1051)),"Mshwari",IF(ISNUMBER(SEARCH("Mshwari",C1051)),"Mshwari",IF(ISNUMBER(SEARCH("Withdrawal charge",C1051)),"Fees",IF(ISNUMBER(SEARCH("Customer Withdrawal",C1051)),"Fees",IF(ISNUMBER(SEARCH("charge",C1051)),"Fees","Other")))))))))))))))))))))))))</f>
        <v>Bundles</v>
      </c>
      <c r="R1051" s="1" t="str">
        <f aca="false">TEXT(B1051,"MMM YYYY")</f>
        <v>May 2026</v>
      </c>
    </row>
    <row r="1052" customFormat="false" ht="13.8" hidden="false" customHeight="false" outlineLevel="0" collapsed="false">
      <c r="A1052" s="4" t="s">
        <v>2172</v>
      </c>
      <c r="B1052" s="4" t="s">
        <v>2173</v>
      </c>
      <c r="C1052" s="4" t="s">
        <v>90</v>
      </c>
      <c r="D1052" s="4" t="s">
        <v>18</v>
      </c>
      <c r="E1052" s="4"/>
      <c r="F1052" s="4" t="n">
        <v>10</v>
      </c>
      <c r="G1052" s="4" t="n">
        <v>1335.78</v>
      </c>
      <c r="L1052" s="1" t="str">
        <f aca="false">IF(ISNUMBER(SEARCH("Bundle",C1052)),"Bundles",IF(ISNUMBER(SEARCH("Airtime",C1052)),"Bundles",IF(ISNUMBER(SEARCH("Merchant",C1052)),"Merchant Payment",IF(ISNUMBER(SEARCH("Offnet C2B",C1052)),"Merchant Payment",IF(ISNUMBER(SEARCH("Offnet B2C",C1052)),"Merchant Payment",IF(ISNUMBER(SEARCH("Customer Payment to Small",C1052)),"Merchant Payment",IF(ISNUMBER(SEARCH("Payment to Small Business",C1052)),"Merchant Payment",IF(ISNUMBER(SEARCH("Sent to",C1052)),"Sent to Person",IF(ISNUMBER(SEARCH("Customer Transfer to",C1052)),"Sent to Person",IF(ISNUMBER(SEARCH("Business Payment",C1052)),"Money In",IF(ISNUMBER(SEARCH("Funds Received",C1052)),"Money In",IF(ISNUMBER(SEARCH("Receive International",C1052)),"Money In",IF(ISNUMBER(SEARCH("Send Money Reversal",C1052)),"Money In",IF(ISNUMBER(SEARCH("Pay Utility Reversal",C1052)),"Money In",IF(ISNUMBER(SEARCH("Customer Transfer",C1052)),"Money In",IF(ISNUMBER(SEARCH("Ziidi",C1052)),"Investment",IF(ISNUMBER(SEARCH("Nabo",C1052)),"Investment",IF(ISNUMBER(SEARCH("Paybill Online",C1052)),"Pay Bill",IF(ISNUMBER(SEARCH("Pay Bill",C1052)),"Pay Bill",IF(ISNUMBER(SEARCH("Spotify",C1052)),"Pay Bill",IF(ISNUMBER(SEARCH("M-Shwari",C1052)),"Mshwari",IF(ISNUMBER(SEARCH("Mshwari",C1052)),"Mshwari",IF(ISNUMBER(SEARCH("Withdrawal charge",C1052)),"Fees",IF(ISNUMBER(SEARCH("Customer Withdrawal",C1052)),"Fees",IF(ISNUMBER(SEARCH("charge",C1052)),"Fees","Other")))))))))))))))))))))))))</f>
        <v>Bundles</v>
      </c>
      <c r="R1052" s="1" t="str">
        <f aca="false">TEXT(B1052,"MMM YYYY")</f>
        <v>May 2026</v>
      </c>
    </row>
    <row r="1053" customFormat="false" ht="13.8" hidden="false" customHeight="false" outlineLevel="0" collapsed="false">
      <c r="A1053" s="4" t="s">
        <v>2174</v>
      </c>
      <c r="B1053" s="4" t="s">
        <v>2175</v>
      </c>
      <c r="C1053" s="4" t="s">
        <v>90</v>
      </c>
      <c r="D1053" s="4" t="s">
        <v>18</v>
      </c>
      <c r="E1053" s="4"/>
      <c r="F1053" s="4" t="n">
        <v>10</v>
      </c>
      <c r="G1053" s="4" t="n">
        <v>1325.78</v>
      </c>
      <c r="L1053" s="1" t="str">
        <f aca="false">IF(ISNUMBER(SEARCH("Bundle",C1053)),"Bundles",IF(ISNUMBER(SEARCH("Airtime",C1053)),"Bundles",IF(ISNUMBER(SEARCH("Merchant",C1053)),"Merchant Payment",IF(ISNUMBER(SEARCH("Offnet C2B",C1053)),"Merchant Payment",IF(ISNUMBER(SEARCH("Offnet B2C",C1053)),"Merchant Payment",IF(ISNUMBER(SEARCH("Customer Payment to Small",C1053)),"Merchant Payment",IF(ISNUMBER(SEARCH("Payment to Small Business",C1053)),"Merchant Payment",IF(ISNUMBER(SEARCH("Sent to",C1053)),"Sent to Person",IF(ISNUMBER(SEARCH("Customer Transfer to",C1053)),"Sent to Person",IF(ISNUMBER(SEARCH("Business Payment",C1053)),"Money In",IF(ISNUMBER(SEARCH("Funds Received",C1053)),"Money In",IF(ISNUMBER(SEARCH("Receive International",C1053)),"Money In",IF(ISNUMBER(SEARCH("Send Money Reversal",C1053)),"Money In",IF(ISNUMBER(SEARCH("Pay Utility Reversal",C1053)),"Money In",IF(ISNUMBER(SEARCH("Customer Transfer",C1053)),"Money In",IF(ISNUMBER(SEARCH("Ziidi",C1053)),"Investment",IF(ISNUMBER(SEARCH("Nabo",C1053)),"Investment",IF(ISNUMBER(SEARCH("Paybill Online",C1053)),"Pay Bill",IF(ISNUMBER(SEARCH("Pay Bill",C1053)),"Pay Bill",IF(ISNUMBER(SEARCH("Spotify",C1053)),"Pay Bill",IF(ISNUMBER(SEARCH("M-Shwari",C1053)),"Mshwari",IF(ISNUMBER(SEARCH("Mshwari",C1053)),"Mshwari",IF(ISNUMBER(SEARCH("Withdrawal charge",C1053)),"Fees",IF(ISNUMBER(SEARCH("Customer Withdrawal",C1053)),"Fees",IF(ISNUMBER(SEARCH("charge",C1053)),"Fees","Other")))))))))))))))))))))))))</f>
        <v>Bundles</v>
      </c>
      <c r="R1053" s="1" t="str">
        <f aca="false">TEXT(B1053,"MMM YYYY")</f>
        <v>May 2026</v>
      </c>
    </row>
    <row r="1054" customFormat="false" ht="13.8" hidden="false" customHeight="false" outlineLevel="0" collapsed="false">
      <c r="A1054" s="4" t="s">
        <v>2176</v>
      </c>
      <c r="B1054" s="4" t="s">
        <v>2177</v>
      </c>
      <c r="C1054" s="4" t="s">
        <v>90</v>
      </c>
      <c r="D1054" s="4" t="s">
        <v>18</v>
      </c>
      <c r="E1054" s="4"/>
      <c r="F1054" s="4" t="n">
        <v>5</v>
      </c>
      <c r="G1054" s="4" t="n">
        <v>1320.78</v>
      </c>
      <c r="L1054" s="1" t="str">
        <f aca="false">IF(ISNUMBER(SEARCH("Bundle",C1054)),"Bundles",IF(ISNUMBER(SEARCH("Airtime",C1054)),"Bundles",IF(ISNUMBER(SEARCH("Merchant",C1054)),"Merchant Payment",IF(ISNUMBER(SEARCH("Offnet C2B",C1054)),"Merchant Payment",IF(ISNUMBER(SEARCH("Offnet B2C",C1054)),"Merchant Payment",IF(ISNUMBER(SEARCH("Customer Payment to Small",C1054)),"Merchant Payment",IF(ISNUMBER(SEARCH("Payment to Small Business",C1054)),"Merchant Payment",IF(ISNUMBER(SEARCH("Sent to",C1054)),"Sent to Person",IF(ISNUMBER(SEARCH("Customer Transfer to",C1054)),"Sent to Person",IF(ISNUMBER(SEARCH("Business Payment",C1054)),"Money In",IF(ISNUMBER(SEARCH("Funds Received",C1054)),"Money In",IF(ISNUMBER(SEARCH("Receive International",C1054)),"Money In",IF(ISNUMBER(SEARCH("Send Money Reversal",C1054)),"Money In",IF(ISNUMBER(SEARCH("Pay Utility Reversal",C1054)),"Money In",IF(ISNUMBER(SEARCH("Customer Transfer",C1054)),"Money In",IF(ISNUMBER(SEARCH("Ziidi",C1054)),"Investment",IF(ISNUMBER(SEARCH("Nabo",C1054)),"Investment",IF(ISNUMBER(SEARCH("Paybill Online",C1054)),"Pay Bill",IF(ISNUMBER(SEARCH("Pay Bill",C1054)),"Pay Bill",IF(ISNUMBER(SEARCH("Spotify",C1054)),"Pay Bill",IF(ISNUMBER(SEARCH("M-Shwari",C1054)),"Mshwari",IF(ISNUMBER(SEARCH("Mshwari",C1054)),"Mshwari",IF(ISNUMBER(SEARCH("Withdrawal charge",C1054)),"Fees",IF(ISNUMBER(SEARCH("Customer Withdrawal",C1054)),"Fees",IF(ISNUMBER(SEARCH("charge",C1054)),"Fees","Other")))))))))))))))))))))))))</f>
        <v>Bundles</v>
      </c>
      <c r="R1054" s="1" t="str">
        <f aca="false">TEXT(B1054,"MMM YYYY")</f>
        <v>May 2026</v>
      </c>
    </row>
    <row r="1055" customFormat="false" ht="13.8" hidden="false" customHeight="false" outlineLevel="0" collapsed="false">
      <c r="A1055" s="4" t="s">
        <v>2178</v>
      </c>
      <c r="B1055" s="4" t="s">
        <v>2179</v>
      </c>
      <c r="C1055" s="4" t="s">
        <v>90</v>
      </c>
      <c r="D1055" s="4" t="s">
        <v>18</v>
      </c>
      <c r="E1055" s="4"/>
      <c r="F1055" s="4" t="n">
        <v>10</v>
      </c>
      <c r="G1055" s="4" t="n">
        <v>1310.78</v>
      </c>
      <c r="L1055" s="1" t="str">
        <f aca="false">IF(ISNUMBER(SEARCH("Bundle",C1055)),"Bundles",IF(ISNUMBER(SEARCH("Airtime",C1055)),"Bundles",IF(ISNUMBER(SEARCH("Merchant",C1055)),"Merchant Payment",IF(ISNUMBER(SEARCH("Offnet C2B",C1055)),"Merchant Payment",IF(ISNUMBER(SEARCH("Offnet B2C",C1055)),"Merchant Payment",IF(ISNUMBER(SEARCH("Customer Payment to Small",C1055)),"Merchant Payment",IF(ISNUMBER(SEARCH("Payment to Small Business",C1055)),"Merchant Payment",IF(ISNUMBER(SEARCH("Sent to",C1055)),"Sent to Person",IF(ISNUMBER(SEARCH("Customer Transfer to",C1055)),"Sent to Person",IF(ISNUMBER(SEARCH("Business Payment",C1055)),"Money In",IF(ISNUMBER(SEARCH("Funds Received",C1055)),"Money In",IF(ISNUMBER(SEARCH("Receive International",C1055)),"Money In",IF(ISNUMBER(SEARCH("Send Money Reversal",C1055)),"Money In",IF(ISNUMBER(SEARCH("Pay Utility Reversal",C1055)),"Money In",IF(ISNUMBER(SEARCH("Customer Transfer",C1055)),"Money In",IF(ISNUMBER(SEARCH("Ziidi",C1055)),"Investment",IF(ISNUMBER(SEARCH("Nabo",C1055)),"Investment",IF(ISNUMBER(SEARCH("Paybill Online",C1055)),"Pay Bill",IF(ISNUMBER(SEARCH("Pay Bill",C1055)),"Pay Bill",IF(ISNUMBER(SEARCH("Spotify",C1055)),"Pay Bill",IF(ISNUMBER(SEARCH("M-Shwari",C1055)),"Mshwari",IF(ISNUMBER(SEARCH("Mshwari",C1055)),"Mshwari",IF(ISNUMBER(SEARCH("Withdrawal charge",C1055)),"Fees",IF(ISNUMBER(SEARCH("Customer Withdrawal",C1055)),"Fees",IF(ISNUMBER(SEARCH("charge",C1055)),"Fees","Other")))))))))))))))))))))))))</f>
        <v>Bundles</v>
      </c>
      <c r="R1055" s="1" t="str">
        <f aca="false">TEXT(B1055,"MMM YYYY")</f>
        <v>May 2026</v>
      </c>
    </row>
    <row r="1056" customFormat="false" ht="13.8" hidden="false" customHeight="false" outlineLevel="0" collapsed="false">
      <c r="A1056" s="4" t="s">
        <v>2180</v>
      </c>
      <c r="B1056" s="4" t="s">
        <v>2181</v>
      </c>
      <c r="C1056" s="4" t="s">
        <v>90</v>
      </c>
      <c r="D1056" s="4" t="s">
        <v>18</v>
      </c>
      <c r="E1056" s="4"/>
      <c r="F1056" s="4" t="n">
        <v>10</v>
      </c>
      <c r="G1056" s="4" t="n">
        <v>1300.78</v>
      </c>
      <c r="L1056" s="1" t="str">
        <f aca="false">IF(ISNUMBER(SEARCH("Bundle",C1056)),"Bundles",IF(ISNUMBER(SEARCH("Airtime",C1056)),"Bundles",IF(ISNUMBER(SEARCH("Merchant",C1056)),"Merchant Payment",IF(ISNUMBER(SEARCH("Offnet C2B",C1056)),"Merchant Payment",IF(ISNUMBER(SEARCH("Offnet B2C",C1056)),"Merchant Payment",IF(ISNUMBER(SEARCH("Customer Payment to Small",C1056)),"Merchant Payment",IF(ISNUMBER(SEARCH("Payment to Small Business",C1056)),"Merchant Payment",IF(ISNUMBER(SEARCH("Sent to",C1056)),"Sent to Person",IF(ISNUMBER(SEARCH("Customer Transfer to",C1056)),"Sent to Person",IF(ISNUMBER(SEARCH("Business Payment",C1056)),"Money In",IF(ISNUMBER(SEARCH("Funds Received",C1056)),"Money In",IF(ISNUMBER(SEARCH("Receive International",C1056)),"Money In",IF(ISNUMBER(SEARCH("Send Money Reversal",C1056)),"Money In",IF(ISNUMBER(SEARCH("Pay Utility Reversal",C1056)),"Money In",IF(ISNUMBER(SEARCH("Customer Transfer",C1056)),"Money In",IF(ISNUMBER(SEARCH("Ziidi",C1056)),"Investment",IF(ISNUMBER(SEARCH("Nabo",C1056)),"Investment",IF(ISNUMBER(SEARCH("Paybill Online",C1056)),"Pay Bill",IF(ISNUMBER(SEARCH("Pay Bill",C1056)),"Pay Bill",IF(ISNUMBER(SEARCH("Spotify",C1056)),"Pay Bill",IF(ISNUMBER(SEARCH("M-Shwari",C1056)),"Mshwari",IF(ISNUMBER(SEARCH("Mshwari",C1056)),"Mshwari",IF(ISNUMBER(SEARCH("Withdrawal charge",C1056)),"Fees",IF(ISNUMBER(SEARCH("Customer Withdrawal",C1056)),"Fees",IF(ISNUMBER(SEARCH("charge",C1056)),"Fees","Other")))))))))))))))))))))))))</f>
        <v>Bundles</v>
      </c>
      <c r="R1056" s="1" t="str">
        <f aca="false">TEXT(B1056,"MMM YYYY")</f>
        <v>May 2026</v>
      </c>
    </row>
    <row r="1057" customFormat="false" ht="13.8" hidden="false" customHeight="false" outlineLevel="0" collapsed="false">
      <c r="A1057" s="4" t="s">
        <v>2182</v>
      </c>
      <c r="B1057" s="4" t="s">
        <v>2183</v>
      </c>
      <c r="C1057" s="4" t="s">
        <v>90</v>
      </c>
      <c r="D1057" s="4" t="s">
        <v>18</v>
      </c>
      <c r="E1057" s="4"/>
      <c r="F1057" s="4" t="n">
        <v>10</v>
      </c>
      <c r="G1057" s="4" t="n">
        <v>1290.78</v>
      </c>
      <c r="L1057" s="1" t="str">
        <f aca="false">IF(ISNUMBER(SEARCH("Bundle",C1057)),"Bundles",IF(ISNUMBER(SEARCH("Airtime",C1057)),"Bundles",IF(ISNUMBER(SEARCH("Merchant",C1057)),"Merchant Payment",IF(ISNUMBER(SEARCH("Offnet C2B",C1057)),"Merchant Payment",IF(ISNUMBER(SEARCH("Offnet B2C",C1057)),"Merchant Payment",IF(ISNUMBER(SEARCH("Customer Payment to Small",C1057)),"Merchant Payment",IF(ISNUMBER(SEARCH("Payment to Small Business",C1057)),"Merchant Payment",IF(ISNUMBER(SEARCH("Sent to",C1057)),"Sent to Person",IF(ISNUMBER(SEARCH("Customer Transfer to",C1057)),"Sent to Person",IF(ISNUMBER(SEARCH("Business Payment",C1057)),"Money In",IF(ISNUMBER(SEARCH("Funds Received",C1057)),"Money In",IF(ISNUMBER(SEARCH("Receive International",C1057)),"Money In",IF(ISNUMBER(SEARCH("Send Money Reversal",C1057)),"Money In",IF(ISNUMBER(SEARCH("Pay Utility Reversal",C1057)),"Money In",IF(ISNUMBER(SEARCH("Customer Transfer",C1057)),"Money In",IF(ISNUMBER(SEARCH("Ziidi",C1057)),"Investment",IF(ISNUMBER(SEARCH("Nabo",C1057)),"Investment",IF(ISNUMBER(SEARCH("Paybill Online",C1057)),"Pay Bill",IF(ISNUMBER(SEARCH("Pay Bill",C1057)),"Pay Bill",IF(ISNUMBER(SEARCH("Spotify",C1057)),"Pay Bill",IF(ISNUMBER(SEARCH("M-Shwari",C1057)),"Mshwari",IF(ISNUMBER(SEARCH("Mshwari",C1057)),"Mshwari",IF(ISNUMBER(SEARCH("Withdrawal charge",C1057)),"Fees",IF(ISNUMBER(SEARCH("Customer Withdrawal",C1057)),"Fees",IF(ISNUMBER(SEARCH("charge",C1057)),"Fees","Other")))))))))))))))))))))))))</f>
        <v>Bundles</v>
      </c>
      <c r="R1057" s="1" t="str">
        <f aca="false">TEXT(B1057,"MMM YYYY")</f>
        <v>Jun 2026</v>
      </c>
    </row>
    <row r="1058" customFormat="false" ht="13.8" hidden="false" customHeight="false" outlineLevel="0" collapsed="false">
      <c r="A1058" s="4" t="s">
        <v>2184</v>
      </c>
      <c r="B1058" s="4" t="s">
        <v>2185</v>
      </c>
      <c r="C1058" s="4" t="s">
        <v>90</v>
      </c>
      <c r="D1058" s="4" t="s">
        <v>18</v>
      </c>
      <c r="E1058" s="4"/>
      <c r="F1058" s="4" t="n">
        <v>10</v>
      </c>
      <c r="G1058" s="4" t="n">
        <v>1280.78</v>
      </c>
      <c r="L1058" s="1" t="str">
        <f aca="false">IF(ISNUMBER(SEARCH("Bundle",C1058)),"Bundles",IF(ISNUMBER(SEARCH("Airtime",C1058)),"Bundles",IF(ISNUMBER(SEARCH("Merchant",C1058)),"Merchant Payment",IF(ISNUMBER(SEARCH("Offnet C2B",C1058)),"Merchant Payment",IF(ISNUMBER(SEARCH("Offnet B2C",C1058)),"Merchant Payment",IF(ISNUMBER(SEARCH("Customer Payment to Small",C1058)),"Merchant Payment",IF(ISNUMBER(SEARCH("Payment to Small Business",C1058)),"Merchant Payment",IF(ISNUMBER(SEARCH("Sent to",C1058)),"Sent to Person",IF(ISNUMBER(SEARCH("Customer Transfer to",C1058)),"Sent to Person",IF(ISNUMBER(SEARCH("Business Payment",C1058)),"Money In",IF(ISNUMBER(SEARCH("Funds Received",C1058)),"Money In",IF(ISNUMBER(SEARCH("Receive International",C1058)),"Money In",IF(ISNUMBER(SEARCH("Send Money Reversal",C1058)),"Money In",IF(ISNUMBER(SEARCH("Pay Utility Reversal",C1058)),"Money In",IF(ISNUMBER(SEARCH("Customer Transfer",C1058)),"Money In",IF(ISNUMBER(SEARCH("Ziidi",C1058)),"Investment",IF(ISNUMBER(SEARCH("Nabo",C1058)),"Investment",IF(ISNUMBER(SEARCH("Paybill Online",C1058)),"Pay Bill",IF(ISNUMBER(SEARCH("Pay Bill",C1058)),"Pay Bill",IF(ISNUMBER(SEARCH("Spotify",C1058)),"Pay Bill",IF(ISNUMBER(SEARCH("M-Shwari",C1058)),"Mshwari",IF(ISNUMBER(SEARCH("Mshwari",C1058)),"Mshwari",IF(ISNUMBER(SEARCH("Withdrawal charge",C1058)),"Fees",IF(ISNUMBER(SEARCH("Customer Withdrawal",C1058)),"Fees",IF(ISNUMBER(SEARCH("charge",C1058)),"Fees","Other")))))))))))))))))))))))))</f>
        <v>Bundles</v>
      </c>
      <c r="R1058" s="1" t="str">
        <f aca="false">TEXT(B1058,"MMM YYYY")</f>
        <v>Jun 2026</v>
      </c>
    </row>
    <row r="1059" customFormat="false" ht="13.8" hidden="false" customHeight="false" outlineLevel="0" collapsed="false">
      <c r="A1059" s="4" t="s">
        <v>2186</v>
      </c>
      <c r="B1059" s="4" t="s">
        <v>2187</v>
      </c>
      <c r="C1059" s="4" t="s">
        <v>90</v>
      </c>
      <c r="D1059" s="4" t="s">
        <v>18</v>
      </c>
      <c r="E1059" s="4"/>
      <c r="F1059" s="4" t="n">
        <v>10</v>
      </c>
      <c r="G1059" s="4" t="n">
        <v>1270.78</v>
      </c>
      <c r="L1059" s="1" t="str">
        <f aca="false">IF(ISNUMBER(SEARCH("Bundle",C1059)),"Bundles",IF(ISNUMBER(SEARCH("Airtime",C1059)),"Bundles",IF(ISNUMBER(SEARCH("Merchant",C1059)),"Merchant Payment",IF(ISNUMBER(SEARCH("Offnet C2B",C1059)),"Merchant Payment",IF(ISNUMBER(SEARCH("Offnet B2C",C1059)),"Merchant Payment",IF(ISNUMBER(SEARCH("Customer Payment to Small",C1059)),"Merchant Payment",IF(ISNUMBER(SEARCH("Payment to Small Business",C1059)),"Merchant Payment",IF(ISNUMBER(SEARCH("Sent to",C1059)),"Sent to Person",IF(ISNUMBER(SEARCH("Customer Transfer to",C1059)),"Sent to Person",IF(ISNUMBER(SEARCH("Business Payment",C1059)),"Money In",IF(ISNUMBER(SEARCH("Funds Received",C1059)),"Money In",IF(ISNUMBER(SEARCH("Receive International",C1059)),"Money In",IF(ISNUMBER(SEARCH("Send Money Reversal",C1059)),"Money In",IF(ISNUMBER(SEARCH("Pay Utility Reversal",C1059)),"Money In",IF(ISNUMBER(SEARCH("Customer Transfer",C1059)),"Money In",IF(ISNUMBER(SEARCH("Ziidi",C1059)),"Investment",IF(ISNUMBER(SEARCH("Nabo",C1059)),"Investment",IF(ISNUMBER(SEARCH("Paybill Online",C1059)),"Pay Bill",IF(ISNUMBER(SEARCH("Pay Bill",C1059)),"Pay Bill",IF(ISNUMBER(SEARCH("Spotify",C1059)),"Pay Bill",IF(ISNUMBER(SEARCH("M-Shwari",C1059)),"Mshwari",IF(ISNUMBER(SEARCH("Mshwari",C1059)),"Mshwari",IF(ISNUMBER(SEARCH("Withdrawal charge",C1059)),"Fees",IF(ISNUMBER(SEARCH("Customer Withdrawal",C1059)),"Fees",IF(ISNUMBER(SEARCH("charge",C1059)),"Fees","Other")))))))))))))))))))))))))</f>
        <v>Bundles</v>
      </c>
      <c r="R1059" s="1" t="str">
        <f aca="false">TEXT(B1059,"MMM YYYY")</f>
        <v>Jun 2026</v>
      </c>
    </row>
    <row r="1060" customFormat="false" ht="13.8" hidden="false" customHeight="false" outlineLevel="0" collapsed="false">
      <c r="A1060" s="4" t="s">
        <v>2188</v>
      </c>
      <c r="B1060" s="4" t="s">
        <v>2189</v>
      </c>
      <c r="C1060" s="4" t="s">
        <v>90</v>
      </c>
      <c r="D1060" s="4" t="s">
        <v>18</v>
      </c>
      <c r="E1060" s="4"/>
      <c r="F1060" s="4" t="n">
        <v>10</v>
      </c>
      <c r="G1060" s="4" t="n">
        <v>1260.78</v>
      </c>
      <c r="L1060" s="1" t="str">
        <f aca="false">IF(ISNUMBER(SEARCH("Bundle",C1060)),"Bundles",IF(ISNUMBER(SEARCH("Airtime",C1060)),"Bundles",IF(ISNUMBER(SEARCH("Merchant",C1060)),"Merchant Payment",IF(ISNUMBER(SEARCH("Offnet C2B",C1060)),"Merchant Payment",IF(ISNUMBER(SEARCH("Offnet B2C",C1060)),"Merchant Payment",IF(ISNUMBER(SEARCH("Customer Payment to Small",C1060)),"Merchant Payment",IF(ISNUMBER(SEARCH("Payment to Small Business",C1060)),"Merchant Payment",IF(ISNUMBER(SEARCH("Sent to",C1060)),"Sent to Person",IF(ISNUMBER(SEARCH("Customer Transfer to",C1060)),"Sent to Person",IF(ISNUMBER(SEARCH("Business Payment",C1060)),"Money In",IF(ISNUMBER(SEARCH("Funds Received",C1060)),"Money In",IF(ISNUMBER(SEARCH("Receive International",C1060)),"Money In",IF(ISNUMBER(SEARCH("Send Money Reversal",C1060)),"Money In",IF(ISNUMBER(SEARCH("Pay Utility Reversal",C1060)),"Money In",IF(ISNUMBER(SEARCH("Customer Transfer",C1060)),"Money In",IF(ISNUMBER(SEARCH("Ziidi",C1060)),"Investment",IF(ISNUMBER(SEARCH("Nabo",C1060)),"Investment",IF(ISNUMBER(SEARCH("Paybill Online",C1060)),"Pay Bill",IF(ISNUMBER(SEARCH("Pay Bill",C1060)),"Pay Bill",IF(ISNUMBER(SEARCH("Spotify",C1060)),"Pay Bill",IF(ISNUMBER(SEARCH("M-Shwari",C1060)),"Mshwari",IF(ISNUMBER(SEARCH("Mshwari",C1060)),"Mshwari",IF(ISNUMBER(SEARCH("Withdrawal charge",C1060)),"Fees",IF(ISNUMBER(SEARCH("Customer Withdrawal",C1060)),"Fees",IF(ISNUMBER(SEARCH("charge",C1060)),"Fees","Other")))))))))))))))))))))))))</f>
        <v>Bundles</v>
      </c>
      <c r="R1060" s="1" t="str">
        <f aca="false">TEXT(B1060,"MMM YYYY")</f>
        <v>Jun 2026</v>
      </c>
    </row>
    <row r="1061" customFormat="false" ht="13.8" hidden="false" customHeight="false" outlineLevel="0" collapsed="false">
      <c r="A1061" s="4" t="s">
        <v>2190</v>
      </c>
      <c r="B1061" s="4" t="s">
        <v>2191</v>
      </c>
      <c r="C1061" s="4" t="s">
        <v>90</v>
      </c>
      <c r="D1061" s="4" t="s">
        <v>18</v>
      </c>
      <c r="E1061" s="4"/>
      <c r="F1061" s="4" t="n">
        <v>10</v>
      </c>
      <c r="G1061" s="4" t="n">
        <v>1250.78</v>
      </c>
      <c r="L1061" s="1" t="str">
        <f aca="false">IF(ISNUMBER(SEARCH("Bundle",C1061)),"Bundles",IF(ISNUMBER(SEARCH("Airtime",C1061)),"Bundles",IF(ISNUMBER(SEARCH("Merchant",C1061)),"Merchant Payment",IF(ISNUMBER(SEARCH("Offnet C2B",C1061)),"Merchant Payment",IF(ISNUMBER(SEARCH("Offnet B2C",C1061)),"Merchant Payment",IF(ISNUMBER(SEARCH("Customer Payment to Small",C1061)),"Merchant Payment",IF(ISNUMBER(SEARCH("Payment to Small Business",C1061)),"Merchant Payment",IF(ISNUMBER(SEARCH("Sent to",C1061)),"Sent to Person",IF(ISNUMBER(SEARCH("Customer Transfer to",C1061)),"Sent to Person",IF(ISNUMBER(SEARCH("Business Payment",C1061)),"Money In",IF(ISNUMBER(SEARCH("Funds Received",C1061)),"Money In",IF(ISNUMBER(SEARCH("Receive International",C1061)),"Money In",IF(ISNUMBER(SEARCH("Send Money Reversal",C1061)),"Money In",IF(ISNUMBER(SEARCH("Pay Utility Reversal",C1061)),"Money In",IF(ISNUMBER(SEARCH("Customer Transfer",C1061)),"Money In",IF(ISNUMBER(SEARCH("Ziidi",C1061)),"Investment",IF(ISNUMBER(SEARCH("Nabo",C1061)),"Investment",IF(ISNUMBER(SEARCH("Paybill Online",C1061)),"Pay Bill",IF(ISNUMBER(SEARCH("Pay Bill",C1061)),"Pay Bill",IF(ISNUMBER(SEARCH("Spotify",C1061)),"Pay Bill",IF(ISNUMBER(SEARCH("M-Shwari",C1061)),"Mshwari",IF(ISNUMBER(SEARCH("Mshwari",C1061)),"Mshwari",IF(ISNUMBER(SEARCH("Withdrawal charge",C1061)),"Fees",IF(ISNUMBER(SEARCH("Customer Withdrawal",C1061)),"Fees",IF(ISNUMBER(SEARCH("charge",C1061)),"Fees","Other")))))))))))))))))))))))))</f>
        <v>Bundles</v>
      </c>
      <c r="R1061" s="1" t="str">
        <f aca="false">TEXT(B1061,"MMM YYYY")</f>
        <v>Jun 2026</v>
      </c>
    </row>
    <row r="1062" customFormat="false" ht="13.8" hidden="false" customHeight="false" outlineLevel="0" collapsed="false">
      <c r="A1062" s="4" t="s">
        <v>2192</v>
      </c>
      <c r="B1062" s="4" t="s">
        <v>2193</v>
      </c>
      <c r="C1062" s="4" t="s">
        <v>90</v>
      </c>
      <c r="D1062" s="4" t="s">
        <v>18</v>
      </c>
      <c r="E1062" s="4"/>
      <c r="F1062" s="4" t="n">
        <v>10</v>
      </c>
      <c r="G1062" s="4" t="n">
        <v>1240.78</v>
      </c>
      <c r="L1062" s="1" t="str">
        <f aca="false">IF(ISNUMBER(SEARCH("Bundle",C1062)),"Bundles",IF(ISNUMBER(SEARCH("Airtime",C1062)),"Bundles",IF(ISNUMBER(SEARCH("Merchant",C1062)),"Merchant Payment",IF(ISNUMBER(SEARCH("Offnet C2B",C1062)),"Merchant Payment",IF(ISNUMBER(SEARCH("Offnet B2C",C1062)),"Merchant Payment",IF(ISNUMBER(SEARCH("Customer Payment to Small",C1062)),"Merchant Payment",IF(ISNUMBER(SEARCH("Payment to Small Business",C1062)),"Merchant Payment",IF(ISNUMBER(SEARCH("Sent to",C1062)),"Sent to Person",IF(ISNUMBER(SEARCH("Customer Transfer to",C1062)),"Sent to Person",IF(ISNUMBER(SEARCH("Business Payment",C1062)),"Money In",IF(ISNUMBER(SEARCH("Funds Received",C1062)),"Money In",IF(ISNUMBER(SEARCH("Receive International",C1062)),"Money In",IF(ISNUMBER(SEARCH("Send Money Reversal",C1062)),"Money In",IF(ISNUMBER(SEARCH("Pay Utility Reversal",C1062)),"Money In",IF(ISNUMBER(SEARCH("Customer Transfer",C1062)),"Money In",IF(ISNUMBER(SEARCH("Ziidi",C1062)),"Investment",IF(ISNUMBER(SEARCH("Nabo",C1062)),"Investment",IF(ISNUMBER(SEARCH("Paybill Online",C1062)),"Pay Bill",IF(ISNUMBER(SEARCH("Pay Bill",C1062)),"Pay Bill",IF(ISNUMBER(SEARCH("Spotify",C1062)),"Pay Bill",IF(ISNUMBER(SEARCH("M-Shwari",C1062)),"Mshwari",IF(ISNUMBER(SEARCH("Mshwari",C1062)),"Mshwari",IF(ISNUMBER(SEARCH("Withdrawal charge",C1062)),"Fees",IF(ISNUMBER(SEARCH("Customer Withdrawal",C1062)),"Fees",IF(ISNUMBER(SEARCH("charge",C1062)),"Fees","Other")))))))))))))))))))))))))</f>
        <v>Bundles</v>
      </c>
      <c r="R1062" s="1" t="str">
        <f aca="false">TEXT(B1062,"MMM YYYY")</f>
        <v>Jun 2026</v>
      </c>
    </row>
    <row r="1063" customFormat="false" ht="13.8" hidden="false" customHeight="false" outlineLevel="0" collapsed="false">
      <c r="A1063" s="4" t="s">
        <v>2194</v>
      </c>
      <c r="B1063" s="4" t="s">
        <v>2195</v>
      </c>
      <c r="C1063" s="4" t="s">
        <v>90</v>
      </c>
      <c r="D1063" s="4" t="s">
        <v>18</v>
      </c>
      <c r="E1063" s="4"/>
      <c r="F1063" s="4" t="n">
        <v>10</v>
      </c>
      <c r="G1063" s="4" t="n">
        <v>1230.78</v>
      </c>
      <c r="L1063" s="1" t="str">
        <f aca="false">IF(ISNUMBER(SEARCH("Bundle",C1063)),"Bundles",IF(ISNUMBER(SEARCH("Airtime",C1063)),"Bundles",IF(ISNUMBER(SEARCH("Merchant",C1063)),"Merchant Payment",IF(ISNUMBER(SEARCH("Offnet C2B",C1063)),"Merchant Payment",IF(ISNUMBER(SEARCH("Offnet B2C",C1063)),"Merchant Payment",IF(ISNUMBER(SEARCH("Customer Payment to Small",C1063)),"Merchant Payment",IF(ISNUMBER(SEARCH("Payment to Small Business",C1063)),"Merchant Payment",IF(ISNUMBER(SEARCH("Sent to",C1063)),"Sent to Person",IF(ISNUMBER(SEARCH("Customer Transfer to",C1063)),"Sent to Person",IF(ISNUMBER(SEARCH("Business Payment",C1063)),"Money In",IF(ISNUMBER(SEARCH("Funds Received",C1063)),"Money In",IF(ISNUMBER(SEARCH("Receive International",C1063)),"Money In",IF(ISNUMBER(SEARCH("Send Money Reversal",C1063)),"Money In",IF(ISNUMBER(SEARCH("Pay Utility Reversal",C1063)),"Money In",IF(ISNUMBER(SEARCH("Customer Transfer",C1063)),"Money In",IF(ISNUMBER(SEARCH("Ziidi",C1063)),"Investment",IF(ISNUMBER(SEARCH("Nabo",C1063)),"Investment",IF(ISNUMBER(SEARCH("Paybill Online",C1063)),"Pay Bill",IF(ISNUMBER(SEARCH("Pay Bill",C1063)),"Pay Bill",IF(ISNUMBER(SEARCH("Spotify",C1063)),"Pay Bill",IF(ISNUMBER(SEARCH("M-Shwari",C1063)),"Mshwari",IF(ISNUMBER(SEARCH("Mshwari",C1063)),"Mshwari",IF(ISNUMBER(SEARCH("Withdrawal charge",C1063)),"Fees",IF(ISNUMBER(SEARCH("Customer Withdrawal",C1063)),"Fees",IF(ISNUMBER(SEARCH("charge",C1063)),"Fees","Other")))))))))))))))))))))))))</f>
        <v>Bundles</v>
      </c>
      <c r="R1063" s="1" t="str">
        <f aca="false">TEXT(B1063,"MMM YYYY")</f>
        <v>Jun 2026</v>
      </c>
    </row>
    <row r="1064" customFormat="false" ht="13.8" hidden="false" customHeight="false" outlineLevel="0" collapsed="false">
      <c r="A1064" s="4" t="s">
        <v>2196</v>
      </c>
      <c r="B1064" s="4" t="s">
        <v>2197</v>
      </c>
      <c r="C1064" s="4" t="s">
        <v>90</v>
      </c>
      <c r="D1064" s="4" t="s">
        <v>18</v>
      </c>
      <c r="E1064" s="4"/>
      <c r="F1064" s="4" t="n">
        <v>10</v>
      </c>
      <c r="G1064" s="4" t="n">
        <v>1220.78</v>
      </c>
      <c r="L1064" s="1" t="str">
        <f aca="false">IF(ISNUMBER(SEARCH("Bundle",C1064)),"Bundles",IF(ISNUMBER(SEARCH("Airtime",C1064)),"Bundles",IF(ISNUMBER(SEARCH("Merchant",C1064)),"Merchant Payment",IF(ISNUMBER(SEARCH("Offnet C2B",C1064)),"Merchant Payment",IF(ISNUMBER(SEARCH("Offnet B2C",C1064)),"Merchant Payment",IF(ISNUMBER(SEARCH("Customer Payment to Small",C1064)),"Merchant Payment",IF(ISNUMBER(SEARCH("Payment to Small Business",C1064)),"Merchant Payment",IF(ISNUMBER(SEARCH("Sent to",C1064)),"Sent to Person",IF(ISNUMBER(SEARCH("Customer Transfer to",C1064)),"Sent to Person",IF(ISNUMBER(SEARCH("Business Payment",C1064)),"Money In",IF(ISNUMBER(SEARCH("Funds Received",C1064)),"Money In",IF(ISNUMBER(SEARCH("Receive International",C1064)),"Money In",IF(ISNUMBER(SEARCH("Send Money Reversal",C1064)),"Money In",IF(ISNUMBER(SEARCH("Pay Utility Reversal",C1064)),"Money In",IF(ISNUMBER(SEARCH("Customer Transfer",C1064)),"Money In",IF(ISNUMBER(SEARCH("Ziidi",C1064)),"Investment",IF(ISNUMBER(SEARCH("Nabo",C1064)),"Investment",IF(ISNUMBER(SEARCH("Paybill Online",C1064)),"Pay Bill",IF(ISNUMBER(SEARCH("Pay Bill",C1064)),"Pay Bill",IF(ISNUMBER(SEARCH("Spotify",C1064)),"Pay Bill",IF(ISNUMBER(SEARCH("M-Shwari",C1064)),"Mshwari",IF(ISNUMBER(SEARCH("Mshwari",C1064)),"Mshwari",IF(ISNUMBER(SEARCH("Withdrawal charge",C1064)),"Fees",IF(ISNUMBER(SEARCH("Customer Withdrawal",C1064)),"Fees",IF(ISNUMBER(SEARCH("charge",C1064)),"Fees","Other")))))))))))))))))))))))))</f>
        <v>Bundles</v>
      </c>
      <c r="R1064" s="1" t="str">
        <f aca="false">TEXT(B1064,"MMM YYYY")</f>
        <v>Jun 2026</v>
      </c>
    </row>
    <row r="1065" customFormat="false" ht="13.8" hidden="false" customHeight="false" outlineLevel="0" collapsed="false">
      <c r="A1065" s="4" t="s">
        <v>2198</v>
      </c>
      <c r="B1065" s="4" t="s">
        <v>2199</v>
      </c>
      <c r="C1065" s="4" t="s">
        <v>90</v>
      </c>
      <c r="D1065" s="4" t="s">
        <v>18</v>
      </c>
      <c r="E1065" s="4"/>
      <c r="F1065" s="4" t="n">
        <v>10</v>
      </c>
      <c r="G1065" s="4" t="n">
        <v>1210.78</v>
      </c>
      <c r="L1065" s="1" t="str">
        <f aca="false">IF(ISNUMBER(SEARCH("Bundle",C1065)),"Bundles",IF(ISNUMBER(SEARCH("Airtime",C1065)),"Bundles",IF(ISNUMBER(SEARCH("Merchant",C1065)),"Merchant Payment",IF(ISNUMBER(SEARCH("Offnet C2B",C1065)),"Merchant Payment",IF(ISNUMBER(SEARCH("Offnet B2C",C1065)),"Merchant Payment",IF(ISNUMBER(SEARCH("Customer Payment to Small",C1065)),"Merchant Payment",IF(ISNUMBER(SEARCH("Payment to Small Business",C1065)),"Merchant Payment",IF(ISNUMBER(SEARCH("Sent to",C1065)),"Sent to Person",IF(ISNUMBER(SEARCH("Customer Transfer to",C1065)),"Sent to Person",IF(ISNUMBER(SEARCH("Business Payment",C1065)),"Money In",IF(ISNUMBER(SEARCH("Funds Received",C1065)),"Money In",IF(ISNUMBER(SEARCH("Receive International",C1065)),"Money In",IF(ISNUMBER(SEARCH("Send Money Reversal",C1065)),"Money In",IF(ISNUMBER(SEARCH("Pay Utility Reversal",C1065)),"Money In",IF(ISNUMBER(SEARCH("Customer Transfer",C1065)),"Money In",IF(ISNUMBER(SEARCH("Ziidi",C1065)),"Investment",IF(ISNUMBER(SEARCH("Nabo",C1065)),"Investment",IF(ISNUMBER(SEARCH("Paybill Online",C1065)),"Pay Bill",IF(ISNUMBER(SEARCH("Pay Bill",C1065)),"Pay Bill",IF(ISNUMBER(SEARCH("Spotify",C1065)),"Pay Bill",IF(ISNUMBER(SEARCH("M-Shwari",C1065)),"Mshwari",IF(ISNUMBER(SEARCH("Mshwari",C1065)),"Mshwari",IF(ISNUMBER(SEARCH("Withdrawal charge",C1065)),"Fees",IF(ISNUMBER(SEARCH("Customer Withdrawal",C1065)),"Fees",IF(ISNUMBER(SEARCH("charge",C1065)),"Fees","Other")))))))))))))))))))))))))</f>
        <v>Bundles</v>
      </c>
      <c r="R1065" s="1" t="str">
        <f aca="false">TEXT(B1065,"MMM YYYY")</f>
        <v>Jun 2026</v>
      </c>
    </row>
    <row r="1066" customFormat="false" ht="13.8" hidden="false" customHeight="false" outlineLevel="0" collapsed="false">
      <c r="A1066" s="4" t="s">
        <v>2200</v>
      </c>
      <c r="B1066" s="4" t="s">
        <v>2201</v>
      </c>
      <c r="C1066" s="4" t="s">
        <v>90</v>
      </c>
      <c r="D1066" s="4" t="s">
        <v>18</v>
      </c>
      <c r="E1066" s="4"/>
      <c r="F1066" s="4" t="n">
        <v>20</v>
      </c>
      <c r="G1066" s="4" t="n">
        <v>1190.78</v>
      </c>
      <c r="L1066" s="1" t="str">
        <f aca="false">IF(ISNUMBER(SEARCH("Bundle",C1066)),"Bundles",IF(ISNUMBER(SEARCH("Airtime",C1066)),"Bundles",IF(ISNUMBER(SEARCH("Merchant",C1066)),"Merchant Payment",IF(ISNUMBER(SEARCH("Offnet C2B",C1066)),"Merchant Payment",IF(ISNUMBER(SEARCH("Offnet B2C",C1066)),"Merchant Payment",IF(ISNUMBER(SEARCH("Customer Payment to Small",C1066)),"Merchant Payment",IF(ISNUMBER(SEARCH("Payment to Small Business",C1066)),"Merchant Payment",IF(ISNUMBER(SEARCH("Sent to",C1066)),"Sent to Person",IF(ISNUMBER(SEARCH("Customer Transfer to",C1066)),"Sent to Person",IF(ISNUMBER(SEARCH("Business Payment",C1066)),"Money In",IF(ISNUMBER(SEARCH("Funds Received",C1066)),"Money In",IF(ISNUMBER(SEARCH("Receive International",C1066)),"Money In",IF(ISNUMBER(SEARCH("Send Money Reversal",C1066)),"Money In",IF(ISNUMBER(SEARCH("Pay Utility Reversal",C1066)),"Money In",IF(ISNUMBER(SEARCH("Customer Transfer",C1066)),"Money In",IF(ISNUMBER(SEARCH("Ziidi",C1066)),"Investment",IF(ISNUMBER(SEARCH("Nabo",C1066)),"Investment",IF(ISNUMBER(SEARCH("Paybill Online",C1066)),"Pay Bill",IF(ISNUMBER(SEARCH("Pay Bill",C1066)),"Pay Bill",IF(ISNUMBER(SEARCH("Spotify",C1066)),"Pay Bill",IF(ISNUMBER(SEARCH("M-Shwari",C1066)),"Mshwari",IF(ISNUMBER(SEARCH("Mshwari",C1066)),"Mshwari",IF(ISNUMBER(SEARCH("Withdrawal charge",C1066)),"Fees",IF(ISNUMBER(SEARCH("Customer Withdrawal",C1066)),"Fees",IF(ISNUMBER(SEARCH("charge",C1066)),"Fees","Other")))))))))))))))))))))))))</f>
        <v>Bundles</v>
      </c>
      <c r="R1066" s="1" t="str">
        <f aca="false">TEXT(B1066,"MMM YYYY")</f>
        <v>Jun 2026</v>
      </c>
    </row>
    <row r="1067" customFormat="false" ht="13.8" hidden="false" customHeight="false" outlineLevel="0" collapsed="false">
      <c r="A1067" s="4" t="s">
        <v>2202</v>
      </c>
      <c r="B1067" s="4" t="s">
        <v>2203</v>
      </c>
      <c r="C1067" s="4" t="s">
        <v>90</v>
      </c>
      <c r="D1067" s="4" t="s">
        <v>18</v>
      </c>
      <c r="E1067" s="4"/>
      <c r="F1067" s="4" t="n">
        <v>25</v>
      </c>
      <c r="G1067" s="4" t="n">
        <v>1165.78</v>
      </c>
      <c r="L1067" s="1" t="str">
        <f aca="false">IF(ISNUMBER(SEARCH("Bundle",C1067)),"Bundles",IF(ISNUMBER(SEARCH("Airtime",C1067)),"Bundles",IF(ISNUMBER(SEARCH("Merchant",C1067)),"Merchant Payment",IF(ISNUMBER(SEARCH("Offnet C2B",C1067)),"Merchant Payment",IF(ISNUMBER(SEARCH("Offnet B2C",C1067)),"Merchant Payment",IF(ISNUMBER(SEARCH("Customer Payment to Small",C1067)),"Merchant Payment",IF(ISNUMBER(SEARCH("Payment to Small Business",C1067)),"Merchant Payment",IF(ISNUMBER(SEARCH("Sent to",C1067)),"Sent to Person",IF(ISNUMBER(SEARCH("Customer Transfer to",C1067)),"Sent to Person",IF(ISNUMBER(SEARCH("Business Payment",C1067)),"Money In",IF(ISNUMBER(SEARCH("Funds Received",C1067)),"Money In",IF(ISNUMBER(SEARCH("Receive International",C1067)),"Money In",IF(ISNUMBER(SEARCH("Send Money Reversal",C1067)),"Money In",IF(ISNUMBER(SEARCH("Pay Utility Reversal",C1067)),"Money In",IF(ISNUMBER(SEARCH("Customer Transfer",C1067)),"Money In",IF(ISNUMBER(SEARCH("Ziidi",C1067)),"Investment",IF(ISNUMBER(SEARCH("Nabo",C1067)),"Investment",IF(ISNUMBER(SEARCH("Paybill Online",C1067)),"Pay Bill",IF(ISNUMBER(SEARCH("Pay Bill",C1067)),"Pay Bill",IF(ISNUMBER(SEARCH("Spotify",C1067)),"Pay Bill",IF(ISNUMBER(SEARCH("M-Shwari",C1067)),"Mshwari",IF(ISNUMBER(SEARCH("Mshwari",C1067)),"Mshwari",IF(ISNUMBER(SEARCH("Withdrawal charge",C1067)),"Fees",IF(ISNUMBER(SEARCH("Customer Withdrawal",C1067)),"Fees",IF(ISNUMBER(SEARCH("charge",C1067)),"Fees","Other")))))))))))))))))))))))))</f>
        <v>Bundles</v>
      </c>
      <c r="R1067" s="1" t="str">
        <f aca="false">TEXT(B1067,"MMM YYYY")</f>
        <v>Jun 2026</v>
      </c>
    </row>
    <row r="1068" customFormat="false" ht="13.8" hidden="false" customHeight="false" outlineLevel="0" collapsed="false">
      <c r="A1068" s="4" t="s">
        <v>2204</v>
      </c>
      <c r="B1068" s="4" t="s">
        <v>2205</v>
      </c>
      <c r="C1068" s="4" t="s">
        <v>90</v>
      </c>
      <c r="D1068" s="4" t="s">
        <v>18</v>
      </c>
      <c r="E1068" s="4"/>
      <c r="F1068" s="4" t="n">
        <v>5</v>
      </c>
      <c r="G1068" s="4" t="n">
        <v>1160.78</v>
      </c>
      <c r="L1068" s="1" t="str">
        <f aca="false">IF(ISNUMBER(SEARCH("Bundle",C1068)),"Bundles",IF(ISNUMBER(SEARCH("Airtime",C1068)),"Bundles",IF(ISNUMBER(SEARCH("Merchant",C1068)),"Merchant Payment",IF(ISNUMBER(SEARCH("Offnet C2B",C1068)),"Merchant Payment",IF(ISNUMBER(SEARCH("Offnet B2C",C1068)),"Merchant Payment",IF(ISNUMBER(SEARCH("Customer Payment to Small",C1068)),"Merchant Payment",IF(ISNUMBER(SEARCH("Payment to Small Business",C1068)),"Merchant Payment",IF(ISNUMBER(SEARCH("Sent to",C1068)),"Sent to Person",IF(ISNUMBER(SEARCH("Customer Transfer to",C1068)),"Sent to Person",IF(ISNUMBER(SEARCH("Business Payment",C1068)),"Money In",IF(ISNUMBER(SEARCH("Funds Received",C1068)),"Money In",IF(ISNUMBER(SEARCH("Receive International",C1068)),"Money In",IF(ISNUMBER(SEARCH("Send Money Reversal",C1068)),"Money In",IF(ISNUMBER(SEARCH("Pay Utility Reversal",C1068)),"Money In",IF(ISNUMBER(SEARCH("Customer Transfer",C1068)),"Money In",IF(ISNUMBER(SEARCH("Ziidi",C1068)),"Investment",IF(ISNUMBER(SEARCH("Nabo",C1068)),"Investment",IF(ISNUMBER(SEARCH("Paybill Online",C1068)),"Pay Bill",IF(ISNUMBER(SEARCH("Pay Bill",C1068)),"Pay Bill",IF(ISNUMBER(SEARCH("Spotify",C1068)),"Pay Bill",IF(ISNUMBER(SEARCH("M-Shwari",C1068)),"Mshwari",IF(ISNUMBER(SEARCH("Mshwari",C1068)),"Mshwari",IF(ISNUMBER(SEARCH("Withdrawal charge",C1068)),"Fees",IF(ISNUMBER(SEARCH("Customer Withdrawal",C1068)),"Fees",IF(ISNUMBER(SEARCH("charge",C1068)),"Fees","Other")))))))))))))))))))))))))</f>
        <v>Bundles</v>
      </c>
      <c r="R1068" s="1" t="str">
        <f aca="false">TEXT(B1068,"MMM YYYY")</f>
        <v>Jun 2026</v>
      </c>
    </row>
    <row r="1069" customFormat="false" ht="13.8" hidden="false" customHeight="false" outlineLevel="0" collapsed="false">
      <c r="A1069" s="4" t="s">
        <v>2206</v>
      </c>
      <c r="B1069" s="4" t="s">
        <v>2207</v>
      </c>
      <c r="C1069" s="4" t="s">
        <v>90</v>
      </c>
      <c r="D1069" s="4" t="s">
        <v>18</v>
      </c>
      <c r="E1069" s="4"/>
      <c r="F1069" s="4" t="n">
        <v>10</v>
      </c>
      <c r="G1069" s="4" t="n">
        <v>1150.78</v>
      </c>
      <c r="L1069" s="1" t="str">
        <f aca="false">IF(ISNUMBER(SEARCH("Bundle",C1069)),"Bundles",IF(ISNUMBER(SEARCH("Airtime",C1069)),"Bundles",IF(ISNUMBER(SEARCH("Merchant",C1069)),"Merchant Payment",IF(ISNUMBER(SEARCH("Offnet C2B",C1069)),"Merchant Payment",IF(ISNUMBER(SEARCH("Offnet B2C",C1069)),"Merchant Payment",IF(ISNUMBER(SEARCH("Customer Payment to Small",C1069)),"Merchant Payment",IF(ISNUMBER(SEARCH("Payment to Small Business",C1069)),"Merchant Payment",IF(ISNUMBER(SEARCH("Sent to",C1069)),"Sent to Person",IF(ISNUMBER(SEARCH("Customer Transfer to",C1069)),"Sent to Person",IF(ISNUMBER(SEARCH("Business Payment",C1069)),"Money In",IF(ISNUMBER(SEARCH("Funds Received",C1069)),"Money In",IF(ISNUMBER(SEARCH("Receive International",C1069)),"Money In",IF(ISNUMBER(SEARCH("Send Money Reversal",C1069)),"Money In",IF(ISNUMBER(SEARCH("Pay Utility Reversal",C1069)),"Money In",IF(ISNUMBER(SEARCH("Customer Transfer",C1069)),"Money In",IF(ISNUMBER(SEARCH("Ziidi",C1069)),"Investment",IF(ISNUMBER(SEARCH("Nabo",C1069)),"Investment",IF(ISNUMBER(SEARCH("Paybill Online",C1069)),"Pay Bill",IF(ISNUMBER(SEARCH("Pay Bill",C1069)),"Pay Bill",IF(ISNUMBER(SEARCH("Spotify",C1069)),"Pay Bill",IF(ISNUMBER(SEARCH("M-Shwari",C1069)),"Mshwari",IF(ISNUMBER(SEARCH("Mshwari",C1069)),"Mshwari",IF(ISNUMBER(SEARCH("Withdrawal charge",C1069)),"Fees",IF(ISNUMBER(SEARCH("Customer Withdrawal",C1069)),"Fees",IF(ISNUMBER(SEARCH("charge",C1069)),"Fees","Other")))))))))))))))))))))))))</f>
        <v>Bundles</v>
      </c>
      <c r="R1069" s="1" t="str">
        <f aca="false">TEXT(B1069,"MMM YYYY")</f>
        <v>Jun 2026</v>
      </c>
    </row>
    <row r="1070" customFormat="false" ht="13.8" hidden="false" customHeight="false" outlineLevel="0" collapsed="false">
      <c r="A1070" s="4" t="s">
        <v>2208</v>
      </c>
      <c r="B1070" s="4" t="s">
        <v>2209</v>
      </c>
      <c r="C1070" s="4" t="s">
        <v>90</v>
      </c>
      <c r="D1070" s="4" t="s">
        <v>18</v>
      </c>
      <c r="E1070" s="4"/>
      <c r="F1070" s="4" t="n">
        <v>10</v>
      </c>
      <c r="G1070" s="4" t="n">
        <v>1140.78</v>
      </c>
      <c r="L1070" s="1" t="str">
        <f aca="false">IF(ISNUMBER(SEARCH("Bundle",C1070)),"Bundles",IF(ISNUMBER(SEARCH("Airtime",C1070)),"Bundles",IF(ISNUMBER(SEARCH("Merchant",C1070)),"Merchant Payment",IF(ISNUMBER(SEARCH("Offnet C2B",C1070)),"Merchant Payment",IF(ISNUMBER(SEARCH("Offnet B2C",C1070)),"Merchant Payment",IF(ISNUMBER(SEARCH("Customer Payment to Small",C1070)),"Merchant Payment",IF(ISNUMBER(SEARCH("Payment to Small Business",C1070)),"Merchant Payment",IF(ISNUMBER(SEARCH("Sent to",C1070)),"Sent to Person",IF(ISNUMBER(SEARCH("Customer Transfer to",C1070)),"Sent to Person",IF(ISNUMBER(SEARCH("Business Payment",C1070)),"Money In",IF(ISNUMBER(SEARCH("Funds Received",C1070)),"Money In",IF(ISNUMBER(SEARCH("Receive International",C1070)),"Money In",IF(ISNUMBER(SEARCH("Send Money Reversal",C1070)),"Money In",IF(ISNUMBER(SEARCH("Pay Utility Reversal",C1070)),"Money In",IF(ISNUMBER(SEARCH("Customer Transfer",C1070)),"Money In",IF(ISNUMBER(SEARCH("Ziidi",C1070)),"Investment",IF(ISNUMBER(SEARCH("Nabo",C1070)),"Investment",IF(ISNUMBER(SEARCH("Paybill Online",C1070)),"Pay Bill",IF(ISNUMBER(SEARCH("Pay Bill",C1070)),"Pay Bill",IF(ISNUMBER(SEARCH("Spotify",C1070)),"Pay Bill",IF(ISNUMBER(SEARCH("M-Shwari",C1070)),"Mshwari",IF(ISNUMBER(SEARCH("Mshwari",C1070)),"Mshwari",IF(ISNUMBER(SEARCH("Withdrawal charge",C1070)),"Fees",IF(ISNUMBER(SEARCH("Customer Withdrawal",C1070)),"Fees",IF(ISNUMBER(SEARCH("charge",C1070)),"Fees","Other")))))))))))))))))))))))))</f>
        <v>Bundles</v>
      </c>
      <c r="R1070" s="1" t="str">
        <f aca="false">TEXT(B1070,"MMM YYYY")</f>
        <v>Jun 2026</v>
      </c>
    </row>
    <row r="1071" customFormat="false" ht="13.8" hidden="false" customHeight="false" outlineLevel="0" collapsed="false">
      <c r="A1071" s="4" t="s">
        <v>2210</v>
      </c>
      <c r="B1071" s="4" t="s">
        <v>2211</v>
      </c>
      <c r="C1071" s="4" t="s">
        <v>90</v>
      </c>
      <c r="D1071" s="4" t="s">
        <v>18</v>
      </c>
      <c r="E1071" s="4"/>
      <c r="F1071" s="4" t="n">
        <v>10</v>
      </c>
      <c r="G1071" s="4" t="n">
        <v>1130.78</v>
      </c>
      <c r="L1071" s="1" t="str">
        <f aca="false">IF(ISNUMBER(SEARCH("Bundle",C1071)),"Bundles",IF(ISNUMBER(SEARCH("Airtime",C1071)),"Bundles",IF(ISNUMBER(SEARCH("Merchant",C1071)),"Merchant Payment",IF(ISNUMBER(SEARCH("Offnet C2B",C1071)),"Merchant Payment",IF(ISNUMBER(SEARCH("Offnet B2C",C1071)),"Merchant Payment",IF(ISNUMBER(SEARCH("Customer Payment to Small",C1071)),"Merchant Payment",IF(ISNUMBER(SEARCH("Payment to Small Business",C1071)),"Merchant Payment",IF(ISNUMBER(SEARCH("Sent to",C1071)),"Sent to Person",IF(ISNUMBER(SEARCH("Customer Transfer to",C1071)),"Sent to Person",IF(ISNUMBER(SEARCH("Business Payment",C1071)),"Money In",IF(ISNUMBER(SEARCH("Funds Received",C1071)),"Money In",IF(ISNUMBER(SEARCH("Receive International",C1071)),"Money In",IF(ISNUMBER(SEARCH("Send Money Reversal",C1071)),"Money In",IF(ISNUMBER(SEARCH("Pay Utility Reversal",C1071)),"Money In",IF(ISNUMBER(SEARCH("Customer Transfer",C1071)),"Money In",IF(ISNUMBER(SEARCH("Ziidi",C1071)),"Investment",IF(ISNUMBER(SEARCH("Nabo",C1071)),"Investment",IF(ISNUMBER(SEARCH("Paybill Online",C1071)),"Pay Bill",IF(ISNUMBER(SEARCH("Pay Bill",C1071)),"Pay Bill",IF(ISNUMBER(SEARCH("Spotify",C1071)),"Pay Bill",IF(ISNUMBER(SEARCH("M-Shwari",C1071)),"Mshwari",IF(ISNUMBER(SEARCH("Mshwari",C1071)),"Mshwari",IF(ISNUMBER(SEARCH("Withdrawal charge",C1071)),"Fees",IF(ISNUMBER(SEARCH("Customer Withdrawal",C1071)),"Fees",IF(ISNUMBER(SEARCH("charge",C1071)),"Fees","Other")))))))))))))))))))))))))</f>
        <v>Bundles</v>
      </c>
      <c r="R1071" s="1" t="str">
        <f aca="false">TEXT(B1071,"MMM YYYY")</f>
        <v>Jun 2026</v>
      </c>
    </row>
    <row r="1072" customFormat="false" ht="13.8" hidden="false" customHeight="false" outlineLevel="0" collapsed="false">
      <c r="A1072" s="4" t="s">
        <v>2212</v>
      </c>
      <c r="B1072" s="4" t="s">
        <v>2213</v>
      </c>
      <c r="C1072" s="4" t="s">
        <v>2214</v>
      </c>
      <c r="D1072" s="4" t="s">
        <v>18</v>
      </c>
      <c r="E1072" s="4"/>
      <c r="F1072" s="4" t="n">
        <v>229</v>
      </c>
      <c r="G1072" s="4" t="n">
        <v>901.78</v>
      </c>
      <c r="L1072" s="1" t="str">
        <f aca="false">IF(ISNUMBER(SEARCH("Bundle",C1072)),"Bundles",IF(ISNUMBER(SEARCH("Airtime",C1072)),"Bundles",IF(ISNUMBER(SEARCH("Merchant",C1072)),"Merchant Payment",IF(ISNUMBER(SEARCH("Offnet C2B",C1072)),"Merchant Payment",IF(ISNUMBER(SEARCH("Offnet B2C",C1072)),"Merchant Payment",IF(ISNUMBER(SEARCH("Customer Payment to Small",C1072)),"Merchant Payment",IF(ISNUMBER(SEARCH("Payment to Small Business",C1072)),"Merchant Payment",IF(ISNUMBER(SEARCH("Sent to",C1072)),"Sent to Person",IF(ISNUMBER(SEARCH("Customer Transfer to",C1072)),"Sent to Person",IF(ISNUMBER(SEARCH("Business Payment",C1072)),"Money In",IF(ISNUMBER(SEARCH("Funds Received",C1072)),"Money In",IF(ISNUMBER(SEARCH("Receive International",C1072)),"Money In",IF(ISNUMBER(SEARCH("Send Money Reversal",C1072)),"Money In",IF(ISNUMBER(SEARCH("Pay Utility Reversal",C1072)),"Money In",IF(ISNUMBER(SEARCH("Customer Transfer",C1072)),"Money In",IF(ISNUMBER(SEARCH("Ziidi",C1072)),"Investment",IF(ISNUMBER(SEARCH("Nabo",C1072)),"Investment",IF(ISNUMBER(SEARCH("Paybill Online",C1072)),"Pay Bill",IF(ISNUMBER(SEARCH("Pay Bill",C1072)),"Pay Bill",IF(ISNUMBER(SEARCH("Spotify",C1072)),"Pay Bill",IF(ISNUMBER(SEARCH("M-Shwari",C1072)),"Mshwari",IF(ISNUMBER(SEARCH("Mshwari",C1072)),"Mshwari",IF(ISNUMBER(SEARCH("Withdrawal charge",C1072)),"Fees",IF(ISNUMBER(SEARCH("Customer Withdrawal",C1072)),"Fees",IF(ISNUMBER(SEARCH("charge",C1072)),"Fees","Other")))))))))))))))))))))))))</f>
        <v>Pay Bill</v>
      </c>
      <c r="R1072" s="1" t="str">
        <f aca="false">TEXT(B1072,"MMM YYYY")</f>
        <v>Jun 2026</v>
      </c>
    </row>
    <row r="1073" customFormat="false" ht="13.8" hidden="false" customHeight="false" outlineLevel="0" collapsed="false">
      <c r="A1073" s="4" t="s">
        <v>2215</v>
      </c>
      <c r="B1073" s="4" t="s">
        <v>2216</v>
      </c>
      <c r="C1073" s="4" t="s">
        <v>90</v>
      </c>
      <c r="D1073" s="4" t="s">
        <v>18</v>
      </c>
      <c r="E1073" s="4"/>
      <c r="F1073" s="4" t="n">
        <v>10</v>
      </c>
      <c r="G1073" s="4" t="n">
        <v>891.78</v>
      </c>
      <c r="L1073" s="1" t="str">
        <f aca="false">IF(ISNUMBER(SEARCH("Bundle",C1073)),"Bundles",IF(ISNUMBER(SEARCH("Airtime",C1073)),"Bundles",IF(ISNUMBER(SEARCH("Merchant",C1073)),"Merchant Payment",IF(ISNUMBER(SEARCH("Offnet C2B",C1073)),"Merchant Payment",IF(ISNUMBER(SEARCH("Offnet B2C",C1073)),"Merchant Payment",IF(ISNUMBER(SEARCH("Customer Payment to Small",C1073)),"Merchant Payment",IF(ISNUMBER(SEARCH("Payment to Small Business",C1073)),"Merchant Payment",IF(ISNUMBER(SEARCH("Sent to",C1073)),"Sent to Person",IF(ISNUMBER(SEARCH("Customer Transfer to",C1073)),"Sent to Person",IF(ISNUMBER(SEARCH("Business Payment",C1073)),"Money In",IF(ISNUMBER(SEARCH("Funds Received",C1073)),"Money In",IF(ISNUMBER(SEARCH("Receive International",C1073)),"Money In",IF(ISNUMBER(SEARCH("Send Money Reversal",C1073)),"Money In",IF(ISNUMBER(SEARCH("Pay Utility Reversal",C1073)),"Money In",IF(ISNUMBER(SEARCH("Customer Transfer",C1073)),"Money In",IF(ISNUMBER(SEARCH("Ziidi",C1073)),"Investment",IF(ISNUMBER(SEARCH("Nabo",C1073)),"Investment",IF(ISNUMBER(SEARCH("Paybill Online",C1073)),"Pay Bill",IF(ISNUMBER(SEARCH("Pay Bill",C1073)),"Pay Bill",IF(ISNUMBER(SEARCH("Spotify",C1073)),"Pay Bill",IF(ISNUMBER(SEARCH("M-Shwari",C1073)),"Mshwari",IF(ISNUMBER(SEARCH("Mshwari",C1073)),"Mshwari",IF(ISNUMBER(SEARCH("Withdrawal charge",C1073)),"Fees",IF(ISNUMBER(SEARCH("Customer Withdrawal",C1073)),"Fees",IF(ISNUMBER(SEARCH("charge",C1073)),"Fees","Other")))))))))))))))))))))))))</f>
        <v>Bundles</v>
      </c>
      <c r="R1073" s="1" t="str">
        <f aca="false">TEXT(B1073,"MMM YYYY")</f>
        <v>Jun 2026</v>
      </c>
    </row>
    <row r="1074" customFormat="false" ht="13.8" hidden="false" customHeight="false" outlineLevel="0" collapsed="false">
      <c r="A1074" s="4" t="s">
        <v>2217</v>
      </c>
      <c r="B1074" s="4" t="s">
        <v>2218</v>
      </c>
      <c r="C1074" s="4" t="s">
        <v>90</v>
      </c>
      <c r="D1074" s="4" t="s">
        <v>18</v>
      </c>
      <c r="E1074" s="4"/>
      <c r="F1074" s="4" t="n">
        <v>20</v>
      </c>
      <c r="G1074" s="4" t="n">
        <v>871.78</v>
      </c>
      <c r="L1074" s="1" t="str">
        <f aca="false">IF(ISNUMBER(SEARCH("Bundle",C1074)),"Bundles",IF(ISNUMBER(SEARCH("Airtime",C1074)),"Bundles",IF(ISNUMBER(SEARCH("Merchant",C1074)),"Merchant Payment",IF(ISNUMBER(SEARCH("Offnet C2B",C1074)),"Merchant Payment",IF(ISNUMBER(SEARCH("Offnet B2C",C1074)),"Merchant Payment",IF(ISNUMBER(SEARCH("Customer Payment to Small",C1074)),"Merchant Payment",IF(ISNUMBER(SEARCH("Payment to Small Business",C1074)),"Merchant Payment",IF(ISNUMBER(SEARCH("Sent to",C1074)),"Sent to Person",IF(ISNUMBER(SEARCH("Customer Transfer to",C1074)),"Sent to Person",IF(ISNUMBER(SEARCH("Business Payment",C1074)),"Money In",IF(ISNUMBER(SEARCH("Funds Received",C1074)),"Money In",IF(ISNUMBER(SEARCH("Receive International",C1074)),"Money In",IF(ISNUMBER(SEARCH("Send Money Reversal",C1074)),"Money In",IF(ISNUMBER(SEARCH("Pay Utility Reversal",C1074)),"Money In",IF(ISNUMBER(SEARCH("Customer Transfer",C1074)),"Money In",IF(ISNUMBER(SEARCH("Ziidi",C1074)),"Investment",IF(ISNUMBER(SEARCH("Nabo",C1074)),"Investment",IF(ISNUMBER(SEARCH("Paybill Online",C1074)),"Pay Bill",IF(ISNUMBER(SEARCH("Pay Bill",C1074)),"Pay Bill",IF(ISNUMBER(SEARCH("Spotify",C1074)),"Pay Bill",IF(ISNUMBER(SEARCH("M-Shwari",C1074)),"Mshwari",IF(ISNUMBER(SEARCH("Mshwari",C1074)),"Mshwari",IF(ISNUMBER(SEARCH("Withdrawal charge",C1074)),"Fees",IF(ISNUMBER(SEARCH("Customer Withdrawal",C1074)),"Fees",IF(ISNUMBER(SEARCH("charge",C1074)),"Fees","Other")))))))))))))))))))))))))</f>
        <v>Bundles</v>
      </c>
      <c r="R1074" s="1" t="str">
        <f aca="false">TEXT(B1074,"MMM YYYY")</f>
        <v>Jun 2026</v>
      </c>
    </row>
    <row r="1075" customFormat="false" ht="13.8" hidden="false" customHeight="false" outlineLevel="0" collapsed="false">
      <c r="A1075" s="4" t="s">
        <v>2219</v>
      </c>
      <c r="B1075" s="4" t="s">
        <v>2220</v>
      </c>
      <c r="C1075" s="4" t="s">
        <v>90</v>
      </c>
      <c r="D1075" s="4" t="s">
        <v>18</v>
      </c>
      <c r="E1075" s="4"/>
      <c r="F1075" s="4" t="n">
        <v>10</v>
      </c>
      <c r="G1075" s="4" t="n">
        <v>861.78</v>
      </c>
      <c r="L1075" s="1" t="str">
        <f aca="false">IF(ISNUMBER(SEARCH("Bundle",C1075)),"Bundles",IF(ISNUMBER(SEARCH("Airtime",C1075)),"Bundles",IF(ISNUMBER(SEARCH("Merchant",C1075)),"Merchant Payment",IF(ISNUMBER(SEARCH("Offnet C2B",C1075)),"Merchant Payment",IF(ISNUMBER(SEARCH("Offnet B2C",C1075)),"Merchant Payment",IF(ISNUMBER(SEARCH("Customer Payment to Small",C1075)),"Merchant Payment",IF(ISNUMBER(SEARCH("Payment to Small Business",C1075)),"Merchant Payment",IF(ISNUMBER(SEARCH("Sent to",C1075)),"Sent to Person",IF(ISNUMBER(SEARCH("Customer Transfer to",C1075)),"Sent to Person",IF(ISNUMBER(SEARCH("Business Payment",C1075)),"Money In",IF(ISNUMBER(SEARCH("Funds Received",C1075)),"Money In",IF(ISNUMBER(SEARCH("Receive International",C1075)),"Money In",IF(ISNUMBER(SEARCH("Send Money Reversal",C1075)),"Money In",IF(ISNUMBER(SEARCH("Pay Utility Reversal",C1075)),"Money In",IF(ISNUMBER(SEARCH("Customer Transfer",C1075)),"Money In",IF(ISNUMBER(SEARCH("Ziidi",C1075)),"Investment",IF(ISNUMBER(SEARCH("Nabo",C1075)),"Investment",IF(ISNUMBER(SEARCH("Paybill Online",C1075)),"Pay Bill",IF(ISNUMBER(SEARCH("Pay Bill",C1075)),"Pay Bill",IF(ISNUMBER(SEARCH("Spotify",C1075)),"Pay Bill",IF(ISNUMBER(SEARCH("M-Shwari",C1075)),"Mshwari",IF(ISNUMBER(SEARCH("Mshwari",C1075)),"Mshwari",IF(ISNUMBER(SEARCH("Withdrawal charge",C1075)),"Fees",IF(ISNUMBER(SEARCH("Customer Withdrawal",C1075)),"Fees",IF(ISNUMBER(SEARCH("charge",C1075)),"Fees","Other")))))))))))))))))))))))))</f>
        <v>Bundles</v>
      </c>
      <c r="R1075" s="1" t="str">
        <f aca="false">TEXT(B1075,"MMM YYYY")</f>
        <v>Jun 2026</v>
      </c>
    </row>
    <row r="1076" customFormat="false" ht="13.8" hidden="false" customHeight="false" outlineLevel="0" collapsed="false">
      <c r="A1076" s="4" t="s">
        <v>2221</v>
      </c>
      <c r="B1076" s="4" t="s">
        <v>2222</v>
      </c>
      <c r="C1076" s="4" t="s">
        <v>90</v>
      </c>
      <c r="D1076" s="4" t="s">
        <v>18</v>
      </c>
      <c r="E1076" s="4"/>
      <c r="F1076" s="4" t="n">
        <v>10</v>
      </c>
      <c r="G1076" s="4" t="n">
        <v>851.78</v>
      </c>
      <c r="L1076" s="1" t="str">
        <f aca="false">IF(ISNUMBER(SEARCH("Bundle",C1076)),"Bundles",IF(ISNUMBER(SEARCH("Airtime",C1076)),"Bundles",IF(ISNUMBER(SEARCH("Merchant",C1076)),"Merchant Payment",IF(ISNUMBER(SEARCH("Offnet C2B",C1076)),"Merchant Payment",IF(ISNUMBER(SEARCH("Offnet B2C",C1076)),"Merchant Payment",IF(ISNUMBER(SEARCH("Customer Payment to Small",C1076)),"Merchant Payment",IF(ISNUMBER(SEARCH("Payment to Small Business",C1076)),"Merchant Payment",IF(ISNUMBER(SEARCH("Sent to",C1076)),"Sent to Person",IF(ISNUMBER(SEARCH("Customer Transfer to",C1076)),"Sent to Person",IF(ISNUMBER(SEARCH("Business Payment",C1076)),"Money In",IF(ISNUMBER(SEARCH("Funds Received",C1076)),"Money In",IF(ISNUMBER(SEARCH("Receive International",C1076)),"Money In",IF(ISNUMBER(SEARCH("Send Money Reversal",C1076)),"Money In",IF(ISNUMBER(SEARCH("Pay Utility Reversal",C1076)),"Money In",IF(ISNUMBER(SEARCH("Customer Transfer",C1076)),"Money In",IF(ISNUMBER(SEARCH("Ziidi",C1076)),"Investment",IF(ISNUMBER(SEARCH("Nabo",C1076)),"Investment",IF(ISNUMBER(SEARCH("Paybill Online",C1076)),"Pay Bill",IF(ISNUMBER(SEARCH("Pay Bill",C1076)),"Pay Bill",IF(ISNUMBER(SEARCH("Spotify",C1076)),"Pay Bill",IF(ISNUMBER(SEARCH("M-Shwari",C1076)),"Mshwari",IF(ISNUMBER(SEARCH("Mshwari",C1076)),"Mshwari",IF(ISNUMBER(SEARCH("Withdrawal charge",C1076)),"Fees",IF(ISNUMBER(SEARCH("Customer Withdrawal",C1076)),"Fees",IF(ISNUMBER(SEARCH("charge",C1076)),"Fees","Other")))))))))))))))))))))))))</f>
        <v>Bundles</v>
      </c>
      <c r="R1076" s="1" t="str">
        <f aca="false">TEXT(B1076,"MMM YYYY")</f>
        <v>Jun 2026</v>
      </c>
    </row>
    <row r="1077" customFormat="false" ht="13.8" hidden="false" customHeight="false" outlineLevel="0" collapsed="false">
      <c r="A1077" s="4" t="s">
        <v>2223</v>
      </c>
      <c r="B1077" s="4" t="s">
        <v>2224</v>
      </c>
      <c r="C1077" s="4" t="s">
        <v>90</v>
      </c>
      <c r="D1077" s="4" t="s">
        <v>18</v>
      </c>
      <c r="E1077" s="4"/>
      <c r="F1077" s="4" t="n">
        <v>10</v>
      </c>
      <c r="G1077" s="4" t="n">
        <v>841.78</v>
      </c>
      <c r="L1077" s="1" t="str">
        <f aca="false">IF(ISNUMBER(SEARCH("Bundle",C1077)),"Bundles",IF(ISNUMBER(SEARCH("Airtime",C1077)),"Bundles",IF(ISNUMBER(SEARCH("Merchant",C1077)),"Merchant Payment",IF(ISNUMBER(SEARCH("Offnet C2B",C1077)),"Merchant Payment",IF(ISNUMBER(SEARCH("Offnet B2C",C1077)),"Merchant Payment",IF(ISNUMBER(SEARCH("Customer Payment to Small",C1077)),"Merchant Payment",IF(ISNUMBER(SEARCH("Payment to Small Business",C1077)),"Merchant Payment",IF(ISNUMBER(SEARCH("Sent to",C1077)),"Sent to Person",IF(ISNUMBER(SEARCH("Customer Transfer to",C1077)),"Sent to Person",IF(ISNUMBER(SEARCH("Business Payment",C1077)),"Money In",IF(ISNUMBER(SEARCH("Funds Received",C1077)),"Money In",IF(ISNUMBER(SEARCH("Receive International",C1077)),"Money In",IF(ISNUMBER(SEARCH("Send Money Reversal",C1077)),"Money In",IF(ISNUMBER(SEARCH("Pay Utility Reversal",C1077)),"Money In",IF(ISNUMBER(SEARCH("Customer Transfer",C1077)),"Money In",IF(ISNUMBER(SEARCH("Ziidi",C1077)),"Investment",IF(ISNUMBER(SEARCH("Nabo",C1077)),"Investment",IF(ISNUMBER(SEARCH("Paybill Online",C1077)),"Pay Bill",IF(ISNUMBER(SEARCH("Pay Bill",C1077)),"Pay Bill",IF(ISNUMBER(SEARCH("Spotify",C1077)),"Pay Bill",IF(ISNUMBER(SEARCH("M-Shwari",C1077)),"Mshwari",IF(ISNUMBER(SEARCH("Mshwari",C1077)),"Mshwari",IF(ISNUMBER(SEARCH("Withdrawal charge",C1077)),"Fees",IF(ISNUMBER(SEARCH("Customer Withdrawal",C1077)),"Fees",IF(ISNUMBER(SEARCH("charge",C1077)),"Fees","Other")))))))))))))))))))))))))</f>
        <v>Bundles</v>
      </c>
      <c r="R1077" s="1" t="str">
        <f aca="false">TEXT(B1077,"MMM YYYY")</f>
        <v>Jun 2026</v>
      </c>
    </row>
    <row r="1078" customFormat="false" ht="13.8" hidden="false" customHeight="false" outlineLevel="0" collapsed="false">
      <c r="A1078" s="4" t="s">
        <v>2225</v>
      </c>
      <c r="B1078" s="4" t="s">
        <v>2226</v>
      </c>
      <c r="C1078" s="4" t="s">
        <v>90</v>
      </c>
      <c r="D1078" s="4" t="s">
        <v>18</v>
      </c>
      <c r="E1078" s="4"/>
      <c r="F1078" s="4" t="n">
        <v>10</v>
      </c>
      <c r="G1078" s="4" t="n">
        <v>831.78</v>
      </c>
      <c r="L1078" s="1" t="str">
        <f aca="false">IF(ISNUMBER(SEARCH("Bundle",C1078)),"Bundles",IF(ISNUMBER(SEARCH("Airtime",C1078)),"Bundles",IF(ISNUMBER(SEARCH("Merchant",C1078)),"Merchant Payment",IF(ISNUMBER(SEARCH("Offnet C2B",C1078)),"Merchant Payment",IF(ISNUMBER(SEARCH("Offnet B2C",C1078)),"Merchant Payment",IF(ISNUMBER(SEARCH("Customer Payment to Small",C1078)),"Merchant Payment",IF(ISNUMBER(SEARCH("Payment to Small Business",C1078)),"Merchant Payment",IF(ISNUMBER(SEARCH("Sent to",C1078)),"Sent to Person",IF(ISNUMBER(SEARCH("Customer Transfer to",C1078)),"Sent to Person",IF(ISNUMBER(SEARCH("Business Payment",C1078)),"Money In",IF(ISNUMBER(SEARCH("Funds Received",C1078)),"Money In",IF(ISNUMBER(SEARCH("Receive International",C1078)),"Money In",IF(ISNUMBER(SEARCH("Send Money Reversal",C1078)),"Money In",IF(ISNUMBER(SEARCH("Pay Utility Reversal",C1078)),"Money In",IF(ISNUMBER(SEARCH("Customer Transfer",C1078)),"Money In",IF(ISNUMBER(SEARCH("Ziidi",C1078)),"Investment",IF(ISNUMBER(SEARCH("Nabo",C1078)),"Investment",IF(ISNUMBER(SEARCH("Paybill Online",C1078)),"Pay Bill",IF(ISNUMBER(SEARCH("Pay Bill",C1078)),"Pay Bill",IF(ISNUMBER(SEARCH("Spotify",C1078)),"Pay Bill",IF(ISNUMBER(SEARCH("M-Shwari",C1078)),"Mshwari",IF(ISNUMBER(SEARCH("Mshwari",C1078)),"Mshwari",IF(ISNUMBER(SEARCH("Withdrawal charge",C1078)),"Fees",IF(ISNUMBER(SEARCH("Customer Withdrawal",C1078)),"Fees",IF(ISNUMBER(SEARCH("charge",C1078)),"Fees","Other")))))))))))))))))))))))))</f>
        <v>Bundles</v>
      </c>
      <c r="R1078" s="1" t="str">
        <f aca="false">TEXT(B1078,"MMM YYYY")</f>
        <v>Jun 2026</v>
      </c>
    </row>
    <row r="1079" customFormat="false" ht="13.8" hidden="false" customHeight="false" outlineLevel="0" collapsed="false">
      <c r="A1079" s="4" t="s">
        <v>2227</v>
      </c>
      <c r="B1079" s="4" t="s">
        <v>2228</v>
      </c>
      <c r="C1079" s="4" t="s">
        <v>90</v>
      </c>
      <c r="D1079" s="4" t="s">
        <v>18</v>
      </c>
      <c r="E1079" s="4"/>
      <c r="F1079" s="4" t="n">
        <v>10</v>
      </c>
      <c r="G1079" s="4" t="n">
        <v>821.78</v>
      </c>
      <c r="L1079" s="1" t="str">
        <f aca="false">IF(ISNUMBER(SEARCH("Bundle",C1079)),"Bundles",IF(ISNUMBER(SEARCH("Airtime",C1079)),"Bundles",IF(ISNUMBER(SEARCH("Merchant",C1079)),"Merchant Payment",IF(ISNUMBER(SEARCH("Offnet C2B",C1079)),"Merchant Payment",IF(ISNUMBER(SEARCH("Offnet B2C",C1079)),"Merchant Payment",IF(ISNUMBER(SEARCH("Customer Payment to Small",C1079)),"Merchant Payment",IF(ISNUMBER(SEARCH("Payment to Small Business",C1079)),"Merchant Payment",IF(ISNUMBER(SEARCH("Sent to",C1079)),"Sent to Person",IF(ISNUMBER(SEARCH("Customer Transfer to",C1079)),"Sent to Person",IF(ISNUMBER(SEARCH("Business Payment",C1079)),"Money In",IF(ISNUMBER(SEARCH("Funds Received",C1079)),"Money In",IF(ISNUMBER(SEARCH("Receive International",C1079)),"Money In",IF(ISNUMBER(SEARCH("Send Money Reversal",C1079)),"Money In",IF(ISNUMBER(SEARCH("Pay Utility Reversal",C1079)),"Money In",IF(ISNUMBER(SEARCH("Customer Transfer",C1079)),"Money In",IF(ISNUMBER(SEARCH("Ziidi",C1079)),"Investment",IF(ISNUMBER(SEARCH("Nabo",C1079)),"Investment",IF(ISNUMBER(SEARCH("Paybill Online",C1079)),"Pay Bill",IF(ISNUMBER(SEARCH("Pay Bill",C1079)),"Pay Bill",IF(ISNUMBER(SEARCH("Spotify",C1079)),"Pay Bill",IF(ISNUMBER(SEARCH("M-Shwari",C1079)),"Mshwari",IF(ISNUMBER(SEARCH("Mshwari",C1079)),"Mshwari",IF(ISNUMBER(SEARCH("Withdrawal charge",C1079)),"Fees",IF(ISNUMBER(SEARCH("Customer Withdrawal",C1079)),"Fees",IF(ISNUMBER(SEARCH("charge",C1079)),"Fees","Other")))))))))))))))))))))))))</f>
        <v>Bundles</v>
      </c>
      <c r="R1079" s="1" t="str">
        <f aca="false">TEXT(B1079,"MMM YYYY")</f>
        <v>Jun 2026</v>
      </c>
    </row>
    <row r="1080" customFormat="false" ht="13.8" hidden="false" customHeight="false" outlineLevel="0" collapsed="false">
      <c r="A1080" s="4" t="s">
        <v>2229</v>
      </c>
      <c r="B1080" s="4" t="s">
        <v>2230</v>
      </c>
      <c r="C1080" s="4" t="s">
        <v>90</v>
      </c>
      <c r="D1080" s="4" t="s">
        <v>18</v>
      </c>
      <c r="E1080" s="4"/>
      <c r="F1080" s="4" t="n">
        <v>10</v>
      </c>
      <c r="G1080" s="4" t="n">
        <v>811.78</v>
      </c>
      <c r="L1080" s="1" t="str">
        <f aca="false">IF(ISNUMBER(SEARCH("Bundle",C1080)),"Bundles",IF(ISNUMBER(SEARCH("Airtime",C1080)),"Bundles",IF(ISNUMBER(SEARCH("Merchant",C1080)),"Merchant Payment",IF(ISNUMBER(SEARCH("Offnet C2B",C1080)),"Merchant Payment",IF(ISNUMBER(SEARCH("Offnet B2C",C1080)),"Merchant Payment",IF(ISNUMBER(SEARCH("Customer Payment to Small",C1080)),"Merchant Payment",IF(ISNUMBER(SEARCH("Payment to Small Business",C1080)),"Merchant Payment",IF(ISNUMBER(SEARCH("Sent to",C1080)),"Sent to Person",IF(ISNUMBER(SEARCH("Customer Transfer to",C1080)),"Sent to Person",IF(ISNUMBER(SEARCH("Business Payment",C1080)),"Money In",IF(ISNUMBER(SEARCH("Funds Received",C1080)),"Money In",IF(ISNUMBER(SEARCH("Receive International",C1080)),"Money In",IF(ISNUMBER(SEARCH("Send Money Reversal",C1080)),"Money In",IF(ISNUMBER(SEARCH("Pay Utility Reversal",C1080)),"Money In",IF(ISNUMBER(SEARCH("Customer Transfer",C1080)),"Money In",IF(ISNUMBER(SEARCH("Ziidi",C1080)),"Investment",IF(ISNUMBER(SEARCH("Nabo",C1080)),"Investment",IF(ISNUMBER(SEARCH("Paybill Online",C1080)),"Pay Bill",IF(ISNUMBER(SEARCH("Pay Bill",C1080)),"Pay Bill",IF(ISNUMBER(SEARCH("Spotify",C1080)),"Pay Bill",IF(ISNUMBER(SEARCH("M-Shwari",C1080)),"Mshwari",IF(ISNUMBER(SEARCH("Mshwari",C1080)),"Mshwari",IF(ISNUMBER(SEARCH("Withdrawal charge",C1080)),"Fees",IF(ISNUMBER(SEARCH("Customer Withdrawal",C1080)),"Fees",IF(ISNUMBER(SEARCH("charge",C1080)),"Fees","Other")))))))))))))))))))))))))</f>
        <v>Bundles</v>
      </c>
      <c r="R1080" s="1" t="str">
        <f aca="false">TEXT(B1080,"MMM YYYY")</f>
        <v>Jun 2026</v>
      </c>
    </row>
    <row r="1081" customFormat="false" ht="13.8" hidden="false" customHeight="false" outlineLevel="0" collapsed="false">
      <c r="A1081" s="4" t="s">
        <v>2231</v>
      </c>
      <c r="B1081" s="4" t="s">
        <v>2232</v>
      </c>
      <c r="C1081" s="4" t="s">
        <v>90</v>
      </c>
      <c r="D1081" s="4" t="s">
        <v>18</v>
      </c>
      <c r="E1081" s="4"/>
      <c r="F1081" s="4" t="n">
        <v>10</v>
      </c>
      <c r="G1081" s="4" t="n">
        <v>801.78</v>
      </c>
      <c r="L1081" s="1" t="str">
        <f aca="false">IF(ISNUMBER(SEARCH("Bundle",C1081)),"Bundles",IF(ISNUMBER(SEARCH("Airtime",C1081)),"Bundles",IF(ISNUMBER(SEARCH("Merchant",C1081)),"Merchant Payment",IF(ISNUMBER(SEARCH("Offnet C2B",C1081)),"Merchant Payment",IF(ISNUMBER(SEARCH("Offnet B2C",C1081)),"Merchant Payment",IF(ISNUMBER(SEARCH("Customer Payment to Small",C1081)),"Merchant Payment",IF(ISNUMBER(SEARCH("Payment to Small Business",C1081)),"Merchant Payment",IF(ISNUMBER(SEARCH("Sent to",C1081)),"Sent to Person",IF(ISNUMBER(SEARCH("Customer Transfer to",C1081)),"Sent to Person",IF(ISNUMBER(SEARCH("Business Payment",C1081)),"Money In",IF(ISNUMBER(SEARCH("Funds Received",C1081)),"Money In",IF(ISNUMBER(SEARCH("Receive International",C1081)),"Money In",IF(ISNUMBER(SEARCH("Send Money Reversal",C1081)),"Money In",IF(ISNUMBER(SEARCH("Pay Utility Reversal",C1081)),"Money In",IF(ISNUMBER(SEARCH("Customer Transfer",C1081)),"Money In",IF(ISNUMBER(SEARCH("Ziidi",C1081)),"Investment",IF(ISNUMBER(SEARCH("Nabo",C1081)),"Investment",IF(ISNUMBER(SEARCH("Paybill Online",C1081)),"Pay Bill",IF(ISNUMBER(SEARCH("Pay Bill",C1081)),"Pay Bill",IF(ISNUMBER(SEARCH("Spotify",C1081)),"Pay Bill",IF(ISNUMBER(SEARCH("M-Shwari",C1081)),"Mshwari",IF(ISNUMBER(SEARCH("Mshwari",C1081)),"Mshwari",IF(ISNUMBER(SEARCH("Withdrawal charge",C1081)),"Fees",IF(ISNUMBER(SEARCH("Customer Withdrawal",C1081)),"Fees",IF(ISNUMBER(SEARCH("charge",C1081)),"Fees","Other")))))))))))))))))))))))))</f>
        <v>Bundles</v>
      </c>
      <c r="R1081" s="1" t="str">
        <f aca="false">TEXT(B1081,"MMM YYYY")</f>
        <v>Jun 2026</v>
      </c>
    </row>
    <row r="1082" customFormat="false" ht="13.8" hidden="false" customHeight="false" outlineLevel="0" collapsed="false">
      <c r="A1082" s="4" t="s">
        <v>2233</v>
      </c>
      <c r="B1082" s="4" t="s">
        <v>2234</v>
      </c>
      <c r="C1082" s="4" t="s">
        <v>90</v>
      </c>
      <c r="D1082" s="4" t="s">
        <v>18</v>
      </c>
      <c r="E1082" s="4"/>
      <c r="F1082" s="4" t="n">
        <v>10</v>
      </c>
      <c r="G1082" s="4" t="n">
        <v>791.78</v>
      </c>
      <c r="L1082" s="1" t="str">
        <f aca="false">IF(ISNUMBER(SEARCH("Bundle",C1082)),"Bundles",IF(ISNUMBER(SEARCH("Airtime",C1082)),"Bundles",IF(ISNUMBER(SEARCH("Merchant",C1082)),"Merchant Payment",IF(ISNUMBER(SEARCH("Offnet C2B",C1082)),"Merchant Payment",IF(ISNUMBER(SEARCH("Offnet B2C",C1082)),"Merchant Payment",IF(ISNUMBER(SEARCH("Customer Payment to Small",C1082)),"Merchant Payment",IF(ISNUMBER(SEARCH("Payment to Small Business",C1082)),"Merchant Payment",IF(ISNUMBER(SEARCH("Sent to",C1082)),"Sent to Person",IF(ISNUMBER(SEARCH("Customer Transfer to",C1082)),"Sent to Person",IF(ISNUMBER(SEARCH("Business Payment",C1082)),"Money In",IF(ISNUMBER(SEARCH("Funds Received",C1082)),"Money In",IF(ISNUMBER(SEARCH("Receive International",C1082)),"Money In",IF(ISNUMBER(SEARCH("Send Money Reversal",C1082)),"Money In",IF(ISNUMBER(SEARCH("Pay Utility Reversal",C1082)),"Money In",IF(ISNUMBER(SEARCH("Customer Transfer",C1082)),"Money In",IF(ISNUMBER(SEARCH("Ziidi",C1082)),"Investment",IF(ISNUMBER(SEARCH("Nabo",C1082)),"Investment",IF(ISNUMBER(SEARCH("Paybill Online",C1082)),"Pay Bill",IF(ISNUMBER(SEARCH("Pay Bill",C1082)),"Pay Bill",IF(ISNUMBER(SEARCH("Spotify",C1082)),"Pay Bill",IF(ISNUMBER(SEARCH("M-Shwari",C1082)),"Mshwari",IF(ISNUMBER(SEARCH("Mshwari",C1082)),"Mshwari",IF(ISNUMBER(SEARCH("Withdrawal charge",C1082)),"Fees",IF(ISNUMBER(SEARCH("Customer Withdrawal",C1082)),"Fees",IF(ISNUMBER(SEARCH("charge",C1082)),"Fees","Other")))))))))))))))))))))))))</f>
        <v>Bundles</v>
      </c>
      <c r="R1082" s="1" t="str">
        <f aca="false">TEXT(B1082,"MMM YYYY")</f>
        <v>Jun 2026</v>
      </c>
    </row>
    <row r="1083" customFormat="false" ht="13.8" hidden="false" customHeight="false" outlineLevel="0" collapsed="false">
      <c r="A1083" s="4" t="s">
        <v>2235</v>
      </c>
      <c r="B1083" s="4" t="s">
        <v>2236</v>
      </c>
      <c r="C1083" s="4" t="s">
        <v>17</v>
      </c>
      <c r="D1083" s="4" t="s">
        <v>18</v>
      </c>
      <c r="E1083" s="4"/>
      <c r="F1083" s="4" t="n">
        <v>20</v>
      </c>
      <c r="G1083" s="4" t="n">
        <v>313.78</v>
      </c>
      <c r="L1083" s="1" t="str">
        <f aca="false">IF(ISNUMBER(SEARCH("Bundle",C1083)),"Bundles",IF(ISNUMBER(SEARCH("Airtime",C1083)),"Bundles",IF(ISNUMBER(SEARCH("Merchant",C1083)),"Merchant Payment",IF(ISNUMBER(SEARCH("Offnet C2B",C1083)),"Merchant Payment",IF(ISNUMBER(SEARCH("Offnet B2C",C1083)),"Merchant Payment",IF(ISNUMBER(SEARCH("Customer Payment to Small",C1083)),"Merchant Payment",IF(ISNUMBER(SEARCH("Payment to Small Business",C1083)),"Merchant Payment",IF(ISNUMBER(SEARCH("Sent to",C1083)),"Sent to Person",IF(ISNUMBER(SEARCH("Customer Transfer to",C1083)),"Sent to Person",IF(ISNUMBER(SEARCH("Business Payment",C1083)),"Money In",IF(ISNUMBER(SEARCH("Funds Received",C1083)),"Money In",IF(ISNUMBER(SEARCH("Receive International",C1083)),"Money In",IF(ISNUMBER(SEARCH("Send Money Reversal",C1083)),"Money In",IF(ISNUMBER(SEARCH("Pay Utility Reversal",C1083)),"Money In",IF(ISNUMBER(SEARCH("Customer Transfer",C1083)),"Money In",IF(ISNUMBER(SEARCH("Ziidi",C1083)),"Investment",IF(ISNUMBER(SEARCH("Nabo",C1083)),"Investment",IF(ISNUMBER(SEARCH("Paybill Online",C1083)),"Pay Bill",IF(ISNUMBER(SEARCH("Pay Bill",C1083)),"Pay Bill",IF(ISNUMBER(SEARCH("Spotify",C1083)),"Pay Bill",IF(ISNUMBER(SEARCH("M-Shwari",C1083)),"Mshwari",IF(ISNUMBER(SEARCH("Mshwari",C1083)),"Mshwari",IF(ISNUMBER(SEARCH("Withdrawal charge",C1083)),"Fees",IF(ISNUMBER(SEARCH("Customer Withdrawal",C1083)),"Fees",IF(ISNUMBER(SEARCH("charge",C1083)),"Fees","Other")))))))))))))))))))))))))</f>
        <v>Bundles</v>
      </c>
      <c r="R1083" s="1" t="str">
        <f aca="false">TEXT(B1083,"MMM YYYY")</f>
        <v>May 2026</v>
      </c>
    </row>
    <row r="1084" customFormat="false" ht="13.8" hidden="false" customHeight="false" outlineLevel="0" collapsed="false">
      <c r="A1084" s="4" t="s">
        <v>2237</v>
      </c>
      <c r="B1084" s="4" t="s">
        <v>2238</v>
      </c>
      <c r="C1084" s="4" t="s">
        <v>29</v>
      </c>
      <c r="D1084" s="4" t="s">
        <v>18</v>
      </c>
      <c r="E1084" s="4"/>
      <c r="F1084" s="4" t="n">
        <v>10</v>
      </c>
      <c r="G1084" s="4" t="n">
        <v>303.78</v>
      </c>
      <c r="L1084" s="1" t="str">
        <f aca="false">IF(ISNUMBER(SEARCH("Bundle",C1084)),"Bundles",IF(ISNUMBER(SEARCH("Airtime",C1084)),"Bundles",IF(ISNUMBER(SEARCH("Merchant",C1084)),"Merchant Payment",IF(ISNUMBER(SEARCH("Offnet C2B",C1084)),"Merchant Payment",IF(ISNUMBER(SEARCH("Offnet B2C",C1084)),"Merchant Payment",IF(ISNUMBER(SEARCH("Customer Payment to Small",C1084)),"Merchant Payment",IF(ISNUMBER(SEARCH("Payment to Small Business",C1084)),"Merchant Payment",IF(ISNUMBER(SEARCH("Sent to",C1084)),"Sent to Person",IF(ISNUMBER(SEARCH("Customer Transfer to",C1084)),"Sent to Person",IF(ISNUMBER(SEARCH("Business Payment",C1084)),"Money In",IF(ISNUMBER(SEARCH("Funds Received",C1084)),"Money In",IF(ISNUMBER(SEARCH("Receive International",C1084)),"Money In",IF(ISNUMBER(SEARCH("Send Money Reversal",C1084)),"Money In",IF(ISNUMBER(SEARCH("Pay Utility Reversal",C1084)),"Money In",IF(ISNUMBER(SEARCH("Customer Transfer",C1084)),"Money In",IF(ISNUMBER(SEARCH("Ziidi",C1084)),"Investment",IF(ISNUMBER(SEARCH("Nabo",C1084)),"Investment",IF(ISNUMBER(SEARCH("Paybill Online",C1084)),"Pay Bill",IF(ISNUMBER(SEARCH("Pay Bill",C1084)),"Pay Bill",IF(ISNUMBER(SEARCH("Spotify",C1084)),"Pay Bill",IF(ISNUMBER(SEARCH("M-Shwari",C1084)),"Mshwari",IF(ISNUMBER(SEARCH("Mshwari",C1084)),"Mshwari",IF(ISNUMBER(SEARCH("Withdrawal charge",C1084)),"Fees",IF(ISNUMBER(SEARCH("Customer Withdrawal",C1084)),"Fees",IF(ISNUMBER(SEARCH("charge",C1084)),"Fees","Other")))))))))))))))))))))))))</f>
        <v>Bundles</v>
      </c>
      <c r="R1084" s="1" t="str">
        <f aca="false">TEXT(B1084,"MMM YYYY")</f>
        <v>May 2026</v>
      </c>
    </row>
    <row r="1085" customFormat="false" ht="13.8" hidden="false" customHeight="false" outlineLevel="0" collapsed="false">
      <c r="A1085" s="4" t="s">
        <v>2239</v>
      </c>
      <c r="B1085" s="4" t="s">
        <v>2240</v>
      </c>
      <c r="C1085" s="4" t="s">
        <v>29</v>
      </c>
      <c r="D1085" s="4" t="s">
        <v>18</v>
      </c>
      <c r="E1085" s="4"/>
      <c r="F1085" s="4" t="n">
        <v>10</v>
      </c>
      <c r="G1085" s="4" t="n">
        <v>293.78</v>
      </c>
      <c r="L1085" s="1" t="str">
        <f aca="false">IF(ISNUMBER(SEARCH("Bundle",C1085)),"Bundles",IF(ISNUMBER(SEARCH("Airtime",C1085)),"Bundles",IF(ISNUMBER(SEARCH("Merchant",C1085)),"Merchant Payment",IF(ISNUMBER(SEARCH("Offnet C2B",C1085)),"Merchant Payment",IF(ISNUMBER(SEARCH("Offnet B2C",C1085)),"Merchant Payment",IF(ISNUMBER(SEARCH("Customer Payment to Small",C1085)),"Merchant Payment",IF(ISNUMBER(SEARCH("Payment to Small Business",C1085)),"Merchant Payment",IF(ISNUMBER(SEARCH("Sent to",C1085)),"Sent to Person",IF(ISNUMBER(SEARCH("Customer Transfer to",C1085)),"Sent to Person",IF(ISNUMBER(SEARCH("Business Payment",C1085)),"Money In",IF(ISNUMBER(SEARCH("Funds Received",C1085)),"Money In",IF(ISNUMBER(SEARCH("Receive International",C1085)),"Money In",IF(ISNUMBER(SEARCH("Send Money Reversal",C1085)),"Money In",IF(ISNUMBER(SEARCH("Pay Utility Reversal",C1085)),"Money In",IF(ISNUMBER(SEARCH("Customer Transfer",C1085)),"Money In",IF(ISNUMBER(SEARCH("Ziidi",C1085)),"Investment",IF(ISNUMBER(SEARCH("Nabo",C1085)),"Investment",IF(ISNUMBER(SEARCH("Paybill Online",C1085)),"Pay Bill",IF(ISNUMBER(SEARCH("Pay Bill",C1085)),"Pay Bill",IF(ISNUMBER(SEARCH("Spotify",C1085)),"Pay Bill",IF(ISNUMBER(SEARCH("M-Shwari",C1085)),"Mshwari",IF(ISNUMBER(SEARCH("Mshwari",C1085)),"Mshwari",IF(ISNUMBER(SEARCH("Withdrawal charge",C1085)),"Fees",IF(ISNUMBER(SEARCH("Customer Withdrawal",C1085)),"Fees",IF(ISNUMBER(SEARCH("charge",C1085)),"Fees","Other")))))))))))))))))))))))))</f>
        <v>Bundles</v>
      </c>
      <c r="R1085" s="1" t="str">
        <f aca="false">TEXT(B1085,"MMM YYYY")</f>
        <v>May 2026</v>
      </c>
    </row>
    <row r="1086" customFormat="false" ht="13.8" hidden="false" customHeight="false" outlineLevel="0" collapsed="false">
      <c r="A1086" s="4" t="s">
        <v>2241</v>
      </c>
      <c r="B1086" s="4" t="s">
        <v>2242</v>
      </c>
      <c r="C1086" s="4" t="s">
        <v>1944</v>
      </c>
      <c r="D1086" s="4" t="s">
        <v>18</v>
      </c>
      <c r="E1086" s="4"/>
      <c r="F1086" s="4" t="n">
        <v>40</v>
      </c>
      <c r="G1086" s="4" t="n">
        <v>253.78</v>
      </c>
      <c r="L1086" s="1" t="str">
        <f aca="false">IF(ISNUMBER(SEARCH("Bundle",C1086)),"Bundles",IF(ISNUMBER(SEARCH("Airtime",C1086)),"Bundles",IF(ISNUMBER(SEARCH("Merchant",C1086)),"Merchant Payment",IF(ISNUMBER(SEARCH("Offnet C2B",C1086)),"Merchant Payment",IF(ISNUMBER(SEARCH("Offnet B2C",C1086)),"Merchant Payment",IF(ISNUMBER(SEARCH("Customer Payment to Small",C1086)),"Merchant Payment",IF(ISNUMBER(SEARCH("Payment to Small Business",C1086)),"Merchant Payment",IF(ISNUMBER(SEARCH("Sent to",C1086)),"Sent to Person",IF(ISNUMBER(SEARCH("Customer Transfer to",C1086)),"Sent to Person",IF(ISNUMBER(SEARCH("Business Payment",C1086)),"Money In",IF(ISNUMBER(SEARCH("Funds Received",C1086)),"Money In",IF(ISNUMBER(SEARCH("Receive International",C1086)),"Money In",IF(ISNUMBER(SEARCH("Send Money Reversal",C1086)),"Money In",IF(ISNUMBER(SEARCH("Pay Utility Reversal",C1086)),"Money In",IF(ISNUMBER(SEARCH("Customer Transfer",C1086)),"Money In",IF(ISNUMBER(SEARCH("Ziidi",C1086)),"Investment",IF(ISNUMBER(SEARCH("Nabo",C1086)),"Investment",IF(ISNUMBER(SEARCH("Paybill Online",C1086)),"Pay Bill",IF(ISNUMBER(SEARCH("Pay Bill",C1086)),"Pay Bill",IF(ISNUMBER(SEARCH("Spotify",C1086)),"Pay Bill",IF(ISNUMBER(SEARCH("M-Shwari",C1086)),"Mshwari",IF(ISNUMBER(SEARCH("Mshwari",C1086)),"Mshwari",IF(ISNUMBER(SEARCH("Withdrawal charge",C1086)),"Fees",IF(ISNUMBER(SEARCH("Customer Withdrawal",C1086)),"Fees",IF(ISNUMBER(SEARCH("charge",C1086)),"Fees","Other")))))))))))))))))))))))))</f>
        <v>Merchant Payment</v>
      </c>
      <c r="R1086" s="1" t="str">
        <f aca="false">TEXT(B1086,"MMM YYYY")</f>
        <v>May 2026</v>
      </c>
    </row>
    <row r="1087" customFormat="false" ht="13.8" hidden="false" customHeight="false" outlineLevel="0" collapsed="false">
      <c r="A1087" s="4" t="s">
        <v>2243</v>
      </c>
      <c r="B1087" s="4" t="s">
        <v>2244</v>
      </c>
      <c r="C1087" s="4" t="s">
        <v>17</v>
      </c>
      <c r="D1087" s="4" t="s">
        <v>18</v>
      </c>
      <c r="E1087" s="4"/>
      <c r="F1087" s="4" t="n">
        <v>20</v>
      </c>
      <c r="G1087" s="4" t="n">
        <v>233.78</v>
      </c>
      <c r="L1087" s="1" t="str">
        <f aca="false">IF(ISNUMBER(SEARCH("Bundle",C1087)),"Bundles",IF(ISNUMBER(SEARCH("Airtime",C1087)),"Bundles",IF(ISNUMBER(SEARCH("Merchant",C1087)),"Merchant Payment",IF(ISNUMBER(SEARCH("Offnet C2B",C1087)),"Merchant Payment",IF(ISNUMBER(SEARCH("Offnet B2C",C1087)),"Merchant Payment",IF(ISNUMBER(SEARCH("Customer Payment to Small",C1087)),"Merchant Payment",IF(ISNUMBER(SEARCH("Payment to Small Business",C1087)),"Merchant Payment",IF(ISNUMBER(SEARCH("Sent to",C1087)),"Sent to Person",IF(ISNUMBER(SEARCH("Customer Transfer to",C1087)),"Sent to Person",IF(ISNUMBER(SEARCH("Business Payment",C1087)),"Money In",IF(ISNUMBER(SEARCH("Funds Received",C1087)),"Money In",IF(ISNUMBER(SEARCH("Receive International",C1087)),"Money In",IF(ISNUMBER(SEARCH("Send Money Reversal",C1087)),"Money In",IF(ISNUMBER(SEARCH("Pay Utility Reversal",C1087)),"Money In",IF(ISNUMBER(SEARCH("Customer Transfer",C1087)),"Money In",IF(ISNUMBER(SEARCH("Ziidi",C1087)),"Investment",IF(ISNUMBER(SEARCH("Nabo",C1087)),"Investment",IF(ISNUMBER(SEARCH("Paybill Online",C1087)),"Pay Bill",IF(ISNUMBER(SEARCH("Pay Bill",C1087)),"Pay Bill",IF(ISNUMBER(SEARCH("Spotify",C1087)),"Pay Bill",IF(ISNUMBER(SEARCH("M-Shwari",C1087)),"Mshwari",IF(ISNUMBER(SEARCH("Mshwari",C1087)),"Mshwari",IF(ISNUMBER(SEARCH("Withdrawal charge",C1087)),"Fees",IF(ISNUMBER(SEARCH("Customer Withdrawal",C1087)),"Fees",IF(ISNUMBER(SEARCH("charge",C1087)),"Fees","Other")))))))))))))))))))))))))</f>
        <v>Bundles</v>
      </c>
      <c r="R1087" s="1" t="str">
        <f aca="false">TEXT(B1087,"MMM YYYY")</f>
        <v>May 2026</v>
      </c>
    </row>
    <row r="1088" customFormat="false" ht="13.8" hidden="false" customHeight="false" outlineLevel="0" collapsed="false">
      <c r="A1088" s="4" t="s">
        <v>2245</v>
      </c>
      <c r="B1088" s="4" t="s">
        <v>2246</v>
      </c>
      <c r="C1088" s="4" t="s">
        <v>192</v>
      </c>
      <c r="D1088" s="4" t="s">
        <v>18</v>
      </c>
      <c r="E1088" s="4" t="n">
        <v>300</v>
      </c>
      <c r="F1088" s="4"/>
      <c r="G1088" s="4" t="n">
        <v>533.78</v>
      </c>
      <c r="L1088" s="1" t="str">
        <f aca="false">IF(ISNUMBER(SEARCH("Bundle",C1088)),"Bundles",IF(ISNUMBER(SEARCH("Airtime",C1088)),"Bundles",IF(ISNUMBER(SEARCH("Merchant",C1088)),"Merchant Payment",IF(ISNUMBER(SEARCH("Offnet C2B",C1088)),"Merchant Payment",IF(ISNUMBER(SEARCH("Offnet B2C",C1088)),"Merchant Payment",IF(ISNUMBER(SEARCH("Customer Payment to Small",C1088)),"Merchant Payment",IF(ISNUMBER(SEARCH("Payment to Small Business",C1088)),"Merchant Payment",IF(ISNUMBER(SEARCH("Sent to",C1088)),"Sent to Person",IF(ISNUMBER(SEARCH("Customer Transfer to",C1088)),"Sent to Person",IF(ISNUMBER(SEARCH("Business Payment",C1088)),"Money In",IF(ISNUMBER(SEARCH("Funds Received",C1088)),"Money In",IF(ISNUMBER(SEARCH("Receive International",C1088)),"Money In",IF(ISNUMBER(SEARCH("Send Money Reversal",C1088)),"Money In",IF(ISNUMBER(SEARCH("Pay Utility Reversal",C1088)),"Money In",IF(ISNUMBER(SEARCH("Customer Transfer",C1088)),"Money In",IF(ISNUMBER(SEARCH("Ziidi",C1088)),"Investment",IF(ISNUMBER(SEARCH("Nabo",C1088)),"Investment",IF(ISNUMBER(SEARCH("Paybill Online",C1088)),"Pay Bill",IF(ISNUMBER(SEARCH("Pay Bill",C1088)),"Pay Bill",IF(ISNUMBER(SEARCH("Spotify",C1088)),"Pay Bill",IF(ISNUMBER(SEARCH("M-Shwari",C1088)),"Mshwari",IF(ISNUMBER(SEARCH("Mshwari",C1088)),"Mshwari",IF(ISNUMBER(SEARCH("Withdrawal charge",C1088)),"Fees",IF(ISNUMBER(SEARCH("Customer Withdrawal",C1088)),"Fees",IF(ISNUMBER(SEARCH("charge",C1088)),"Fees","Other")))))))))))))))))))))))))</f>
        <v>Mshwari</v>
      </c>
      <c r="R1088" s="1" t="str">
        <f aca="false">TEXT(B1088,"MMM YYYY")</f>
        <v>May 2026</v>
      </c>
    </row>
    <row r="1089" customFormat="false" ht="13.8" hidden="false" customHeight="false" outlineLevel="0" collapsed="false">
      <c r="A1089" s="4" t="s">
        <v>2247</v>
      </c>
      <c r="B1089" s="4" t="s">
        <v>2248</v>
      </c>
      <c r="C1089" s="4" t="s">
        <v>239</v>
      </c>
      <c r="D1089" s="4" t="s">
        <v>18</v>
      </c>
      <c r="E1089" s="4"/>
      <c r="F1089" s="4" t="n">
        <v>7</v>
      </c>
      <c r="G1089" s="4" t="n">
        <v>276.78</v>
      </c>
      <c r="L1089" s="1" t="str">
        <f aca="false">IF(ISNUMBER(SEARCH("Bundle",C1089)),"Bundles",IF(ISNUMBER(SEARCH("Airtime",C1089)),"Bundles",IF(ISNUMBER(SEARCH("Merchant",C1089)),"Merchant Payment",IF(ISNUMBER(SEARCH("Offnet C2B",C1089)),"Merchant Payment",IF(ISNUMBER(SEARCH("Offnet B2C",C1089)),"Merchant Payment",IF(ISNUMBER(SEARCH("Customer Payment to Small",C1089)),"Merchant Payment",IF(ISNUMBER(SEARCH("Payment to Small Business",C1089)),"Merchant Payment",IF(ISNUMBER(SEARCH("Sent to",C1089)),"Sent to Person",IF(ISNUMBER(SEARCH("Customer Transfer to",C1089)),"Sent to Person",IF(ISNUMBER(SEARCH("Business Payment",C1089)),"Money In",IF(ISNUMBER(SEARCH("Funds Received",C1089)),"Money In",IF(ISNUMBER(SEARCH("Receive International",C1089)),"Money In",IF(ISNUMBER(SEARCH("Send Money Reversal",C1089)),"Money In",IF(ISNUMBER(SEARCH("Pay Utility Reversal",C1089)),"Money In",IF(ISNUMBER(SEARCH("Customer Transfer",C1089)),"Money In",IF(ISNUMBER(SEARCH("Ziidi",C1089)),"Investment",IF(ISNUMBER(SEARCH("Nabo",C1089)),"Investment",IF(ISNUMBER(SEARCH("Paybill Online",C1089)),"Pay Bill",IF(ISNUMBER(SEARCH("Pay Bill",C1089)),"Pay Bill",IF(ISNUMBER(SEARCH("Spotify",C1089)),"Pay Bill",IF(ISNUMBER(SEARCH("M-Shwari",C1089)),"Mshwari",IF(ISNUMBER(SEARCH("Mshwari",C1089)),"Mshwari",IF(ISNUMBER(SEARCH("Withdrawal charge",C1089)),"Fees",IF(ISNUMBER(SEARCH("Customer Withdrawal",C1089)),"Fees",IF(ISNUMBER(SEARCH("charge",C1089)),"Fees","Other")))))))))))))))))))))))))</f>
        <v>Money In</v>
      </c>
      <c r="R1089" s="1" t="str">
        <f aca="false">TEXT(B1089,"MMM YYYY")</f>
        <v>May 2026</v>
      </c>
    </row>
    <row r="1090" customFormat="false" ht="13.8" hidden="false" customHeight="false" outlineLevel="0" collapsed="false">
      <c r="A1090" s="4" t="s">
        <v>2247</v>
      </c>
      <c r="B1090" s="4" t="s">
        <v>2248</v>
      </c>
      <c r="C1090" s="4" t="s">
        <v>2249</v>
      </c>
      <c r="D1090" s="4" t="s">
        <v>18</v>
      </c>
      <c r="E1090" s="4"/>
      <c r="F1090" s="4" t="n">
        <v>250</v>
      </c>
      <c r="G1090" s="4" t="n">
        <v>283.78</v>
      </c>
      <c r="L1090" s="1" t="str">
        <f aca="false">IF(ISNUMBER(SEARCH("Bundle",C1090)),"Bundles",IF(ISNUMBER(SEARCH("Airtime",C1090)),"Bundles",IF(ISNUMBER(SEARCH("Merchant",C1090)),"Merchant Payment",IF(ISNUMBER(SEARCH("Offnet C2B",C1090)),"Merchant Payment",IF(ISNUMBER(SEARCH("Offnet B2C",C1090)),"Merchant Payment",IF(ISNUMBER(SEARCH("Customer Payment to Small",C1090)),"Merchant Payment",IF(ISNUMBER(SEARCH("Payment to Small Business",C1090)),"Merchant Payment",IF(ISNUMBER(SEARCH("Sent to",C1090)),"Sent to Person",IF(ISNUMBER(SEARCH("Customer Transfer to",C1090)),"Sent to Person",IF(ISNUMBER(SEARCH("Business Payment",C1090)),"Money In",IF(ISNUMBER(SEARCH("Funds Received",C1090)),"Money In",IF(ISNUMBER(SEARCH("Receive International",C1090)),"Money In",IF(ISNUMBER(SEARCH("Send Money Reversal",C1090)),"Money In",IF(ISNUMBER(SEARCH("Pay Utility Reversal",C1090)),"Money In",IF(ISNUMBER(SEARCH("Customer Transfer",C1090)),"Money In",IF(ISNUMBER(SEARCH("Ziidi",C1090)),"Investment",IF(ISNUMBER(SEARCH("Nabo",C1090)),"Investment",IF(ISNUMBER(SEARCH("Paybill Online",C1090)),"Pay Bill",IF(ISNUMBER(SEARCH("Pay Bill",C1090)),"Pay Bill",IF(ISNUMBER(SEARCH("Spotify",C1090)),"Pay Bill",IF(ISNUMBER(SEARCH("M-Shwari",C1090)),"Mshwari",IF(ISNUMBER(SEARCH("Mshwari",C1090)),"Mshwari",IF(ISNUMBER(SEARCH("Withdrawal charge",C1090)),"Fees",IF(ISNUMBER(SEARCH("Customer Withdrawal",C1090)),"Fees",IF(ISNUMBER(SEARCH("charge",C1090)),"Fees","Other")))))))))))))))))))))))))</f>
        <v>Sent to Person</v>
      </c>
      <c r="R1090" s="1" t="str">
        <f aca="false">TEXT(B1090,"MMM YYYY")</f>
        <v>May 2026</v>
      </c>
    </row>
    <row r="1091" customFormat="false" ht="13.8" hidden="false" customHeight="false" outlineLevel="0" collapsed="false">
      <c r="A1091" s="4" t="s">
        <v>2250</v>
      </c>
      <c r="B1091" s="4" t="s">
        <v>2251</v>
      </c>
      <c r="C1091" s="4" t="s">
        <v>1059</v>
      </c>
      <c r="D1091" s="4" t="s">
        <v>18</v>
      </c>
      <c r="E1091" s="4"/>
      <c r="F1091" s="4" t="n">
        <v>100</v>
      </c>
      <c r="G1091" s="4" t="n">
        <v>176.78</v>
      </c>
      <c r="L1091" s="1" t="str">
        <f aca="false">IF(ISNUMBER(SEARCH("Bundle",C1091)),"Bundles",IF(ISNUMBER(SEARCH("Airtime",C1091)),"Bundles",IF(ISNUMBER(SEARCH("Merchant",C1091)),"Merchant Payment",IF(ISNUMBER(SEARCH("Offnet C2B",C1091)),"Merchant Payment",IF(ISNUMBER(SEARCH("Offnet B2C",C1091)),"Merchant Payment",IF(ISNUMBER(SEARCH("Customer Payment to Small",C1091)),"Merchant Payment",IF(ISNUMBER(SEARCH("Payment to Small Business",C1091)),"Merchant Payment",IF(ISNUMBER(SEARCH("Sent to",C1091)),"Sent to Person",IF(ISNUMBER(SEARCH("Customer Transfer to",C1091)),"Sent to Person",IF(ISNUMBER(SEARCH("Business Payment",C1091)),"Money In",IF(ISNUMBER(SEARCH("Funds Received",C1091)),"Money In",IF(ISNUMBER(SEARCH("Receive International",C1091)),"Money In",IF(ISNUMBER(SEARCH("Send Money Reversal",C1091)),"Money In",IF(ISNUMBER(SEARCH("Pay Utility Reversal",C1091)),"Money In",IF(ISNUMBER(SEARCH("Customer Transfer",C1091)),"Money In",IF(ISNUMBER(SEARCH("Ziidi",C1091)),"Investment",IF(ISNUMBER(SEARCH("Nabo",C1091)),"Investment",IF(ISNUMBER(SEARCH("Paybill Online",C1091)),"Pay Bill",IF(ISNUMBER(SEARCH("Pay Bill",C1091)),"Pay Bill",IF(ISNUMBER(SEARCH("Spotify",C1091)),"Pay Bill",IF(ISNUMBER(SEARCH("M-Shwari",C1091)),"Mshwari",IF(ISNUMBER(SEARCH("Mshwari",C1091)),"Mshwari",IF(ISNUMBER(SEARCH("Withdrawal charge",C1091)),"Fees",IF(ISNUMBER(SEARCH("Customer Withdrawal",C1091)),"Fees",IF(ISNUMBER(SEARCH("charge",C1091)),"Fees","Other")))))))))))))))))))))))))</f>
        <v>Merchant Payment</v>
      </c>
      <c r="R1091" s="1" t="str">
        <f aca="false">TEXT(B1091,"MMM YYYY")</f>
        <v>May 2026</v>
      </c>
    </row>
    <row r="1092" customFormat="false" ht="13.8" hidden="false" customHeight="false" outlineLevel="0" collapsed="false">
      <c r="A1092" s="4" t="s">
        <v>2252</v>
      </c>
      <c r="B1092" s="4" t="s">
        <v>2253</v>
      </c>
      <c r="C1092" s="4" t="s">
        <v>316</v>
      </c>
      <c r="D1092" s="4" t="s">
        <v>18</v>
      </c>
      <c r="E1092" s="4"/>
      <c r="F1092" s="4" t="n">
        <v>96</v>
      </c>
      <c r="G1092" s="4" t="n">
        <v>80.78</v>
      </c>
      <c r="L1092" s="1" t="str">
        <f aca="false">IF(ISNUMBER(SEARCH("Bundle",C1092)),"Bundles",IF(ISNUMBER(SEARCH("Airtime",C1092)),"Bundles",IF(ISNUMBER(SEARCH("Merchant",C1092)),"Merchant Payment",IF(ISNUMBER(SEARCH("Offnet C2B",C1092)),"Merchant Payment",IF(ISNUMBER(SEARCH("Offnet B2C",C1092)),"Merchant Payment",IF(ISNUMBER(SEARCH("Customer Payment to Small",C1092)),"Merchant Payment",IF(ISNUMBER(SEARCH("Payment to Small Business",C1092)),"Merchant Payment",IF(ISNUMBER(SEARCH("Sent to",C1092)),"Sent to Person",IF(ISNUMBER(SEARCH("Customer Transfer to",C1092)),"Sent to Person",IF(ISNUMBER(SEARCH("Business Payment",C1092)),"Money In",IF(ISNUMBER(SEARCH("Funds Received",C1092)),"Money In",IF(ISNUMBER(SEARCH("Receive International",C1092)),"Money In",IF(ISNUMBER(SEARCH("Send Money Reversal",C1092)),"Money In",IF(ISNUMBER(SEARCH("Pay Utility Reversal",C1092)),"Money In",IF(ISNUMBER(SEARCH("Customer Transfer",C1092)),"Money In",IF(ISNUMBER(SEARCH("Ziidi",C1092)),"Investment",IF(ISNUMBER(SEARCH("Nabo",C1092)),"Investment",IF(ISNUMBER(SEARCH("Paybill Online",C1092)),"Pay Bill",IF(ISNUMBER(SEARCH("Pay Bill",C1092)),"Pay Bill",IF(ISNUMBER(SEARCH("Spotify",C1092)),"Pay Bill",IF(ISNUMBER(SEARCH("M-Shwari",C1092)),"Mshwari",IF(ISNUMBER(SEARCH("Mshwari",C1092)),"Mshwari",IF(ISNUMBER(SEARCH("Withdrawal charge",C1092)),"Fees",IF(ISNUMBER(SEARCH("Customer Withdrawal",C1092)),"Fees",IF(ISNUMBER(SEARCH("charge",C1092)),"Fees","Other")))))))))))))))))))))))))</f>
        <v>Merchant Payment</v>
      </c>
      <c r="R1092" s="1" t="str">
        <f aca="false">TEXT(B1092,"MMM YYYY")</f>
        <v>May 2026</v>
      </c>
    </row>
    <row r="1093" customFormat="false" ht="13.8" hidden="false" customHeight="false" outlineLevel="0" collapsed="false">
      <c r="A1093" s="4" t="s">
        <v>2254</v>
      </c>
      <c r="B1093" s="4" t="s">
        <v>2255</v>
      </c>
      <c r="C1093" s="4" t="s">
        <v>17</v>
      </c>
      <c r="D1093" s="4" t="s">
        <v>18</v>
      </c>
      <c r="E1093" s="4"/>
      <c r="F1093" s="4" t="n">
        <v>20</v>
      </c>
      <c r="G1093" s="4" t="n">
        <v>60.78</v>
      </c>
      <c r="L1093" s="1" t="str">
        <f aca="false">IF(ISNUMBER(SEARCH("Bundle",C1093)),"Bundles",IF(ISNUMBER(SEARCH("Airtime",C1093)),"Bundles",IF(ISNUMBER(SEARCH("Merchant",C1093)),"Merchant Payment",IF(ISNUMBER(SEARCH("Offnet C2B",C1093)),"Merchant Payment",IF(ISNUMBER(SEARCH("Offnet B2C",C1093)),"Merchant Payment",IF(ISNUMBER(SEARCH("Customer Payment to Small",C1093)),"Merchant Payment",IF(ISNUMBER(SEARCH("Payment to Small Business",C1093)),"Merchant Payment",IF(ISNUMBER(SEARCH("Sent to",C1093)),"Sent to Person",IF(ISNUMBER(SEARCH("Customer Transfer to",C1093)),"Sent to Person",IF(ISNUMBER(SEARCH("Business Payment",C1093)),"Money In",IF(ISNUMBER(SEARCH("Funds Received",C1093)),"Money In",IF(ISNUMBER(SEARCH("Receive International",C1093)),"Money In",IF(ISNUMBER(SEARCH("Send Money Reversal",C1093)),"Money In",IF(ISNUMBER(SEARCH("Pay Utility Reversal",C1093)),"Money In",IF(ISNUMBER(SEARCH("Customer Transfer",C1093)),"Money In",IF(ISNUMBER(SEARCH("Ziidi",C1093)),"Investment",IF(ISNUMBER(SEARCH("Nabo",C1093)),"Investment",IF(ISNUMBER(SEARCH("Paybill Online",C1093)),"Pay Bill",IF(ISNUMBER(SEARCH("Pay Bill",C1093)),"Pay Bill",IF(ISNUMBER(SEARCH("Spotify",C1093)),"Pay Bill",IF(ISNUMBER(SEARCH("M-Shwari",C1093)),"Mshwari",IF(ISNUMBER(SEARCH("Mshwari",C1093)),"Mshwari",IF(ISNUMBER(SEARCH("Withdrawal charge",C1093)),"Fees",IF(ISNUMBER(SEARCH("Customer Withdrawal",C1093)),"Fees",IF(ISNUMBER(SEARCH("charge",C1093)),"Fees","Other")))))))))))))))))))))))))</f>
        <v>Bundles</v>
      </c>
      <c r="R1093" s="1" t="str">
        <f aca="false">TEXT(B1093,"MMM YYYY")</f>
        <v>May 2026</v>
      </c>
    </row>
    <row r="1094" customFormat="false" ht="13.8" hidden="false" customHeight="false" outlineLevel="0" collapsed="false">
      <c r="A1094" s="4" t="s">
        <v>2256</v>
      </c>
      <c r="B1094" s="4" t="s">
        <v>2257</v>
      </c>
      <c r="C1094" s="4" t="s">
        <v>445</v>
      </c>
      <c r="D1094" s="4" t="s">
        <v>18</v>
      </c>
      <c r="E1094" s="4" t="n">
        <v>2000</v>
      </c>
      <c r="F1094" s="4"/>
      <c r="G1094" s="4" t="n">
        <v>2060.78</v>
      </c>
      <c r="L1094" s="1" t="str">
        <f aca="false">IF(ISNUMBER(SEARCH("Bundle",C1094)),"Bundles",IF(ISNUMBER(SEARCH("Airtime",C1094)),"Bundles",IF(ISNUMBER(SEARCH("Merchant",C1094)),"Merchant Payment",IF(ISNUMBER(SEARCH("Offnet C2B",C1094)),"Merchant Payment",IF(ISNUMBER(SEARCH("Offnet B2C",C1094)),"Merchant Payment",IF(ISNUMBER(SEARCH("Customer Payment to Small",C1094)),"Merchant Payment",IF(ISNUMBER(SEARCH("Payment to Small Business",C1094)),"Merchant Payment",IF(ISNUMBER(SEARCH("Sent to",C1094)),"Sent to Person",IF(ISNUMBER(SEARCH("Customer Transfer to",C1094)),"Sent to Person",IF(ISNUMBER(SEARCH("Business Payment",C1094)),"Money In",IF(ISNUMBER(SEARCH("Funds Received",C1094)),"Money In",IF(ISNUMBER(SEARCH("Receive International",C1094)),"Money In",IF(ISNUMBER(SEARCH("Send Money Reversal",C1094)),"Money In",IF(ISNUMBER(SEARCH("Pay Utility Reversal",C1094)),"Money In",IF(ISNUMBER(SEARCH("Customer Transfer",C1094)),"Money In",IF(ISNUMBER(SEARCH("Ziidi",C1094)),"Investment",IF(ISNUMBER(SEARCH("Nabo",C1094)),"Investment",IF(ISNUMBER(SEARCH("Paybill Online",C1094)),"Pay Bill",IF(ISNUMBER(SEARCH("Pay Bill",C1094)),"Pay Bill",IF(ISNUMBER(SEARCH("Spotify",C1094)),"Pay Bill",IF(ISNUMBER(SEARCH("M-Shwari",C1094)),"Mshwari",IF(ISNUMBER(SEARCH("Mshwari",C1094)),"Mshwari",IF(ISNUMBER(SEARCH("Withdrawal charge",C1094)),"Fees",IF(ISNUMBER(SEARCH("Customer Withdrawal",C1094)),"Fees",IF(ISNUMBER(SEARCH("charge",C1094)),"Fees","Other")))))))))))))))))))))))))</f>
        <v>Money In</v>
      </c>
      <c r="R1094" s="1" t="str">
        <f aca="false">TEXT(B1094,"MMM YYYY")</f>
        <v>May 2026</v>
      </c>
    </row>
    <row r="1095" customFormat="false" ht="13.8" hidden="false" customHeight="false" outlineLevel="0" collapsed="false">
      <c r="A1095" s="4" t="s">
        <v>2258</v>
      </c>
      <c r="B1095" s="4" t="s">
        <v>2259</v>
      </c>
      <c r="C1095" s="4" t="s">
        <v>1451</v>
      </c>
      <c r="D1095" s="4" t="s">
        <v>18</v>
      </c>
      <c r="E1095" s="4" t="n">
        <v>500</v>
      </c>
      <c r="F1095" s="4"/>
      <c r="G1095" s="4" t="n">
        <v>2560.78</v>
      </c>
      <c r="L1095" s="1" t="str">
        <f aca="false">IF(ISNUMBER(SEARCH("Bundle",C1095)),"Bundles",IF(ISNUMBER(SEARCH("Airtime",C1095)),"Bundles",IF(ISNUMBER(SEARCH("Merchant",C1095)),"Merchant Payment",IF(ISNUMBER(SEARCH("Offnet C2B",C1095)),"Merchant Payment",IF(ISNUMBER(SEARCH("Offnet B2C",C1095)),"Merchant Payment",IF(ISNUMBER(SEARCH("Customer Payment to Small",C1095)),"Merchant Payment",IF(ISNUMBER(SEARCH("Payment to Small Business",C1095)),"Merchant Payment",IF(ISNUMBER(SEARCH("Sent to",C1095)),"Sent to Person",IF(ISNUMBER(SEARCH("Customer Transfer to",C1095)),"Sent to Person",IF(ISNUMBER(SEARCH("Business Payment",C1095)),"Money In",IF(ISNUMBER(SEARCH("Funds Received",C1095)),"Money In",IF(ISNUMBER(SEARCH("Receive International",C1095)),"Money In",IF(ISNUMBER(SEARCH("Send Money Reversal",C1095)),"Money In",IF(ISNUMBER(SEARCH("Pay Utility Reversal",C1095)),"Money In",IF(ISNUMBER(SEARCH("Customer Transfer",C1095)),"Money In",IF(ISNUMBER(SEARCH("Ziidi",C1095)),"Investment",IF(ISNUMBER(SEARCH("Nabo",C1095)),"Investment",IF(ISNUMBER(SEARCH("Paybill Online",C1095)),"Pay Bill",IF(ISNUMBER(SEARCH("Pay Bill",C1095)),"Pay Bill",IF(ISNUMBER(SEARCH("Spotify",C1095)),"Pay Bill",IF(ISNUMBER(SEARCH("M-Shwari",C1095)),"Mshwari",IF(ISNUMBER(SEARCH("Mshwari",C1095)),"Mshwari",IF(ISNUMBER(SEARCH("Withdrawal charge",C1095)),"Fees",IF(ISNUMBER(SEARCH("Customer Withdrawal",C1095)),"Fees",IF(ISNUMBER(SEARCH("charge",C1095)),"Fees","Other")))))))))))))))))))))))))</f>
        <v>Money In</v>
      </c>
      <c r="R1095" s="1" t="str">
        <f aca="false">TEXT(B1095,"MMM YYYY")</f>
        <v>May 2026</v>
      </c>
    </row>
    <row r="1096" customFormat="false" ht="13.8" hidden="false" customHeight="false" outlineLevel="0" collapsed="false">
      <c r="A1096" s="4" t="s">
        <v>2260</v>
      </c>
      <c r="B1096" s="4" t="s">
        <v>2261</v>
      </c>
      <c r="C1096" s="4" t="s">
        <v>17</v>
      </c>
      <c r="D1096" s="4" t="s">
        <v>18</v>
      </c>
      <c r="E1096" s="4"/>
      <c r="F1096" s="4" t="n">
        <v>20</v>
      </c>
      <c r="G1096" s="4" t="n">
        <v>2540.78</v>
      </c>
      <c r="L1096" s="1" t="str">
        <f aca="false">IF(ISNUMBER(SEARCH("Bundle",C1096)),"Bundles",IF(ISNUMBER(SEARCH("Airtime",C1096)),"Bundles",IF(ISNUMBER(SEARCH("Merchant",C1096)),"Merchant Payment",IF(ISNUMBER(SEARCH("Offnet C2B",C1096)),"Merchant Payment",IF(ISNUMBER(SEARCH("Offnet B2C",C1096)),"Merchant Payment",IF(ISNUMBER(SEARCH("Customer Payment to Small",C1096)),"Merchant Payment",IF(ISNUMBER(SEARCH("Payment to Small Business",C1096)),"Merchant Payment",IF(ISNUMBER(SEARCH("Sent to",C1096)),"Sent to Person",IF(ISNUMBER(SEARCH("Customer Transfer to",C1096)),"Sent to Person",IF(ISNUMBER(SEARCH("Business Payment",C1096)),"Money In",IF(ISNUMBER(SEARCH("Funds Received",C1096)),"Money In",IF(ISNUMBER(SEARCH("Receive International",C1096)),"Money In",IF(ISNUMBER(SEARCH("Send Money Reversal",C1096)),"Money In",IF(ISNUMBER(SEARCH("Pay Utility Reversal",C1096)),"Money In",IF(ISNUMBER(SEARCH("Customer Transfer",C1096)),"Money In",IF(ISNUMBER(SEARCH("Ziidi",C1096)),"Investment",IF(ISNUMBER(SEARCH("Nabo",C1096)),"Investment",IF(ISNUMBER(SEARCH("Paybill Online",C1096)),"Pay Bill",IF(ISNUMBER(SEARCH("Pay Bill",C1096)),"Pay Bill",IF(ISNUMBER(SEARCH("Spotify",C1096)),"Pay Bill",IF(ISNUMBER(SEARCH("M-Shwari",C1096)),"Mshwari",IF(ISNUMBER(SEARCH("Mshwari",C1096)),"Mshwari",IF(ISNUMBER(SEARCH("Withdrawal charge",C1096)),"Fees",IF(ISNUMBER(SEARCH("Customer Withdrawal",C1096)),"Fees",IF(ISNUMBER(SEARCH("charge",C1096)),"Fees","Other")))))))))))))))))))))))))</f>
        <v>Bundles</v>
      </c>
      <c r="R1096" s="1" t="str">
        <f aca="false">TEXT(B1096,"MMM YYYY")</f>
        <v>May 2026</v>
      </c>
    </row>
    <row r="1097" customFormat="false" ht="13.8" hidden="false" customHeight="false" outlineLevel="0" collapsed="false">
      <c r="A1097" s="4" t="s">
        <v>2262</v>
      </c>
      <c r="B1097" s="4" t="s">
        <v>2263</v>
      </c>
      <c r="C1097" s="4" t="s">
        <v>29</v>
      </c>
      <c r="D1097" s="4" t="s">
        <v>18</v>
      </c>
      <c r="E1097" s="4"/>
      <c r="F1097" s="4" t="n">
        <v>10</v>
      </c>
      <c r="G1097" s="4" t="n">
        <v>2530.78</v>
      </c>
      <c r="L1097" s="1" t="str">
        <f aca="false">IF(ISNUMBER(SEARCH("Bundle",C1097)),"Bundles",IF(ISNUMBER(SEARCH("Airtime",C1097)),"Bundles",IF(ISNUMBER(SEARCH("Merchant",C1097)),"Merchant Payment",IF(ISNUMBER(SEARCH("Offnet C2B",C1097)),"Merchant Payment",IF(ISNUMBER(SEARCH("Offnet B2C",C1097)),"Merchant Payment",IF(ISNUMBER(SEARCH("Customer Payment to Small",C1097)),"Merchant Payment",IF(ISNUMBER(SEARCH("Payment to Small Business",C1097)),"Merchant Payment",IF(ISNUMBER(SEARCH("Sent to",C1097)),"Sent to Person",IF(ISNUMBER(SEARCH("Customer Transfer to",C1097)),"Sent to Person",IF(ISNUMBER(SEARCH("Business Payment",C1097)),"Money In",IF(ISNUMBER(SEARCH("Funds Received",C1097)),"Money In",IF(ISNUMBER(SEARCH("Receive International",C1097)),"Money In",IF(ISNUMBER(SEARCH("Send Money Reversal",C1097)),"Money In",IF(ISNUMBER(SEARCH("Pay Utility Reversal",C1097)),"Money In",IF(ISNUMBER(SEARCH("Customer Transfer",C1097)),"Money In",IF(ISNUMBER(SEARCH("Ziidi",C1097)),"Investment",IF(ISNUMBER(SEARCH("Nabo",C1097)),"Investment",IF(ISNUMBER(SEARCH("Paybill Online",C1097)),"Pay Bill",IF(ISNUMBER(SEARCH("Pay Bill",C1097)),"Pay Bill",IF(ISNUMBER(SEARCH("Spotify",C1097)),"Pay Bill",IF(ISNUMBER(SEARCH("M-Shwari",C1097)),"Mshwari",IF(ISNUMBER(SEARCH("Mshwari",C1097)),"Mshwari",IF(ISNUMBER(SEARCH("Withdrawal charge",C1097)),"Fees",IF(ISNUMBER(SEARCH("Customer Withdrawal",C1097)),"Fees",IF(ISNUMBER(SEARCH("charge",C1097)),"Fees","Other")))))))))))))))))))))))))</f>
        <v>Bundles</v>
      </c>
      <c r="R1097" s="1" t="str">
        <f aca="false">TEXT(B1097,"MMM YYYY")</f>
        <v>May 2026</v>
      </c>
    </row>
    <row r="1098" customFormat="false" ht="13.8" hidden="false" customHeight="false" outlineLevel="0" collapsed="false">
      <c r="A1098" s="4" t="s">
        <v>2264</v>
      </c>
      <c r="B1098" s="4" t="s">
        <v>2265</v>
      </c>
      <c r="C1098" s="4" t="s">
        <v>1059</v>
      </c>
      <c r="D1098" s="4" t="s">
        <v>18</v>
      </c>
      <c r="E1098" s="4"/>
      <c r="F1098" s="4" t="n">
        <v>100</v>
      </c>
      <c r="G1098" s="4" t="n">
        <v>2430.78</v>
      </c>
      <c r="L1098" s="1" t="str">
        <f aca="false">IF(ISNUMBER(SEARCH("Bundle",C1098)),"Bundles",IF(ISNUMBER(SEARCH("Airtime",C1098)),"Bundles",IF(ISNUMBER(SEARCH("Merchant",C1098)),"Merchant Payment",IF(ISNUMBER(SEARCH("Offnet C2B",C1098)),"Merchant Payment",IF(ISNUMBER(SEARCH("Offnet B2C",C1098)),"Merchant Payment",IF(ISNUMBER(SEARCH("Customer Payment to Small",C1098)),"Merchant Payment",IF(ISNUMBER(SEARCH("Payment to Small Business",C1098)),"Merchant Payment",IF(ISNUMBER(SEARCH("Sent to",C1098)),"Sent to Person",IF(ISNUMBER(SEARCH("Customer Transfer to",C1098)),"Sent to Person",IF(ISNUMBER(SEARCH("Business Payment",C1098)),"Money In",IF(ISNUMBER(SEARCH("Funds Received",C1098)),"Money In",IF(ISNUMBER(SEARCH("Receive International",C1098)),"Money In",IF(ISNUMBER(SEARCH("Send Money Reversal",C1098)),"Money In",IF(ISNUMBER(SEARCH("Pay Utility Reversal",C1098)),"Money In",IF(ISNUMBER(SEARCH("Customer Transfer",C1098)),"Money In",IF(ISNUMBER(SEARCH("Ziidi",C1098)),"Investment",IF(ISNUMBER(SEARCH("Nabo",C1098)),"Investment",IF(ISNUMBER(SEARCH("Paybill Online",C1098)),"Pay Bill",IF(ISNUMBER(SEARCH("Pay Bill",C1098)),"Pay Bill",IF(ISNUMBER(SEARCH("Spotify",C1098)),"Pay Bill",IF(ISNUMBER(SEARCH("M-Shwari",C1098)),"Mshwari",IF(ISNUMBER(SEARCH("Mshwari",C1098)),"Mshwari",IF(ISNUMBER(SEARCH("Withdrawal charge",C1098)),"Fees",IF(ISNUMBER(SEARCH("Customer Withdrawal",C1098)),"Fees",IF(ISNUMBER(SEARCH("charge",C1098)),"Fees","Other")))))))))))))))))))))))))</f>
        <v>Merchant Payment</v>
      </c>
      <c r="R1098" s="1" t="str">
        <f aca="false">TEXT(B1098,"MMM YYYY")</f>
        <v>May 2026</v>
      </c>
    </row>
    <row r="1099" customFormat="false" ht="13.8" hidden="false" customHeight="false" outlineLevel="0" collapsed="false">
      <c r="A1099" s="4" t="s">
        <v>2266</v>
      </c>
      <c r="B1099" s="4" t="s">
        <v>2267</v>
      </c>
      <c r="C1099" s="4" t="s">
        <v>1472</v>
      </c>
      <c r="D1099" s="4" t="s">
        <v>18</v>
      </c>
      <c r="E1099" s="4"/>
      <c r="F1099" s="4" t="n">
        <v>250</v>
      </c>
      <c r="G1099" s="4" t="n">
        <v>2180.78</v>
      </c>
      <c r="L1099" s="1" t="str">
        <f aca="false">IF(ISNUMBER(SEARCH("Bundle",C1099)),"Bundles",IF(ISNUMBER(SEARCH("Airtime",C1099)),"Bundles",IF(ISNUMBER(SEARCH("Merchant",C1099)),"Merchant Payment",IF(ISNUMBER(SEARCH("Offnet C2B",C1099)),"Merchant Payment",IF(ISNUMBER(SEARCH("Offnet B2C",C1099)),"Merchant Payment",IF(ISNUMBER(SEARCH("Customer Payment to Small",C1099)),"Merchant Payment",IF(ISNUMBER(SEARCH("Payment to Small Business",C1099)),"Merchant Payment",IF(ISNUMBER(SEARCH("Sent to",C1099)),"Sent to Person",IF(ISNUMBER(SEARCH("Customer Transfer to",C1099)),"Sent to Person",IF(ISNUMBER(SEARCH("Business Payment",C1099)),"Money In",IF(ISNUMBER(SEARCH("Funds Received",C1099)),"Money In",IF(ISNUMBER(SEARCH("Receive International",C1099)),"Money In",IF(ISNUMBER(SEARCH("Send Money Reversal",C1099)),"Money In",IF(ISNUMBER(SEARCH("Pay Utility Reversal",C1099)),"Money In",IF(ISNUMBER(SEARCH("Customer Transfer",C1099)),"Money In",IF(ISNUMBER(SEARCH("Ziidi",C1099)),"Investment",IF(ISNUMBER(SEARCH("Nabo",C1099)),"Investment",IF(ISNUMBER(SEARCH("Paybill Online",C1099)),"Pay Bill",IF(ISNUMBER(SEARCH("Pay Bill",C1099)),"Pay Bill",IF(ISNUMBER(SEARCH("Spotify",C1099)),"Pay Bill",IF(ISNUMBER(SEARCH("M-Shwari",C1099)),"Mshwari",IF(ISNUMBER(SEARCH("Mshwari",C1099)),"Mshwari",IF(ISNUMBER(SEARCH("Withdrawal charge",C1099)),"Fees",IF(ISNUMBER(SEARCH("Customer Withdrawal",C1099)),"Fees",IF(ISNUMBER(SEARCH("charge",C1099)),"Fees","Other")))))))))))))))))))))))))</f>
        <v>Pay Bill</v>
      </c>
      <c r="R1099" s="1" t="str">
        <f aca="false">TEXT(B1099,"MMM YYYY")</f>
        <v>May 2026</v>
      </c>
    </row>
    <row r="1100" customFormat="false" ht="13.8" hidden="false" customHeight="false" outlineLevel="0" collapsed="false">
      <c r="A1100" s="4" t="s">
        <v>2266</v>
      </c>
      <c r="B1100" s="4" t="s">
        <v>2267</v>
      </c>
      <c r="C1100" s="4" t="s">
        <v>182</v>
      </c>
      <c r="D1100" s="4" t="s">
        <v>18</v>
      </c>
      <c r="E1100" s="4"/>
      <c r="F1100" s="4" t="n">
        <v>5</v>
      </c>
      <c r="G1100" s="4" t="n">
        <v>2175.78</v>
      </c>
      <c r="L1100" s="1" t="str">
        <f aca="false">IF(ISNUMBER(SEARCH("Bundle",C1100)),"Bundles",IF(ISNUMBER(SEARCH("Airtime",C1100)),"Bundles",IF(ISNUMBER(SEARCH("Merchant",C1100)),"Merchant Payment",IF(ISNUMBER(SEARCH("Offnet C2B",C1100)),"Merchant Payment",IF(ISNUMBER(SEARCH("Offnet B2C",C1100)),"Merchant Payment",IF(ISNUMBER(SEARCH("Customer Payment to Small",C1100)),"Merchant Payment",IF(ISNUMBER(SEARCH("Payment to Small Business",C1100)),"Merchant Payment",IF(ISNUMBER(SEARCH("Sent to",C1100)),"Sent to Person",IF(ISNUMBER(SEARCH("Customer Transfer to",C1100)),"Sent to Person",IF(ISNUMBER(SEARCH("Business Payment",C1100)),"Money In",IF(ISNUMBER(SEARCH("Funds Received",C1100)),"Money In",IF(ISNUMBER(SEARCH("Receive International",C1100)),"Money In",IF(ISNUMBER(SEARCH("Send Money Reversal",C1100)),"Money In",IF(ISNUMBER(SEARCH("Pay Utility Reversal",C1100)),"Money In",IF(ISNUMBER(SEARCH("Customer Transfer",C1100)),"Money In",IF(ISNUMBER(SEARCH("Ziidi",C1100)),"Investment",IF(ISNUMBER(SEARCH("Nabo",C1100)),"Investment",IF(ISNUMBER(SEARCH("Paybill Online",C1100)),"Pay Bill",IF(ISNUMBER(SEARCH("Pay Bill",C1100)),"Pay Bill",IF(ISNUMBER(SEARCH("Spotify",C1100)),"Pay Bill",IF(ISNUMBER(SEARCH("M-Shwari",C1100)),"Mshwari",IF(ISNUMBER(SEARCH("Mshwari",C1100)),"Mshwari",IF(ISNUMBER(SEARCH("Withdrawal charge",C1100)),"Fees",IF(ISNUMBER(SEARCH("Customer Withdrawal",C1100)),"Fees",IF(ISNUMBER(SEARCH("charge",C1100)),"Fees","Other")))))))))))))))))))))))))</f>
        <v>Pay Bill</v>
      </c>
      <c r="R1100" s="1" t="str">
        <f aca="false">TEXT(B1100,"MMM YYYY")</f>
        <v>May 2026</v>
      </c>
    </row>
    <row r="1101" customFormat="false" ht="13.8" hidden="false" customHeight="false" outlineLevel="0" collapsed="false">
      <c r="A1101" s="4" t="s">
        <v>2268</v>
      </c>
      <c r="B1101" s="4" t="s">
        <v>2269</v>
      </c>
      <c r="C1101" s="4" t="s">
        <v>49</v>
      </c>
      <c r="D1101" s="4" t="s">
        <v>18</v>
      </c>
      <c r="E1101" s="4"/>
      <c r="F1101" s="4" t="n">
        <v>100</v>
      </c>
      <c r="G1101" s="4" t="n">
        <v>2075.78</v>
      </c>
      <c r="L1101" s="1" t="str">
        <f aca="false">IF(ISNUMBER(SEARCH("Bundle",C1101)),"Bundles",IF(ISNUMBER(SEARCH("Airtime",C1101)),"Bundles",IF(ISNUMBER(SEARCH("Merchant",C1101)),"Merchant Payment",IF(ISNUMBER(SEARCH("Offnet C2B",C1101)),"Merchant Payment",IF(ISNUMBER(SEARCH("Offnet B2C",C1101)),"Merchant Payment",IF(ISNUMBER(SEARCH("Customer Payment to Small",C1101)),"Merchant Payment",IF(ISNUMBER(SEARCH("Payment to Small Business",C1101)),"Merchant Payment",IF(ISNUMBER(SEARCH("Sent to",C1101)),"Sent to Person",IF(ISNUMBER(SEARCH("Customer Transfer to",C1101)),"Sent to Person",IF(ISNUMBER(SEARCH("Business Payment",C1101)),"Money In",IF(ISNUMBER(SEARCH("Funds Received",C1101)),"Money In",IF(ISNUMBER(SEARCH("Receive International",C1101)),"Money In",IF(ISNUMBER(SEARCH("Send Money Reversal",C1101)),"Money In",IF(ISNUMBER(SEARCH("Pay Utility Reversal",C1101)),"Money In",IF(ISNUMBER(SEARCH("Customer Transfer",C1101)),"Money In",IF(ISNUMBER(SEARCH("Ziidi",C1101)),"Investment",IF(ISNUMBER(SEARCH("Nabo",C1101)),"Investment",IF(ISNUMBER(SEARCH("Paybill Online",C1101)),"Pay Bill",IF(ISNUMBER(SEARCH("Pay Bill",C1101)),"Pay Bill",IF(ISNUMBER(SEARCH("Spotify",C1101)),"Pay Bill",IF(ISNUMBER(SEARCH("M-Shwari",C1101)),"Mshwari",IF(ISNUMBER(SEARCH("Mshwari",C1101)),"Mshwari",IF(ISNUMBER(SEARCH("Withdrawal charge",C1101)),"Fees",IF(ISNUMBER(SEARCH("Customer Withdrawal",C1101)),"Fees",IF(ISNUMBER(SEARCH("charge",C1101)),"Fees","Other")))))))))))))))))))))))))</f>
        <v>Merchant Payment</v>
      </c>
      <c r="R1101" s="1" t="str">
        <f aca="false">TEXT(B1101,"MMM YYYY")</f>
        <v>May 2026</v>
      </c>
    </row>
    <row r="1102" customFormat="false" ht="13.8" hidden="false" customHeight="false" outlineLevel="0" collapsed="false">
      <c r="A1102" s="4" t="s">
        <v>2270</v>
      </c>
      <c r="B1102" s="4" t="s">
        <v>2271</v>
      </c>
      <c r="C1102" s="4" t="s">
        <v>1497</v>
      </c>
      <c r="D1102" s="4" t="s">
        <v>18</v>
      </c>
      <c r="E1102" s="4"/>
      <c r="F1102" s="4" t="n">
        <v>50</v>
      </c>
      <c r="G1102" s="4" t="n">
        <v>2025.78</v>
      </c>
      <c r="L1102" s="1" t="str">
        <f aca="false">IF(ISNUMBER(SEARCH("Bundle",C1102)),"Bundles",IF(ISNUMBER(SEARCH("Airtime",C1102)),"Bundles",IF(ISNUMBER(SEARCH("Merchant",C1102)),"Merchant Payment",IF(ISNUMBER(SEARCH("Offnet C2B",C1102)),"Merchant Payment",IF(ISNUMBER(SEARCH("Offnet B2C",C1102)),"Merchant Payment",IF(ISNUMBER(SEARCH("Customer Payment to Small",C1102)),"Merchant Payment",IF(ISNUMBER(SEARCH("Payment to Small Business",C1102)),"Merchant Payment",IF(ISNUMBER(SEARCH("Sent to",C1102)),"Sent to Person",IF(ISNUMBER(SEARCH("Customer Transfer to",C1102)),"Sent to Person",IF(ISNUMBER(SEARCH("Business Payment",C1102)),"Money In",IF(ISNUMBER(SEARCH("Funds Received",C1102)),"Money In",IF(ISNUMBER(SEARCH("Receive International",C1102)),"Money In",IF(ISNUMBER(SEARCH("Send Money Reversal",C1102)),"Money In",IF(ISNUMBER(SEARCH("Pay Utility Reversal",C1102)),"Money In",IF(ISNUMBER(SEARCH("Customer Transfer",C1102)),"Money In",IF(ISNUMBER(SEARCH("Ziidi",C1102)),"Investment",IF(ISNUMBER(SEARCH("Nabo",C1102)),"Investment",IF(ISNUMBER(SEARCH("Paybill Online",C1102)),"Pay Bill",IF(ISNUMBER(SEARCH("Pay Bill",C1102)),"Pay Bill",IF(ISNUMBER(SEARCH("Spotify",C1102)),"Pay Bill",IF(ISNUMBER(SEARCH("M-Shwari",C1102)),"Mshwari",IF(ISNUMBER(SEARCH("Mshwari",C1102)),"Mshwari",IF(ISNUMBER(SEARCH("Withdrawal charge",C1102)),"Fees",IF(ISNUMBER(SEARCH("Customer Withdrawal",C1102)),"Fees",IF(ISNUMBER(SEARCH("charge",C1102)),"Fees","Other")))))))))))))))))))))))))</f>
        <v>Merchant Payment</v>
      </c>
      <c r="R1102" s="1" t="str">
        <f aca="false">TEXT(B1102,"MMM YYYY")</f>
        <v>May 2026</v>
      </c>
    </row>
    <row r="1103" customFormat="false" ht="13.8" hidden="false" customHeight="false" outlineLevel="0" collapsed="false">
      <c r="A1103" s="4" t="s">
        <v>2272</v>
      </c>
      <c r="B1103" s="4" t="s">
        <v>2273</v>
      </c>
      <c r="C1103" s="4" t="s">
        <v>1152</v>
      </c>
      <c r="D1103" s="4" t="s">
        <v>18</v>
      </c>
      <c r="E1103" s="4" t="n">
        <v>1000</v>
      </c>
      <c r="F1103" s="4"/>
      <c r="G1103" s="4" t="n">
        <v>3025.78</v>
      </c>
      <c r="L1103" s="1" t="str">
        <f aca="false">IF(ISNUMBER(SEARCH("Bundle",C1103)),"Bundles",IF(ISNUMBER(SEARCH("Airtime",C1103)),"Bundles",IF(ISNUMBER(SEARCH("Merchant",C1103)),"Merchant Payment",IF(ISNUMBER(SEARCH("Offnet C2B",C1103)),"Merchant Payment",IF(ISNUMBER(SEARCH("Offnet B2C",C1103)),"Merchant Payment",IF(ISNUMBER(SEARCH("Customer Payment to Small",C1103)),"Merchant Payment",IF(ISNUMBER(SEARCH("Payment to Small Business",C1103)),"Merchant Payment",IF(ISNUMBER(SEARCH("Sent to",C1103)),"Sent to Person",IF(ISNUMBER(SEARCH("Customer Transfer to",C1103)),"Sent to Person",IF(ISNUMBER(SEARCH("Business Payment",C1103)),"Money In",IF(ISNUMBER(SEARCH("Funds Received",C1103)),"Money In",IF(ISNUMBER(SEARCH("Receive International",C1103)),"Money In",IF(ISNUMBER(SEARCH("Send Money Reversal",C1103)),"Money In",IF(ISNUMBER(SEARCH("Pay Utility Reversal",C1103)),"Money In",IF(ISNUMBER(SEARCH("Customer Transfer",C1103)),"Money In",IF(ISNUMBER(SEARCH("Ziidi",C1103)),"Investment",IF(ISNUMBER(SEARCH("Nabo",C1103)),"Investment",IF(ISNUMBER(SEARCH("Paybill Online",C1103)),"Pay Bill",IF(ISNUMBER(SEARCH("Pay Bill",C1103)),"Pay Bill",IF(ISNUMBER(SEARCH("Spotify",C1103)),"Pay Bill",IF(ISNUMBER(SEARCH("M-Shwari",C1103)),"Mshwari",IF(ISNUMBER(SEARCH("Mshwari",C1103)),"Mshwari",IF(ISNUMBER(SEARCH("Withdrawal charge",C1103)),"Fees",IF(ISNUMBER(SEARCH("Customer Withdrawal",C1103)),"Fees",IF(ISNUMBER(SEARCH("charge",C1103)),"Fees","Other")))))))))))))))))))))))))</f>
        <v>Money In</v>
      </c>
      <c r="R1103" s="1" t="str">
        <f aca="false">TEXT(B1103,"MMM YYYY")</f>
        <v>May 2026</v>
      </c>
    </row>
    <row r="1104" customFormat="false" ht="13.8" hidden="false" customHeight="false" outlineLevel="0" collapsed="false">
      <c r="A1104" s="4" t="s">
        <v>2274</v>
      </c>
      <c r="B1104" s="4" t="s">
        <v>2275</v>
      </c>
      <c r="C1104" s="4" t="s">
        <v>29</v>
      </c>
      <c r="D1104" s="4" t="s">
        <v>18</v>
      </c>
      <c r="E1104" s="4"/>
      <c r="F1104" s="4" t="n">
        <v>10</v>
      </c>
      <c r="G1104" s="4" t="n">
        <v>3015.78</v>
      </c>
      <c r="L1104" s="1" t="str">
        <f aca="false">IF(ISNUMBER(SEARCH("Bundle",C1104)),"Bundles",IF(ISNUMBER(SEARCH("Airtime",C1104)),"Bundles",IF(ISNUMBER(SEARCH("Merchant",C1104)),"Merchant Payment",IF(ISNUMBER(SEARCH("Offnet C2B",C1104)),"Merchant Payment",IF(ISNUMBER(SEARCH("Offnet B2C",C1104)),"Merchant Payment",IF(ISNUMBER(SEARCH("Customer Payment to Small",C1104)),"Merchant Payment",IF(ISNUMBER(SEARCH("Payment to Small Business",C1104)),"Merchant Payment",IF(ISNUMBER(SEARCH("Sent to",C1104)),"Sent to Person",IF(ISNUMBER(SEARCH("Customer Transfer to",C1104)),"Sent to Person",IF(ISNUMBER(SEARCH("Business Payment",C1104)),"Money In",IF(ISNUMBER(SEARCH("Funds Received",C1104)),"Money In",IF(ISNUMBER(SEARCH("Receive International",C1104)),"Money In",IF(ISNUMBER(SEARCH("Send Money Reversal",C1104)),"Money In",IF(ISNUMBER(SEARCH("Pay Utility Reversal",C1104)),"Money In",IF(ISNUMBER(SEARCH("Customer Transfer",C1104)),"Money In",IF(ISNUMBER(SEARCH("Ziidi",C1104)),"Investment",IF(ISNUMBER(SEARCH("Nabo",C1104)),"Investment",IF(ISNUMBER(SEARCH("Paybill Online",C1104)),"Pay Bill",IF(ISNUMBER(SEARCH("Pay Bill",C1104)),"Pay Bill",IF(ISNUMBER(SEARCH("Spotify",C1104)),"Pay Bill",IF(ISNUMBER(SEARCH("M-Shwari",C1104)),"Mshwari",IF(ISNUMBER(SEARCH("Mshwari",C1104)),"Mshwari",IF(ISNUMBER(SEARCH("Withdrawal charge",C1104)),"Fees",IF(ISNUMBER(SEARCH("Customer Withdrawal",C1104)),"Fees",IF(ISNUMBER(SEARCH("charge",C1104)),"Fees","Other")))))))))))))))))))))))))</f>
        <v>Bundles</v>
      </c>
      <c r="R1104" s="1" t="str">
        <f aca="false">TEXT(B1104,"MMM YYYY")</f>
        <v>May 2026</v>
      </c>
    </row>
    <row r="1105" customFormat="false" ht="13.8" hidden="false" customHeight="false" outlineLevel="0" collapsed="false">
      <c r="A1105" s="4" t="s">
        <v>2276</v>
      </c>
      <c r="B1105" s="4" t="s">
        <v>2277</v>
      </c>
      <c r="C1105" s="4" t="s">
        <v>17</v>
      </c>
      <c r="D1105" s="4" t="s">
        <v>18</v>
      </c>
      <c r="E1105" s="4"/>
      <c r="F1105" s="4" t="n">
        <v>20</v>
      </c>
      <c r="G1105" s="4" t="n">
        <v>2995.78</v>
      </c>
      <c r="L1105" s="1" t="str">
        <f aca="false">IF(ISNUMBER(SEARCH("Bundle",C1105)),"Bundles",IF(ISNUMBER(SEARCH("Airtime",C1105)),"Bundles",IF(ISNUMBER(SEARCH("Merchant",C1105)),"Merchant Payment",IF(ISNUMBER(SEARCH("Offnet C2B",C1105)),"Merchant Payment",IF(ISNUMBER(SEARCH("Offnet B2C",C1105)),"Merchant Payment",IF(ISNUMBER(SEARCH("Customer Payment to Small",C1105)),"Merchant Payment",IF(ISNUMBER(SEARCH("Payment to Small Business",C1105)),"Merchant Payment",IF(ISNUMBER(SEARCH("Sent to",C1105)),"Sent to Person",IF(ISNUMBER(SEARCH("Customer Transfer to",C1105)),"Sent to Person",IF(ISNUMBER(SEARCH("Business Payment",C1105)),"Money In",IF(ISNUMBER(SEARCH("Funds Received",C1105)),"Money In",IF(ISNUMBER(SEARCH("Receive International",C1105)),"Money In",IF(ISNUMBER(SEARCH("Send Money Reversal",C1105)),"Money In",IF(ISNUMBER(SEARCH("Pay Utility Reversal",C1105)),"Money In",IF(ISNUMBER(SEARCH("Customer Transfer",C1105)),"Money In",IF(ISNUMBER(SEARCH("Ziidi",C1105)),"Investment",IF(ISNUMBER(SEARCH("Nabo",C1105)),"Investment",IF(ISNUMBER(SEARCH("Paybill Online",C1105)),"Pay Bill",IF(ISNUMBER(SEARCH("Pay Bill",C1105)),"Pay Bill",IF(ISNUMBER(SEARCH("Spotify",C1105)),"Pay Bill",IF(ISNUMBER(SEARCH("M-Shwari",C1105)),"Mshwari",IF(ISNUMBER(SEARCH("Mshwari",C1105)),"Mshwari",IF(ISNUMBER(SEARCH("Withdrawal charge",C1105)),"Fees",IF(ISNUMBER(SEARCH("Customer Withdrawal",C1105)),"Fees",IF(ISNUMBER(SEARCH("charge",C1105)),"Fees","Other")))))))))))))))))))))))))</f>
        <v>Bundles</v>
      </c>
      <c r="R1105" s="1" t="str">
        <f aca="false">TEXT(B1105,"MMM YYYY")</f>
        <v>May 2026</v>
      </c>
    </row>
    <row r="1106" customFormat="false" ht="13.8" hidden="false" customHeight="false" outlineLevel="0" collapsed="false">
      <c r="A1106" s="4" t="s">
        <v>2278</v>
      </c>
      <c r="B1106" s="4" t="s">
        <v>2279</v>
      </c>
      <c r="C1106" s="4" t="s">
        <v>635</v>
      </c>
      <c r="D1106" s="4" t="s">
        <v>18</v>
      </c>
      <c r="E1106" s="4"/>
      <c r="F1106" s="4" t="n">
        <v>20</v>
      </c>
      <c r="G1106" s="4" t="n">
        <v>2975.78</v>
      </c>
      <c r="L1106" s="1" t="str">
        <f aca="false">IF(ISNUMBER(SEARCH("Bundle",C1106)),"Bundles",IF(ISNUMBER(SEARCH("Airtime",C1106)),"Bundles",IF(ISNUMBER(SEARCH("Merchant",C1106)),"Merchant Payment",IF(ISNUMBER(SEARCH("Offnet C2B",C1106)),"Merchant Payment",IF(ISNUMBER(SEARCH("Offnet B2C",C1106)),"Merchant Payment",IF(ISNUMBER(SEARCH("Customer Payment to Small",C1106)),"Merchant Payment",IF(ISNUMBER(SEARCH("Payment to Small Business",C1106)),"Merchant Payment",IF(ISNUMBER(SEARCH("Sent to",C1106)),"Sent to Person",IF(ISNUMBER(SEARCH("Customer Transfer to",C1106)),"Sent to Person",IF(ISNUMBER(SEARCH("Business Payment",C1106)),"Money In",IF(ISNUMBER(SEARCH("Funds Received",C1106)),"Money In",IF(ISNUMBER(SEARCH("Receive International",C1106)),"Money In",IF(ISNUMBER(SEARCH("Send Money Reversal",C1106)),"Money In",IF(ISNUMBER(SEARCH("Pay Utility Reversal",C1106)),"Money In",IF(ISNUMBER(SEARCH("Customer Transfer",C1106)),"Money In",IF(ISNUMBER(SEARCH("Ziidi",C1106)),"Investment",IF(ISNUMBER(SEARCH("Nabo",C1106)),"Investment",IF(ISNUMBER(SEARCH("Paybill Online",C1106)),"Pay Bill",IF(ISNUMBER(SEARCH("Pay Bill",C1106)),"Pay Bill",IF(ISNUMBER(SEARCH("Spotify",C1106)),"Pay Bill",IF(ISNUMBER(SEARCH("M-Shwari",C1106)),"Mshwari",IF(ISNUMBER(SEARCH("Mshwari",C1106)),"Mshwari",IF(ISNUMBER(SEARCH("Withdrawal charge",C1106)),"Fees",IF(ISNUMBER(SEARCH("Customer Withdrawal",C1106)),"Fees",IF(ISNUMBER(SEARCH("charge",C1106)),"Fees","Other")))))))))))))))))))))))))</f>
        <v>Merchant Payment</v>
      </c>
      <c r="R1106" s="1" t="str">
        <f aca="false">TEXT(B1106,"MMM YYYY")</f>
        <v>May 2026</v>
      </c>
    </row>
    <row r="1107" customFormat="false" ht="13.8" hidden="false" customHeight="false" outlineLevel="0" collapsed="false">
      <c r="A1107" s="4" t="s">
        <v>2280</v>
      </c>
      <c r="B1107" s="4" t="s">
        <v>2281</v>
      </c>
      <c r="C1107" s="4" t="s">
        <v>17</v>
      </c>
      <c r="D1107" s="4" t="s">
        <v>18</v>
      </c>
      <c r="E1107" s="4"/>
      <c r="F1107" s="4" t="n">
        <v>20</v>
      </c>
      <c r="G1107" s="4" t="n">
        <v>2955.78</v>
      </c>
      <c r="L1107" s="1" t="str">
        <f aca="false">IF(ISNUMBER(SEARCH("Bundle",C1107)),"Bundles",IF(ISNUMBER(SEARCH("Airtime",C1107)),"Bundles",IF(ISNUMBER(SEARCH("Merchant",C1107)),"Merchant Payment",IF(ISNUMBER(SEARCH("Offnet C2B",C1107)),"Merchant Payment",IF(ISNUMBER(SEARCH("Offnet B2C",C1107)),"Merchant Payment",IF(ISNUMBER(SEARCH("Customer Payment to Small",C1107)),"Merchant Payment",IF(ISNUMBER(SEARCH("Payment to Small Business",C1107)),"Merchant Payment",IF(ISNUMBER(SEARCH("Sent to",C1107)),"Sent to Person",IF(ISNUMBER(SEARCH("Customer Transfer to",C1107)),"Sent to Person",IF(ISNUMBER(SEARCH("Business Payment",C1107)),"Money In",IF(ISNUMBER(SEARCH("Funds Received",C1107)),"Money In",IF(ISNUMBER(SEARCH("Receive International",C1107)),"Money In",IF(ISNUMBER(SEARCH("Send Money Reversal",C1107)),"Money In",IF(ISNUMBER(SEARCH("Pay Utility Reversal",C1107)),"Money In",IF(ISNUMBER(SEARCH("Customer Transfer",C1107)),"Money In",IF(ISNUMBER(SEARCH("Ziidi",C1107)),"Investment",IF(ISNUMBER(SEARCH("Nabo",C1107)),"Investment",IF(ISNUMBER(SEARCH("Paybill Online",C1107)),"Pay Bill",IF(ISNUMBER(SEARCH("Pay Bill",C1107)),"Pay Bill",IF(ISNUMBER(SEARCH("Spotify",C1107)),"Pay Bill",IF(ISNUMBER(SEARCH("M-Shwari",C1107)),"Mshwari",IF(ISNUMBER(SEARCH("Mshwari",C1107)),"Mshwari",IF(ISNUMBER(SEARCH("Withdrawal charge",C1107)),"Fees",IF(ISNUMBER(SEARCH("Customer Withdrawal",C1107)),"Fees",IF(ISNUMBER(SEARCH("charge",C1107)),"Fees","Other")))))))))))))))))))))))))</f>
        <v>Bundles</v>
      </c>
      <c r="R1107" s="1" t="str">
        <f aca="false">TEXT(B1107,"MMM YYYY")</f>
        <v>May 2026</v>
      </c>
    </row>
    <row r="1108" customFormat="false" ht="13.8" hidden="false" customHeight="false" outlineLevel="0" collapsed="false">
      <c r="A1108" s="4" t="s">
        <v>2282</v>
      </c>
      <c r="B1108" s="4" t="s">
        <v>2283</v>
      </c>
      <c r="C1108" s="4" t="s">
        <v>239</v>
      </c>
      <c r="D1108" s="4" t="s">
        <v>18</v>
      </c>
      <c r="E1108" s="4"/>
      <c r="F1108" s="4" t="n">
        <v>7</v>
      </c>
      <c r="G1108" s="4" t="n">
        <v>2728.78</v>
      </c>
      <c r="L1108" s="1" t="str">
        <f aca="false">IF(ISNUMBER(SEARCH("Bundle",C1108)),"Bundles",IF(ISNUMBER(SEARCH("Airtime",C1108)),"Bundles",IF(ISNUMBER(SEARCH("Merchant",C1108)),"Merchant Payment",IF(ISNUMBER(SEARCH("Offnet C2B",C1108)),"Merchant Payment",IF(ISNUMBER(SEARCH("Offnet B2C",C1108)),"Merchant Payment",IF(ISNUMBER(SEARCH("Customer Payment to Small",C1108)),"Merchant Payment",IF(ISNUMBER(SEARCH("Payment to Small Business",C1108)),"Merchant Payment",IF(ISNUMBER(SEARCH("Sent to",C1108)),"Sent to Person",IF(ISNUMBER(SEARCH("Customer Transfer to",C1108)),"Sent to Person",IF(ISNUMBER(SEARCH("Business Payment",C1108)),"Money In",IF(ISNUMBER(SEARCH("Funds Received",C1108)),"Money In",IF(ISNUMBER(SEARCH("Receive International",C1108)),"Money In",IF(ISNUMBER(SEARCH("Send Money Reversal",C1108)),"Money In",IF(ISNUMBER(SEARCH("Pay Utility Reversal",C1108)),"Money In",IF(ISNUMBER(SEARCH("Customer Transfer",C1108)),"Money In",IF(ISNUMBER(SEARCH("Ziidi",C1108)),"Investment",IF(ISNUMBER(SEARCH("Nabo",C1108)),"Investment",IF(ISNUMBER(SEARCH("Paybill Online",C1108)),"Pay Bill",IF(ISNUMBER(SEARCH("Pay Bill",C1108)),"Pay Bill",IF(ISNUMBER(SEARCH("Spotify",C1108)),"Pay Bill",IF(ISNUMBER(SEARCH("M-Shwari",C1108)),"Mshwari",IF(ISNUMBER(SEARCH("Mshwari",C1108)),"Mshwari",IF(ISNUMBER(SEARCH("Withdrawal charge",C1108)),"Fees",IF(ISNUMBER(SEARCH("Customer Withdrawal",C1108)),"Fees",IF(ISNUMBER(SEARCH("charge",C1108)),"Fees","Other")))))))))))))))))))))))))</f>
        <v>Money In</v>
      </c>
      <c r="R1108" s="1" t="str">
        <f aca="false">TEXT(B1108,"MMM YYYY")</f>
        <v>May 2026</v>
      </c>
    </row>
    <row r="1109" customFormat="false" ht="13.8" hidden="false" customHeight="false" outlineLevel="0" collapsed="false">
      <c r="A1109" s="4" t="s">
        <v>2282</v>
      </c>
      <c r="B1109" s="4" t="s">
        <v>2283</v>
      </c>
      <c r="C1109" s="4" t="s">
        <v>787</v>
      </c>
      <c r="D1109" s="4" t="s">
        <v>18</v>
      </c>
      <c r="E1109" s="4"/>
      <c r="F1109" s="4" t="n">
        <v>220</v>
      </c>
      <c r="G1109" s="4" t="n">
        <v>2735.78</v>
      </c>
      <c r="L1109" s="1" t="str">
        <f aca="false">IF(ISNUMBER(SEARCH("Bundle",C1109)),"Bundles",IF(ISNUMBER(SEARCH("Airtime",C1109)),"Bundles",IF(ISNUMBER(SEARCH("Merchant",C1109)),"Merchant Payment",IF(ISNUMBER(SEARCH("Offnet C2B",C1109)),"Merchant Payment",IF(ISNUMBER(SEARCH("Offnet B2C",C1109)),"Merchant Payment",IF(ISNUMBER(SEARCH("Customer Payment to Small",C1109)),"Merchant Payment",IF(ISNUMBER(SEARCH("Payment to Small Business",C1109)),"Merchant Payment",IF(ISNUMBER(SEARCH("Sent to",C1109)),"Sent to Person",IF(ISNUMBER(SEARCH("Customer Transfer to",C1109)),"Sent to Person",IF(ISNUMBER(SEARCH("Business Payment",C1109)),"Money In",IF(ISNUMBER(SEARCH("Funds Received",C1109)),"Money In",IF(ISNUMBER(SEARCH("Receive International",C1109)),"Money In",IF(ISNUMBER(SEARCH("Send Money Reversal",C1109)),"Money In",IF(ISNUMBER(SEARCH("Pay Utility Reversal",C1109)),"Money In",IF(ISNUMBER(SEARCH("Customer Transfer",C1109)),"Money In",IF(ISNUMBER(SEARCH("Ziidi",C1109)),"Investment",IF(ISNUMBER(SEARCH("Nabo",C1109)),"Investment",IF(ISNUMBER(SEARCH("Paybill Online",C1109)),"Pay Bill",IF(ISNUMBER(SEARCH("Pay Bill",C1109)),"Pay Bill",IF(ISNUMBER(SEARCH("Spotify",C1109)),"Pay Bill",IF(ISNUMBER(SEARCH("M-Shwari",C1109)),"Mshwari",IF(ISNUMBER(SEARCH("Mshwari",C1109)),"Mshwari",IF(ISNUMBER(SEARCH("Withdrawal charge",C1109)),"Fees",IF(ISNUMBER(SEARCH("Customer Withdrawal",C1109)),"Fees",IF(ISNUMBER(SEARCH("charge",C1109)),"Fees","Other")))))))))))))))))))))))))</f>
        <v>Merchant Payment</v>
      </c>
      <c r="R1109" s="1" t="str">
        <f aca="false">TEXT(B1109,"MMM YYYY")</f>
        <v>May 2026</v>
      </c>
    </row>
    <row r="1110" customFormat="false" ht="13.8" hidden="false" customHeight="false" outlineLevel="0" collapsed="false">
      <c r="A1110" s="4" t="s">
        <v>2284</v>
      </c>
      <c r="B1110" s="4" t="s">
        <v>2285</v>
      </c>
      <c r="C1110" s="4" t="s">
        <v>1583</v>
      </c>
      <c r="D1110" s="4" t="s">
        <v>18</v>
      </c>
      <c r="E1110" s="4"/>
      <c r="F1110" s="4" t="n">
        <v>100</v>
      </c>
      <c r="G1110" s="4" t="n">
        <v>2628.78</v>
      </c>
      <c r="L1110" s="1" t="str">
        <f aca="false">IF(ISNUMBER(SEARCH("Bundle",C1110)),"Bundles",IF(ISNUMBER(SEARCH("Airtime",C1110)),"Bundles",IF(ISNUMBER(SEARCH("Merchant",C1110)),"Merchant Payment",IF(ISNUMBER(SEARCH("Offnet C2B",C1110)),"Merchant Payment",IF(ISNUMBER(SEARCH("Offnet B2C",C1110)),"Merchant Payment",IF(ISNUMBER(SEARCH("Customer Payment to Small",C1110)),"Merchant Payment",IF(ISNUMBER(SEARCH("Payment to Small Business",C1110)),"Merchant Payment",IF(ISNUMBER(SEARCH("Sent to",C1110)),"Sent to Person",IF(ISNUMBER(SEARCH("Customer Transfer to",C1110)),"Sent to Person",IF(ISNUMBER(SEARCH("Business Payment",C1110)),"Money In",IF(ISNUMBER(SEARCH("Funds Received",C1110)),"Money In",IF(ISNUMBER(SEARCH("Receive International",C1110)),"Money In",IF(ISNUMBER(SEARCH("Send Money Reversal",C1110)),"Money In",IF(ISNUMBER(SEARCH("Pay Utility Reversal",C1110)),"Money In",IF(ISNUMBER(SEARCH("Customer Transfer",C1110)),"Money In",IF(ISNUMBER(SEARCH("Ziidi",C1110)),"Investment",IF(ISNUMBER(SEARCH("Nabo",C1110)),"Investment",IF(ISNUMBER(SEARCH("Paybill Online",C1110)),"Pay Bill",IF(ISNUMBER(SEARCH("Pay Bill",C1110)),"Pay Bill",IF(ISNUMBER(SEARCH("Spotify",C1110)),"Pay Bill",IF(ISNUMBER(SEARCH("M-Shwari",C1110)),"Mshwari",IF(ISNUMBER(SEARCH("Mshwari",C1110)),"Mshwari",IF(ISNUMBER(SEARCH("Withdrawal charge",C1110)),"Fees",IF(ISNUMBER(SEARCH("Customer Withdrawal",C1110)),"Fees",IF(ISNUMBER(SEARCH("charge",C1110)),"Fees","Other")))))))))))))))))))))))))</f>
        <v>Merchant Payment</v>
      </c>
      <c r="R1110" s="1" t="str">
        <f aca="false">TEXT(B1110,"MMM YYYY")</f>
        <v>May 2026</v>
      </c>
    </row>
    <row r="1111" customFormat="false" ht="13.8" hidden="false" customHeight="false" outlineLevel="0" collapsed="false">
      <c r="A1111" s="4" t="s">
        <v>2286</v>
      </c>
      <c r="B1111" s="4" t="s">
        <v>2287</v>
      </c>
      <c r="C1111" s="4" t="s">
        <v>29</v>
      </c>
      <c r="D1111" s="4" t="s">
        <v>18</v>
      </c>
      <c r="E1111" s="4"/>
      <c r="F1111" s="4" t="n">
        <v>10</v>
      </c>
      <c r="G1111" s="4" t="n">
        <v>2618.78</v>
      </c>
      <c r="L1111" s="1" t="str">
        <f aca="false">IF(ISNUMBER(SEARCH("Bundle",C1111)),"Bundles",IF(ISNUMBER(SEARCH("Airtime",C1111)),"Bundles",IF(ISNUMBER(SEARCH("Merchant",C1111)),"Merchant Payment",IF(ISNUMBER(SEARCH("Offnet C2B",C1111)),"Merchant Payment",IF(ISNUMBER(SEARCH("Offnet B2C",C1111)),"Merchant Payment",IF(ISNUMBER(SEARCH("Customer Payment to Small",C1111)),"Merchant Payment",IF(ISNUMBER(SEARCH("Payment to Small Business",C1111)),"Merchant Payment",IF(ISNUMBER(SEARCH("Sent to",C1111)),"Sent to Person",IF(ISNUMBER(SEARCH("Customer Transfer to",C1111)),"Sent to Person",IF(ISNUMBER(SEARCH("Business Payment",C1111)),"Money In",IF(ISNUMBER(SEARCH("Funds Received",C1111)),"Money In",IF(ISNUMBER(SEARCH("Receive International",C1111)),"Money In",IF(ISNUMBER(SEARCH("Send Money Reversal",C1111)),"Money In",IF(ISNUMBER(SEARCH("Pay Utility Reversal",C1111)),"Money In",IF(ISNUMBER(SEARCH("Customer Transfer",C1111)),"Money In",IF(ISNUMBER(SEARCH("Ziidi",C1111)),"Investment",IF(ISNUMBER(SEARCH("Nabo",C1111)),"Investment",IF(ISNUMBER(SEARCH("Paybill Online",C1111)),"Pay Bill",IF(ISNUMBER(SEARCH("Pay Bill",C1111)),"Pay Bill",IF(ISNUMBER(SEARCH("Spotify",C1111)),"Pay Bill",IF(ISNUMBER(SEARCH("M-Shwari",C1111)),"Mshwari",IF(ISNUMBER(SEARCH("Mshwari",C1111)),"Mshwari",IF(ISNUMBER(SEARCH("Withdrawal charge",C1111)),"Fees",IF(ISNUMBER(SEARCH("Customer Withdrawal",C1111)),"Fees",IF(ISNUMBER(SEARCH("charge",C1111)),"Fees","Other")))))))))))))))))))))))))</f>
        <v>Bundles</v>
      </c>
      <c r="R1111" s="1" t="str">
        <f aca="false">TEXT(B1111,"MMM YYYY")</f>
        <v>May 2026</v>
      </c>
    </row>
    <row r="1112" customFormat="false" ht="13.8" hidden="false" customHeight="false" outlineLevel="0" collapsed="false">
      <c r="A1112" s="4" t="s">
        <v>2288</v>
      </c>
      <c r="B1112" s="4" t="s">
        <v>2289</v>
      </c>
      <c r="C1112" s="4" t="s">
        <v>29</v>
      </c>
      <c r="D1112" s="4" t="s">
        <v>18</v>
      </c>
      <c r="E1112" s="4"/>
      <c r="F1112" s="4" t="n">
        <v>10</v>
      </c>
      <c r="G1112" s="4" t="n">
        <v>2608.78</v>
      </c>
      <c r="L1112" s="1" t="str">
        <f aca="false">IF(ISNUMBER(SEARCH("Bundle",C1112)),"Bundles",IF(ISNUMBER(SEARCH("Airtime",C1112)),"Bundles",IF(ISNUMBER(SEARCH("Merchant",C1112)),"Merchant Payment",IF(ISNUMBER(SEARCH("Offnet C2B",C1112)),"Merchant Payment",IF(ISNUMBER(SEARCH("Offnet B2C",C1112)),"Merchant Payment",IF(ISNUMBER(SEARCH("Customer Payment to Small",C1112)),"Merchant Payment",IF(ISNUMBER(SEARCH("Payment to Small Business",C1112)),"Merchant Payment",IF(ISNUMBER(SEARCH("Sent to",C1112)),"Sent to Person",IF(ISNUMBER(SEARCH("Customer Transfer to",C1112)),"Sent to Person",IF(ISNUMBER(SEARCH("Business Payment",C1112)),"Money In",IF(ISNUMBER(SEARCH("Funds Received",C1112)),"Money In",IF(ISNUMBER(SEARCH("Receive International",C1112)),"Money In",IF(ISNUMBER(SEARCH("Send Money Reversal",C1112)),"Money In",IF(ISNUMBER(SEARCH("Pay Utility Reversal",C1112)),"Money In",IF(ISNUMBER(SEARCH("Customer Transfer",C1112)),"Money In",IF(ISNUMBER(SEARCH("Ziidi",C1112)),"Investment",IF(ISNUMBER(SEARCH("Nabo",C1112)),"Investment",IF(ISNUMBER(SEARCH("Paybill Online",C1112)),"Pay Bill",IF(ISNUMBER(SEARCH("Pay Bill",C1112)),"Pay Bill",IF(ISNUMBER(SEARCH("Spotify",C1112)),"Pay Bill",IF(ISNUMBER(SEARCH("M-Shwari",C1112)),"Mshwari",IF(ISNUMBER(SEARCH("Mshwari",C1112)),"Mshwari",IF(ISNUMBER(SEARCH("Withdrawal charge",C1112)),"Fees",IF(ISNUMBER(SEARCH("Customer Withdrawal",C1112)),"Fees",IF(ISNUMBER(SEARCH("charge",C1112)),"Fees","Other")))))))))))))))))))))))))</f>
        <v>Bundles</v>
      </c>
      <c r="R1112" s="1" t="str">
        <f aca="false">TEXT(B1112,"MMM YYYY")</f>
        <v>May 2026</v>
      </c>
    </row>
    <row r="1113" customFormat="false" ht="13.8" hidden="false" customHeight="false" outlineLevel="0" collapsed="false">
      <c r="A1113" s="4" t="s">
        <v>2290</v>
      </c>
      <c r="B1113" s="4" t="s">
        <v>2291</v>
      </c>
      <c r="C1113" s="4" t="s">
        <v>17</v>
      </c>
      <c r="D1113" s="4" t="s">
        <v>18</v>
      </c>
      <c r="E1113" s="4"/>
      <c r="F1113" s="4" t="n">
        <v>20</v>
      </c>
      <c r="G1113" s="4" t="n">
        <v>2588.78</v>
      </c>
      <c r="L1113" s="1" t="str">
        <f aca="false">IF(ISNUMBER(SEARCH("Bundle",C1113)),"Bundles",IF(ISNUMBER(SEARCH("Airtime",C1113)),"Bundles",IF(ISNUMBER(SEARCH("Merchant",C1113)),"Merchant Payment",IF(ISNUMBER(SEARCH("Offnet C2B",C1113)),"Merchant Payment",IF(ISNUMBER(SEARCH("Offnet B2C",C1113)),"Merchant Payment",IF(ISNUMBER(SEARCH("Customer Payment to Small",C1113)),"Merchant Payment",IF(ISNUMBER(SEARCH("Payment to Small Business",C1113)),"Merchant Payment",IF(ISNUMBER(SEARCH("Sent to",C1113)),"Sent to Person",IF(ISNUMBER(SEARCH("Customer Transfer to",C1113)),"Sent to Person",IF(ISNUMBER(SEARCH("Business Payment",C1113)),"Money In",IF(ISNUMBER(SEARCH("Funds Received",C1113)),"Money In",IF(ISNUMBER(SEARCH("Receive International",C1113)),"Money In",IF(ISNUMBER(SEARCH("Send Money Reversal",C1113)),"Money In",IF(ISNUMBER(SEARCH("Pay Utility Reversal",C1113)),"Money In",IF(ISNUMBER(SEARCH("Customer Transfer",C1113)),"Money In",IF(ISNUMBER(SEARCH("Ziidi",C1113)),"Investment",IF(ISNUMBER(SEARCH("Nabo",C1113)),"Investment",IF(ISNUMBER(SEARCH("Paybill Online",C1113)),"Pay Bill",IF(ISNUMBER(SEARCH("Pay Bill",C1113)),"Pay Bill",IF(ISNUMBER(SEARCH("Spotify",C1113)),"Pay Bill",IF(ISNUMBER(SEARCH("M-Shwari",C1113)),"Mshwari",IF(ISNUMBER(SEARCH("Mshwari",C1113)),"Mshwari",IF(ISNUMBER(SEARCH("Withdrawal charge",C1113)),"Fees",IF(ISNUMBER(SEARCH("Customer Withdrawal",C1113)),"Fees",IF(ISNUMBER(SEARCH("charge",C1113)),"Fees","Other")))))))))))))))))))))))))</f>
        <v>Bundles</v>
      </c>
      <c r="R1113" s="1" t="str">
        <f aca="false">TEXT(B1113,"MMM YYYY")</f>
        <v>May 2026</v>
      </c>
    </row>
    <row r="1114" customFormat="false" ht="13.8" hidden="false" customHeight="false" outlineLevel="0" collapsed="false">
      <c r="A1114" s="4" t="s">
        <v>2292</v>
      </c>
      <c r="B1114" s="4" t="s">
        <v>2293</v>
      </c>
      <c r="C1114" s="4" t="s">
        <v>1944</v>
      </c>
      <c r="D1114" s="4" t="s">
        <v>18</v>
      </c>
      <c r="E1114" s="4"/>
      <c r="F1114" s="4" t="n">
        <v>80</v>
      </c>
      <c r="G1114" s="4" t="n">
        <v>2508.78</v>
      </c>
      <c r="L1114" s="1" t="str">
        <f aca="false">IF(ISNUMBER(SEARCH("Bundle",C1114)),"Bundles",IF(ISNUMBER(SEARCH("Airtime",C1114)),"Bundles",IF(ISNUMBER(SEARCH("Merchant",C1114)),"Merchant Payment",IF(ISNUMBER(SEARCH("Offnet C2B",C1114)),"Merchant Payment",IF(ISNUMBER(SEARCH("Offnet B2C",C1114)),"Merchant Payment",IF(ISNUMBER(SEARCH("Customer Payment to Small",C1114)),"Merchant Payment",IF(ISNUMBER(SEARCH("Payment to Small Business",C1114)),"Merchant Payment",IF(ISNUMBER(SEARCH("Sent to",C1114)),"Sent to Person",IF(ISNUMBER(SEARCH("Customer Transfer to",C1114)),"Sent to Person",IF(ISNUMBER(SEARCH("Business Payment",C1114)),"Money In",IF(ISNUMBER(SEARCH("Funds Received",C1114)),"Money In",IF(ISNUMBER(SEARCH("Receive International",C1114)),"Money In",IF(ISNUMBER(SEARCH("Send Money Reversal",C1114)),"Money In",IF(ISNUMBER(SEARCH("Pay Utility Reversal",C1114)),"Money In",IF(ISNUMBER(SEARCH("Customer Transfer",C1114)),"Money In",IF(ISNUMBER(SEARCH("Ziidi",C1114)),"Investment",IF(ISNUMBER(SEARCH("Nabo",C1114)),"Investment",IF(ISNUMBER(SEARCH("Paybill Online",C1114)),"Pay Bill",IF(ISNUMBER(SEARCH("Pay Bill",C1114)),"Pay Bill",IF(ISNUMBER(SEARCH("Spotify",C1114)),"Pay Bill",IF(ISNUMBER(SEARCH("M-Shwari",C1114)),"Mshwari",IF(ISNUMBER(SEARCH("Mshwari",C1114)),"Mshwari",IF(ISNUMBER(SEARCH("Withdrawal charge",C1114)),"Fees",IF(ISNUMBER(SEARCH("Customer Withdrawal",C1114)),"Fees",IF(ISNUMBER(SEARCH("charge",C1114)),"Fees","Other")))))))))))))))))))))))))</f>
        <v>Merchant Payment</v>
      </c>
      <c r="R1114" s="1" t="str">
        <f aca="false">TEXT(B1114,"MMM YYYY")</f>
        <v>May 2026</v>
      </c>
    </row>
    <row r="1115" customFormat="false" ht="13.8" hidden="false" customHeight="false" outlineLevel="0" collapsed="false">
      <c r="A1115" s="4" t="s">
        <v>2294</v>
      </c>
      <c r="B1115" s="4" t="s">
        <v>2295</v>
      </c>
      <c r="C1115" s="4" t="s">
        <v>29</v>
      </c>
      <c r="D1115" s="4" t="s">
        <v>18</v>
      </c>
      <c r="E1115" s="4"/>
      <c r="F1115" s="4" t="n">
        <v>10</v>
      </c>
      <c r="G1115" s="4" t="n">
        <v>2498.78</v>
      </c>
      <c r="L1115" s="1" t="str">
        <f aca="false">IF(ISNUMBER(SEARCH("Bundle",C1115)),"Bundles",IF(ISNUMBER(SEARCH("Airtime",C1115)),"Bundles",IF(ISNUMBER(SEARCH("Merchant",C1115)),"Merchant Payment",IF(ISNUMBER(SEARCH("Offnet C2B",C1115)),"Merchant Payment",IF(ISNUMBER(SEARCH("Offnet B2C",C1115)),"Merchant Payment",IF(ISNUMBER(SEARCH("Customer Payment to Small",C1115)),"Merchant Payment",IF(ISNUMBER(SEARCH("Payment to Small Business",C1115)),"Merchant Payment",IF(ISNUMBER(SEARCH("Sent to",C1115)),"Sent to Person",IF(ISNUMBER(SEARCH("Customer Transfer to",C1115)),"Sent to Person",IF(ISNUMBER(SEARCH("Business Payment",C1115)),"Money In",IF(ISNUMBER(SEARCH("Funds Received",C1115)),"Money In",IF(ISNUMBER(SEARCH("Receive International",C1115)),"Money In",IF(ISNUMBER(SEARCH("Send Money Reversal",C1115)),"Money In",IF(ISNUMBER(SEARCH("Pay Utility Reversal",C1115)),"Money In",IF(ISNUMBER(SEARCH("Customer Transfer",C1115)),"Money In",IF(ISNUMBER(SEARCH("Ziidi",C1115)),"Investment",IF(ISNUMBER(SEARCH("Nabo",C1115)),"Investment",IF(ISNUMBER(SEARCH("Paybill Online",C1115)),"Pay Bill",IF(ISNUMBER(SEARCH("Pay Bill",C1115)),"Pay Bill",IF(ISNUMBER(SEARCH("Spotify",C1115)),"Pay Bill",IF(ISNUMBER(SEARCH("M-Shwari",C1115)),"Mshwari",IF(ISNUMBER(SEARCH("Mshwari",C1115)),"Mshwari",IF(ISNUMBER(SEARCH("Withdrawal charge",C1115)),"Fees",IF(ISNUMBER(SEARCH("Customer Withdrawal",C1115)),"Fees",IF(ISNUMBER(SEARCH("charge",C1115)),"Fees","Other")))))))))))))))))))))))))</f>
        <v>Bundles</v>
      </c>
      <c r="R1115" s="1" t="str">
        <f aca="false">TEXT(B1115,"MMM YYYY")</f>
        <v>May 2026</v>
      </c>
    </row>
    <row r="1116" customFormat="false" ht="13.8" hidden="false" customHeight="false" outlineLevel="0" collapsed="false">
      <c r="A1116" s="4" t="s">
        <v>2296</v>
      </c>
      <c r="B1116" s="4" t="s">
        <v>2297</v>
      </c>
      <c r="C1116" s="4" t="s">
        <v>2298</v>
      </c>
      <c r="D1116" s="4" t="s">
        <v>18</v>
      </c>
      <c r="E1116" s="4"/>
      <c r="F1116" s="4" t="n">
        <v>1850</v>
      </c>
      <c r="G1116" s="4" t="n">
        <v>648.78</v>
      </c>
      <c r="L1116" s="1" t="str">
        <f aca="false">IF(ISNUMBER(SEARCH("Bundle",C1116)),"Bundles",IF(ISNUMBER(SEARCH("Airtime",C1116)),"Bundles",IF(ISNUMBER(SEARCH("Merchant",C1116)),"Merchant Payment",IF(ISNUMBER(SEARCH("Offnet C2B",C1116)),"Merchant Payment",IF(ISNUMBER(SEARCH("Offnet B2C",C1116)),"Merchant Payment",IF(ISNUMBER(SEARCH("Customer Payment to Small",C1116)),"Merchant Payment",IF(ISNUMBER(SEARCH("Payment to Small Business",C1116)),"Merchant Payment",IF(ISNUMBER(SEARCH("Sent to",C1116)),"Sent to Person",IF(ISNUMBER(SEARCH("Customer Transfer to",C1116)),"Sent to Person",IF(ISNUMBER(SEARCH("Business Payment",C1116)),"Money In",IF(ISNUMBER(SEARCH("Funds Received",C1116)),"Money In",IF(ISNUMBER(SEARCH("Receive International",C1116)),"Money In",IF(ISNUMBER(SEARCH("Send Money Reversal",C1116)),"Money In",IF(ISNUMBER(SEARCH("Pay Utility Reversal",C1116)),"Money In",IF(ISNUMBER(SEARCH("Customer Transfer",C1116)),"Money In",IF(ISNUMBER(SEARCH("Ziidi",C1116)),"Investment",IF(ISNUMBER(SEARCH("Nabo",C1116)),"Investment",IF(ISNUMBER(SEARCH("Paybill Online",C1116)),"Pay Bill",IF(ISNUMBER(SEARCH("Pay Bill",C1116)),"Pay Bill",IF(ISNUMBER(SEARCH("Spotify",C1116)),"Pay Bill",IF(ISNUMBER(SEARCH("M-Shwari",C1116)),"Mshwari",IF(ISNUMBER(SEARCH("Mshwari",C1116)),"Mshwari",IF(ISNUMBER(SEARCH("Withdrawal charge",C1116)),"Fees",IF(ISNUMBER(SEARCH("Customer Withdrawal",C1116)),"Fees",IF(ISNUMBER(SEARCH("charge",C1116)),"Fees","Other")))))))))))))))))))))))))</f>
        <v>Pay Bill</v>
      </c>
      <c r="R1116" s="1" t="str">
        <f aca="false">TEXT(B1116,"MMM YYYY")</f>
        <v>May 2026</v>
      </c>
    </row>
    <row r="1117" customFormat="false" ht="13.8" hidden="false" customHeight="false" outlineLevel="0" collapsed="false">
      <c r="A1117" s="4" t="s">
        <v>2296</v>
      </c>
      <c r="B1117" s="4" t="s">
        <v>2297</v>
      </c>
      <c r="C1117" s="4" t="s">
        <v>182</v>
      </c>
      <c r="D1117" s="4" t="s">
        <v>18</v>
      </c>
      <c r="E1117" s="4"/>
      <c r="F1117" s="4" t="n">
        <v>20</v>
      </c>
      <c r="G1117" s="4" t="n">
        <v>628.78</v>
      </c>
      <c r="L1117" s="1" t="str">
        <f aca="false">IF(ISNUMBER(SEARCH("Bundle",C1117)),"Bundles",IF(ISNUMBER(SEARCH("Airtime",C1117)),"Bundles",IF(ISNUMBER(SEARCH("Merchant",C1117)),"Merchant Payment",IF(ISNUMBER(SEARCH("Offnet C2B",C1117)),"Merchant Payment",IF(ISNUMBER(SEARCH("Offnet B2C",C1117)),"Merchant Payment",IF(ISNUMBER(SEARCH("Customer Payment to Small",C1117)),"Merchant Payment",IF(ISNUMBER(SEARCH("Payment to Small Business",C1117)),"Merchant Payment",IF(ISNUMBER(SEARCH("Sent to",C1117)),"Sent to Person",IF(ISNUMBER(SEARCH("Customer Transfer to",C1117)),"Sent to Person",IF(ISNUMBER(SEARCH("Business Payment",C1117)),"Money In",IF(ISNUMBER(SEARCH("Funds Received",C1117)),"Money In",IF(ISNUMBER(SEARCH("Receive International",C1117)),"Money In",IF(ISNUMBER(SEARCH("Send Money Reversal",C1117)),"Money In",IF(ISNUMBER(SEARCH("Pay Utility Reversal",C1117)),"Money In",IF(ISNUMBER(SEARCH("Customer Transfer",C1117)),"Money In",IF(ISNUMBER(SEARCH("Ziidi",C1117)),"Investment",IF(ISNUMBER(SEARCH("Nabo",C1117)),"Investment",IF(ISNUMBER(SEARCH("Paybill Online",C1117)),"Pay Bill",IF(ISNUMBER(SEARCH("Pay Bill",C1117)),"Pay Bill",IF(ISNUMBER(SEARCH("Spotify",C1117)),"Pay Bill",IF(ISNUMBER(SEARCH("M-Shwari",C1117)),"Mshwari",IF(ISNUMBER(SEARCH("Mshwari",C1117)),"Mshwari",IF(ISNUMBER(SEARCH("Withdrawal charge",C1117)),"Fees",IF(ISNUMBER(SEARCH("Customer Withdrawal",C1117)),"Fees",IF(ISNUMBER(SEARCH("charge",C1117)),"Fees","Other")))))))))))))))))))))))))</f>
        <v>Pay Bill</v>
      </c>
      <c r="R1117" s="1" t="str">
        <f aca="false">TEXT(B1117,"MMM YYYY")</f>
        <v>May 2026</v>
      </c>
    </row>
    <row r="1118" customFormat="false" ht="13.8" hidden="false" customHeight="false" outlineLevel="0" collapsed="false">
      <c r="A1118" s="4" t="s">
        <v>2299</v>
      </c>
      <c r="B1118" s="4" t="s">
        <v>2300</v>
      </c>
      <c r="C1118" s="4" t="s">
        <v>17</v>
      </c>
      <c r="D1118" s="4" t="s">
        <v>18</v>
      </c>
      <c r="E1118" s="4"/>
      <c r="F1118" s="4" t="n">
        <v>20</v>
      </c>
      <c r="G1118" s="4" t="n">
        <v>608.78</v>
      </c>
      <c r="L1118" s="1" t="str">
        <f aca="false">IF(ISNUMBER(SEARCH("Bundle",C1118)),"Bundles",IF(ISNUMBER(SEARCH("Airtime",C1118)),"Bundles",IF(ISNUMBER(SEARCH("Merchant",C1118)),"Merchant Payment",IF(ISNUMBER(SEARCH("Offnet C2B",C1118)),"Merchant Payment",IF(ISNUMBER(SEARCH("Offnet B2C",C1118)),"Merchant Payment",IF(ISNUMBER(SEARCH("Customer Payment to Small",C1118)),"Merchant Payment",IF(ISNUMBER(SEARCH("Payment to Small Business",C1118)),"Merchant Payment",IF(ISNUMBER(SEARCH("Sent to",C1118)),"Sent to Person",IF(ISNUMBER(SEARCH("Customer Transfer to",C1118)),"Sent to Person",IF(ISNUMBER(SEARCH("Business Payment",C1118)),"Money In",IF(ISNUMBER(SEARCH("Funds Received",C1118)),"Money In",IF(ISNUMBER(SEARCH("Receive International",C1118)),"Money In",IF(ISNUMBER(SEARCH("Send Money Reversal",C1118)),"Money In",IF(ISNUMBER(SEARCH("Pay Utility Reversal",C1118)),"Money In",IF(ISNUMBER(SEARCH("Customer Transfer",C1118)),"Money In",IF(ISNUMBER(SEARCH("Ziidi",C1118)),"Investment",IF(ISNUMBER(SEARCH("Nabo",C1118)),"Investment",IF(ISNUMBER(SEARCH("Paybill Online",C1118)),"Pay Bill",IF(ISNUMBER(SEARCH("Pay Bill",C1118)),"Pay Bill",IF(ISNUMBER(SEARCH("Spotify",C1118)),"Pay Bill",IF(ISNUMBER(SEARCH("M-Shwari",C1118)),"Mshwari",IF(ISNUMBER(SEARCH("Mshwari",C1118)),"Mshwari",IF(ISNUMBER(SEARCH("Withdrawal charge",C1118)),"Fees",IF(ISNUMBER(SEARCH("Customer Withdrawal",C1118)),"Fees",IF(ISNUMBER(SEARCH("charge",C1118)),"Fees","Other")))))))))))))))))))))))))</f>
        <v>Bundles</v>
      </c>
      <c r="R1118" s="1" t="str">
        <f aca="false">TEXT(B1118,"MMM YYYY")</f>
        <v>May 2026</v>
      </c>
    </row>
    <row r="1119" customFormat="false" ht="13.8" hidden="false" customHeight="false" outlineLevel="0" collapsed="false">
      <c r="A1119" s="4" t="s">
        <v>2301</v>
      </c>
      <c r="B1119" s="4" t="s">
        <v>2302</v>
      </c>
      <c r="C1119" s="4" t="s">
        <v>192</v>
      </c>
      <c r="D1119" s="4" t="s">
        <v>18</v>
      </c>
      <c r="E1119" s="4" t="n">
        <v>1000</v>
      </c>
      <c r="F1119" s="4"/>
      <c r="G1119" s="4" t="n">
        <v>1608.78</v>
      </c>
      <c r="L1119" s="1" t="str">
        <f aca="false">IF(ISNUMBER(SEARCH("Bundle",C1119)),"Bundles",IF(ISNUMBER(SEARCH("Airtime",C1119)),"Bundles",IF(ISNUMBER(SEARCH("Merchant",C1119)),"Merchant Payment",IF(ISNUMBER(SEARCH("Offnet C2B",C1119)),"Merchant Payment",IF(ISNUMBER(SEARCH("Offnet B2C",C1119)),"Merchant Payment",IF(ISNUMBER(SEARCH("Customer Payment to Small",C1119)),"Merchant Payment",IF(ISNUMBER(SEARCH("Payment to Small Business",C1119)),"Merchant Payment",IF(ISNUMBER(SEARCH("Sent to",C1119)),"Sent to Person",IF(ISNUMBER(SEARCH("Customer Transfer to",C1119)),"Sent to Person",IF(ISNUMBER(SEARCH("Business Payment",C1119)),"Money In",IF(ISNUMBER(SEARCH("Funds Received",C1119)),"Money In",IF(ISNUMBER(SEARCH("Receive International",C1119)),"Money In",IF(ISNUMBER(SEARCH("Send Money Reversal",C1119)),"Money In",IF(ISNUMBER(SEARCH("Pay Utility Reversal",C1119)),"Money In",IF(ISNUMBER(SEARCH("Customer Transfer",C1119)),"Money In",IF(ISNUMBER(SEARCH("Ziidi",C1119)),"Investment",IF(ISNUMBER(SEARCH("Nabo",C1119)),"Investment",IF(ISNUMBER(SEARCH("Paybill Online",C1119)),"Pay Bill",IF(ISNUMBER(SEARCH("Pay Bill",C1119)),"Pay Bill",IF(ISNUMBER(SEARCH("Spotify",C1119)),"Pay Bill",IF(ISNUMBER(SEARCH("M-Shwari",C1119)),"Mshwari",IF(ISNUMBER(SEARCH("Mshwari",C1119)),"Mshwari",IF(ISNUMBER(SEARCH("Withdrawal charge",C1119)),"Fees",IF(ISNUMBER(SEARCH("Customer Withdrawal",C1119)),"Fees",IF(ISNUMBER(SEARCH("charge",C1119)),"Fees","Other")))))))))))))))))))))))))</f>
        <v>Mshwari</v>
      </c>
      <c r="R1119" s="1" t="str">
        <f aca="false">TEXT(B1119,"MMM YYYY")</f>
        <v>May 2026</v>
      </c>
    </row>
    <row r="1120" customFormat="false" ht="13.8" hidden="false" customHeight="false" outlineLevel="0" collapsed="false">
      <c r="A1120" s="4" t="s">
        <v>2303</v>
      </c>
      <c r="B1120" s="4" t="s">
        <v>2304</v>
      </c>
      <c r="C1120" s="4" t="s">
        <v>239</v>
      </c>
      <c r="D1120" s="4" t="s">
        <v>18</v>
      </c>
      <c r="E1120" s="4"/>
      <c r="F1120" s="4" t="n">
        <v>13</v>
      </c>
      <c r="G1120" s="4" t="n">
        <v>795.78</v>
      </c>
      <c r="L1120" s="1" t="str">
        <f aca="false">IF(ISNUMBER(SEARCH("Bundle",C1120)),"Bundles",IF(ISNUMBER(SEARCH("Airtime",C1120)),"Bundles",IF(ISNUMBER(SEARCH("Merchant",C1120)),"Merchant Payment",IF(ISNUMBER(SEARCH("Offnet C2B",C1120)),"Merchant Payment",IF(ISNUMBER(SEARCH("Offnet B2C",C1120)),"Merchant Payment",IF(ISNUMBER(SEARCH("Customer Payment to Small",C1120)),"Merchant Payment",IF(ISNUMBER(SEARCH("Payment to Small Business",C1120)),"Merchant Payment",IF(ISNUMBER(SEARCH("Sent to",C1120)),"Sent to Person",IF(ISNUMBER(SEARCH("Customer Transfer to",C1120)),"Sent to Person",IF(ISNUMBER(SEARCH("Business Payment",C1120)),"Money In",IF(ISNUMBER(SEARCH("Funds Received",C1120)),"Money In",IF(ISNUMBER(SEARCH("Receive International",C1120)),"Money In",IF(ISNUMBER(SEARCH("Send Money Reversal",C1120)),"Money In",IF(ISNUMBER(SEARCH("Pay Utility Reversal",C1120)),"Money In",IF(ISNUMBER(SEARCH("Customer Transfer",C1120)),"Money In",IF(ISNUMBER(SEARCH("Ziidi",C1120)),"Investment",IF(ISNUMBER(SEARCH("Nabo",C1120)),"Investment",IF(ISNUMBER(SEARCH("Paybill Online",C1120)),"Pay Bill",IF(ISNUMBER(SEARCH("Pay Bill",C1120)),"Pay Bill",IF(ISNUMBER(SEARCH("Spotify",C1120)),"Pay Bill",IF(ISNUMBER(SEARCH("M-Shwari",C1120)),"Mshwari",IF(ISNUMBER(SEARCH("Mshwari",C1120)),"Mshwari",IF(ISNUMBER(SEARCH("Withdrawal charge",C1120)),"Fees",IF(ISNUMBER(SEARCH("Customer Withdrawal",C1120)),"Fees",IF(ISNUMBER(SEARCH("charge",C1120)),"Fees","Other")))))))))))))))))))))))))</f>
        <v>Money In</v>
      </c>
      <c r="R1120" s="1" t="str">
        <f aca="false">TEXT(B1120,"MMM YYYY")</f>
        <v>May 2026</v>
      </c>
    </row>
    <row r="1121" customFormat="false" ht="13.8" hidden="false" customHeight="false" outlineLevel="0" collapsed="false">
      <c r="A1121" s="4" t="s">
        <v>2303</v>
      </c>
      <c r="B1121" s="4" t="s">
        <v>2304</v>
      </c>
      <c r="C1121" s="4" t="s">
        <v>564</v>
      </c>
      <c r="D1121" s="4" t="s">
        <v>18</v>
      </c>
      <c r="E1121" s="4"/>
      <c r="F1121" s="4" t="n">
        <v>800</v>
      </c>
      <c r="G1121" s="4" t="n">
        <v>808.78</v>
      </c>
      <c r="L1121" s="1" t="str">
        <f aca="false">IF(ISNUMBER(SEARCH("Bundle",C1121)),"Bundles",IF(ISNUMBER(SEARCH("Airtime",C1121)),"Bundles",IF(ISNUMBER(SEARCH("Merchant",C1121)),"Merchant Payment",IF(ISNUMBER(SEARCH("Offnet C2B",C1121)),"Merchant Payment",IF(ISNUMBER(SEARCH("Offnet B2C",C1121)),"Merchant Payment",IF(ISNUMBER(SEARCH("Customer Payment to Small",C1121)),"Merchant Payment",IF(ISNUMBER(SEARCH("Payment to Small Business",C1121)),"Merchant Payment",IF(ISNUMBER(SEARCH("Sent to",C1121)),"Sent to Person",IF(ISNUMBER(SEARCH("Customer Transfer to",C1121)),"Sent to Person",IF(ISNUMBER(SEARCH("Business Payment",C1121)),"Money In",IF(ISNUMBER(SEARCH("Funds Received",C1121)),"Money In",IF(ISNUMBER(SEARCH("Receive International",C1121)),"Money In",IF(ISNUMBER(SEARCH("Send Money Reversal",C1121)),"Money In",IF(ISNUMBER(SEARCH("Pay Utility Reversal",C1121)),"Money In",IF(ISNUMBER(SEARCH("Customer Transfer",C1121)),"Money In",IF(ISNUMBER(SEARCH("Ziidi",C1121)),"Investment",IF(ISNUMBER(SEARCH("Nabo",C1121)),"Investment",IF(ISNUMBER(SEARCH("Paybill Online",C1121)),"Pay Bill",IF(ISNUMBER(SEARCH("Pay Bill",C1121)),"Pay Bill",IF(ISNUMBER(SEARCH("Spotify",C1121)),"Pay Bill",IF(ISNUMBER(SEARCH("M-Shwari",C1121)),"Mshwari",IF(ISNUMBER(SEARCH("Mshwari",C1121)),"Mshwari",IF(ISNUMBER(SEARCH("Withdrawal charge",C1121)),"Fees",IF(ISNUMBER(SEARCH("Customer Withdrawal",C1121)),"Fees",IF(ISNUMBER(SEARCH("charge",C1121)),"Fees","Other")))))))))))))))))))))))))</f>
        <v>Sent to Person</v>
      </c>
      <c r="R1121" s="1" t="str">
        <f aca="false">TEXT(B1121,"MMM YYYY")</f>
        <v>May 2026</v>
      </c>
    </row>
    <row r="1122" customFormat="false" ht="13.8" hidden="false" customHeight="false" outlineLevel="0" collapsed="false">
      <c r="A1122" s="4" t="s">
        <v>2305</v>
      </c>
      <c r="B1122" s="4" t="s">
        <v>2306</v>
      </c>
      <c r="C1122" s="4" t="s">
        <v>192</v>
      </c>
      <c r="D1122" s="4" t="s">
        <v>18</v>
      </c>
      <c r="E1122" s="4" t="n">
        <v>1000</v>
      </c>
      <c r="F1122" s="4"/>
      <c r="G1122" s="4" t="n">
        <v>1795.78</v>
      </c>
      <c r="L1122" s="1" t="str">
        <f aca="false">IF(ISNUMBER(SEARCH("Bundle",C1122)),"Bundles",IF(ISNUMBER(SEARCH("Airtime",C1122)),"Bundles",IF(ISNUMBER(SEARCH("Merchant",C1122)),"Merchant Payment",IF(ISNUMBER(SEARCH("Offnet C2B",C1122)),"Merchant Payment",IF(ISNUMBER(SEARCH("Offnet B2C",C1122)),"Merchant Payment",IF(ISNUMBER(SEARCH("Customer Payment to Small",C1122)),"Merchant Payment",IF(ISNUMBER(SEARCH("Payment to Small Business",C1122)),"Merchant Payment",IF(ISNUMBER(SEARCH("Sent to",C1122)),"Sent to Person",IF(ISNUMBER(SEARCH("Customer Transfer to",C1122)),"Sent to Person",IF(ISNUMBER(SEARCH("Business Payment",C1122)),"Money In",IF(ISNUMBER(SEARCH("Funds Received",C1122)),"Money In",IF(ISNUMBER(SEARCH("Receive International",C1122)),"Money In",IF(ISNUMBER(SEARCH("Send Money Reversal",C1122)),"Money In",IF(ISNUMBER(SEARCH("Pay Utility Reversal",C1122)),"Money In",IF(ISNUMBER(SEARCH("Customer Transfer",C1122)),"Money In",IF(ISNUMBER(SEARCH("Ziidi",C1122)),"Investment",IF(ISNUMBER(SEARCH("Nabo",C1122)),"Investment",IF(ISNUMBER(SEARCH("Paybill Online",C1122)),"Pay Bill",IF(ISNUMBER(SEARCH("Pay Bill",C1122)),"Pay Bill",IF(ISNUMBER(SEARCH("Spotify",C1122)),"Pay Bill",IF(ISNUMBER(SEARCH("M-Shwari",C1122)),"Mshwari",IF(ISNUMBER(SEARCH("Mshwari",C1122)),"Mshwari",IF(ISNUMBER(SEARCH("Withdrawal charge",C1122)),"Fees",IF(ISNUMBER(SEARCH("Customer Withdrawal",C1122)),"Fees",IF(ISNUMBER(SEARCH("charge",C1122)),"Fees","Other")))))))))))))))))))))))))</f>
        <v>Mshwari</v>
      </c>
      <c r="R1122" s="1" t="str">
        <f aca="false">TEXT(B1122,"MMM YYYY")</f>
        <v>May 2026</v>
      </c>
    </row>
    <row r="1123" customFormat="false" ht="13.8" hidden="false" customHeight="false" outlineLevel="0" collapsed="false">
      <c r="A1123" s="4" t="s">
        <v>2307</v>
      </c>
      <c r="B1123" s="4" t="s">
        <v>2308</v>
      </c>
      <c r="C1123" s="4" t="s">
        <v>2309</v>
      </c>
      <c r="D1123" s="4" t="s">
        <v>18</v>
      </c>
      <c r="E1123" s="4"/>
      <c r="F1123" s="4" t="n">
        <v>500</v>
      </c>
      <c r="G1123" s="4" t="n">
        <v>1295.78</v>
      </c>
      <c r="L1123" s="1" t="str">
        <f aca="false">IF(ISNUMBER(SEARCH("Bundle",C1123)),"Bundles",IF(ISNUMBER(SEARCH("Airtime",C1123)),"Bundles",IF(ISNUMBER(SEARCH("Merchant",C1123)),"Merchant Payment",IF(ISNUMBER(SEARCH("Offnet C2B",C1123)),"Merchant Payment",IF(ISNUMBER(SEARCH("Offnet B2C",C1123)),"Merchant Payment",IF(ISNUMBER(SEARCH("Customer Payment to Small",C1123)),"Merchant Payment",IF(ISNUMBER(SEARCH("Payment to Small Business",C1123)),"Merchant Payment",IF(ISNUMBER(SEARCH("Sent to",C1123)),"Sent to Person",IF(ISNUMBER(SEARCH("Customer Transfer to",C1123)),"Sent to Person",IF(ISNUMBER(SEARCH("Business Payment",C1123)),"Money In",IF(ISNUMBER(SEARCH("Funds Received",C1123)),"Money In",IF(ISNUMBER(SEARCH("Receive International",C1123)),"Money In",IF(ISNUMBER(SEARCH("Send Money Reversal",C1123)),"Money In",IF(ISNUMBER(SEARCH("Pay Utility Reversal",C1123)),"Money In",IF(ISNUMBER(SEARCH("Customer Transfer",C1123)),"Money In",IF(ISNUMBER(SEARCH("Ziidi",C1123)),"Investment",IF(ISNUMBER(SEARCH("Nabo",C1123)),"Investment",IF(ISNUMBER(SEARCH("Paybill Online",C1123)),"Pay Bill",IF(ISNUMBER(SEARCH("Pay Bill",C1123)),"Pay Bill",IF(ISNUMBER(SEARCH("Spotify",C1123)),"Pay Bill",IF(ISNUMBER(SEARCH("M-Shwari",C1123)),"Mshwari",IF(ISNUMBER(SEARCH("Mshwari",C1123)),"Mshwari",IF(ISNUMBER(SEARCH("Withdrawal charge",C1123)),"Fees",IF(ISNUMBER(SEARCH("Customer Withdrawal",C1123)),"Fees",IF(ISNUMBER(SEARCH("charge",C1123)),"Fees","Other")))))))))))))))))))))))))</f>
        <v>Fees</v>
      </c>
      <c r="R1123" s="1" t="str">
        <f aca="false">TEXT(B1123,"MMM YYYY")</f>
        <v>May 2026</v>
      </c>
    </row>
    <row r="1124" customFormat="false" ht="13.8" hidden="false" customHeight="false" outlineLevel="0" collapsed="false">
      <c r="A1124" s="4" t="s">
        <v>2310</v>
      </c>
      <c r="B1124" s="4" t="s">
        <v>2311</v>
      </c>
      <c r="C1124" s="4" t="s">
        <v>29</v>
      </c>
      <c r="D1124" s="4" t="s">
        <v>18</v>
      </c>
      <c r="E1124" s="4"/>
      <c r="F1124" s="4" t="n">
        <v>10</v>
      </c>
      <c r="G1124" s="4" t="n">
        <v>310.78</v>
      </c>
      <c r="L1124" s="1" t="str">
        <f aca="false">IF(ISNUMBER(SEARCH("Bundle",C1124)),"Bundles",IF(ISNUMBER(SEARCH("Airtime",C1124)),"Bundles",IF(ISNUMBER(SEARCH("Merchant",C1124)),"Merchant Payment",IF(ISNUMBER(SEARCH("Offnet C2B",C1124)),"Merchant Payment",IF(ISNUMBER(SEARCH("Offnet B2C",C1124)),"Merchant Payment",IF(ISNUMBER(SEARCH("Customer Payment to Small",C1124)),"Merchant Payment",IF(ISNUMBER(SEARCH("Payment to Small Business",C1124)),"Merchant Payment",IF(ISNUMBER(SEARCH("Sent to",C1124)),"Sent to Person",IF(ISNUMBER(SEARCH("Customer Transfer to",C1124)),"Sent to Person",IF(ISNUMBER(SEARCH("Business Payment",C1124)),"Money In",IF(ISNUMBER(SEARCH("Funds Received",C1124)),"Money In",IF(ISNUMBER(SEARCH("Receive International",C1124)),"Money In",IF(ISNUMBER(SEARCH("Send Money Reversal",C1124)),"Money In",IF(ISNUMBER(SEARCH("Pay Utility Reversal",C1124)),"Money In",IF(ISNUMBER(SEARCH("Customer Transfer",C1124)),"Money In",IF(ISNUMBER(SEARCH("Ziidi",C1124)),"Investment",IF(ISNUMBER(SEARCH("Nabo",C1124)),"Investment",IF(ISNUMBER(SEARCH("Paybill Online",C1124)),"Pay Bill",IF(ISNUMBER(SEARCH("Pay Bill",C1124)),"Pay Bill",IF(ISNUMBER(SEARCH("Spotify",C1124)),"Pay Bill",IF(ISNUMBER(SEARCH("M-Shwari",C1124)),"Mshwari",IF(ISNUMBER(SEARCH("Mshwari",C1124)),"Mshwari",IF(ISNUMBER(SEARCH("Withdrawal charge",C1124)),"Fees",IF(ISNUMBER(SEARCH("Customer Withdrawal",C1124)),"Fees",IF(ISNUMBER(SEARCH("charge",C1124)),"Fees","Other")))))))))))))))))))))))))</f>
        <v>Bundles</v>
      </c>
      <c r="R1124" s="1" t="str">
        <f aca="false">TEXT(B1124,"MMM YYYY")</f>
        <v>May 2026</v>
      </c>
    </row>
    <row r="1125" customFormat="false" ht="13.8" hidden="false" customHeight="false" outlineLevel="0" collapsed="false">
      <c r="A1125" s="4" t="s">
        <v>2312</v>
      </c>
      <c r="B1125" s="4" t="s">
        <v>2313</v>
      </c>
      <c r="C1125" s="4" t="s">
        <v>29</v>
      </c>
      <c r="D1125" s="4" t="s">
        <v>18</v>
      </c>
      <c r="E1125" s="4"/>
      <c r="F1125" s="4" t="n">
        <v>10</v>
      </c>
      <c r="G1125" s="4" t="n">
        <v>300.78</v>
      </c>
      <c r="L1125" s="1" t="str">
        <f aca="false">IF(ISNUMBER(SEARCH("Bundle",C1125)),"Bundles",IF(ISNUMBER(SEARCH("Airtime",C1125)),"Bundles",IF(ISNUMBER(SEARCH("Merchant",C1125)),"Merchant Payment",IF(ISNUMBER(SEARCH("Offnet C2B",C1125)),"Merchant Payment",IF(ISNUMBER(SEARCH("Offnet B2C",C1125)),"Merchant Payment",IF(ISNUMBER(SEARCH("Customer Payment to Small",C1125)),"Merchant Payment",IF(ISNUMBER(SEARCH("Payment to Small Business",C1125)),"Merchant Payment",IF(ISNUMBER(SEARCH("Sent to",C1125)),"Sent to Person",IF(ISNUMBER(SEARCH("Customer Transfer to",C1125)),"Sent to Person",IF(ISNUMBER(SEARCH("Business Payment",C1125)),"Money In",IF(ISNUMBER(SEARCH("Funds Received",C1125)),"Money In",IF(ISNUMBER(SEARCH("Receive International",C1125)),"Money In",IF(ISNUMBER(SEARCH("Send Money Reversal",C1125)),"Money In",IF(ISNUMBER(SEARCH("Pay Utility Reversal",C1125)),"Money In",IF(ISNUMBER(SEARCH("Customer Transfer",C1125)),"Money In",IF(ISNUMBER(SEARCH("Ziidi",C1125)),"Investment",IF(ISNUMBER(SEARCH("Nabo",C1125)),"Investment",IF(ISNUMBER(SEARCH("Paybill Online",C1125)),"Pay Bill",IF(ISNUMBER(SEARCH("Pay Bill",C1125)),"Pay Bill",IF(ISNUMBER(SEARCH("Spotify",C1125)),"Pay Bill",IF(ISNUMBER(SEARCH("M-Shwari",C1125)),"Mshwari",IF(ISNUMBER(SEARCH("Mshwari",C1125)),"Mshwari",IF(ISNUMBER(SEARCH("Withdrawal charge",C1125)),"Fees",IF(ISNUMBER(SEARCH("Customer Withdrawal",C1125)),"Fees",IF(ISNUMBER(SEARCH("charge",C1125)),"Fees","Other")))))))))))))))))))))))))</f>
        <v>Bundles</v>
      </c>
      <c r="R1125" s="1" t="str">
        <f aca="false">TEXT(B1125,"MMM YYYY")</f>
        <v>May 2026</v>
      </c>
    </row>
    <row r="1126" customFormat="false" ht="13.8" hidden="false" customHeight="false" outlineLevel="0" collapsed="false">
      <c r="A1126" s="4" t="s">
        <v>2314</v>
      </c>
      <c r="B1126" s="4" t="s">
        <v>2315</v>
      </c>
      <c r="C1126" s="4" t="s">
        <v>29</v>
      </c>
      <c r="D1126" s="4" t="s">
        <v>18</v>
      </c>
      <c r="E1126" s="4"/>
      <c r="F1126" s="4" t="n">
        <v>10</v>
      </c>
      <c r="G1126" s="4" t="n">
        <v>290.78</v>
      </c>
      <c r="L1126" s="1" t="str">
        <f aca="false">IF(ISNUMBER(SEARCH("Bundle",C1126)),"Bundles",IF(ISNUMBER(SEARCH("Airtime",C1126)),"Bundles",IF(ISNUMBER(SEARCH("Merchant",C1126)),"Merchant Payment",IF(ISNUMBER(SEARCH("Offnet C2B",C1126)),"Merchant Payment",IF(ISNUMBER(SEARCH("Offnet B2C",C1126)),"Merchant Payment",IF(ISNUMBER(SEARCH("Customer Payment to Small",C1126)),"Merchant Payment",IF(ISNUMBER(SEARCH("Payment to Small Business",C1126)),"Merchant Payment",IF(ISNUMBER(SEARCH("Sent to",C1126)),"Sent to Person",IF(ISNUMBER(SEARCH("Customer Transfer to",C1126)),"Sent to Person",IF(ISNUMBER(SEARCH("Business Payment",C1126)),"Money In",IF(ISNUMBER(SEARCH("Funds Received",C1126)),"Money In",IF(ISNUMBER(SEARCH("Receive International",C1126)),"Money In",IF(ISNUMBER(SEARCH("Send Money Reversal",C1126)),"Money In",IF(ISNUMBER(SEARCH("Pay Utility Reversal",C1126)),"Money In",IF(ISNUMBER(SEARCH("Customer Transfer",C1126)),"Money In",IF(ISNUMBER(SEARCH("Ziidi",C1126)),"Investment",IF(ISNUMBER(SEARCH("Nabo",C1126)),"Investment",IF(ISNUMBER(SEARCH("Paybill Online",C1126)),"Pay Bill",IF(ISNUMBER(SEARCH("Pay Bill",C1126)),"Pay Bill",IF(ISNUMBER(SEARCH("Spotify",C1126)),"Pay Bill",IF(ISNUMBER(SEARCH("M-Shwari",C1126)),"Mshwari",IF(ISNUMBER(SEARCH("Mshwari",C1126)),"Mshwari",IF(ISNUMBER(SEARCH("Withdrawal charge",C1126)),"Fees",IF(ISNUMBER(SEARCH("Customer Withdrawal",C1126)),"Fees",IF(ISNUMBER(SEARCH("charge",C1126)),"Fees","Other")))))))))))))))))))))))))</f>
        <v>Bundles</v>
      </c>
      <c r="R1126" s="1" t="str">
        <f aca="false">TEXT(B1126,"MMM YYYY")</f>
        <v>May 2026</v>
      </c>
    </row>
    <row r="1127" customFormat="false" ht="13.8" hidden="false" customHeight="false" outlineLevel="0" collapsed="false">
      <c r="A1127" s="4" t="s">
        <v>2316</v>
      </c>
      <c r="B1127" s="4" t="s">
        <v>2317</v>
      </c>
      <c r="C1127" s="4" t="s">
        <v>29</v>
      </c>
      <c r="D1127" s="4" t="s">
        <v>18</v>
      </c>
      <c r="E1127" s="4"/>
      <c r="F1127" s="4" t="n">
        <v>10</v>
      </c>
      <c r="G1127" s="4" t="n">
        <v>280.78</v>
      </c>
      <c r="L1127" s="1" t="str">
        <f aca="false">IF(ISNUMBER(SEARCH("Bundle",C1127)),"Bundles",IF(ISNUMBER(SEARCH("Airtime",C1127)),"Bundles",IF(ISNUMBER(SEARCH("Merchant",C1127)),"Merchant Payment",IF(ISNUMBER(SEARCH("Offnet C2B",C1127)),"Merchant Payment",IF(ISNUMBER(SEARCH("Offnet B2C",C1127)),"Merchant Payment",IF(ISNUMBER(SEARCH("Customer Payment to Small",C1127)),"Merchant Payment",IF(ISNUMBER(SEARCH("Payment to Small Business",C1127)),"Merchant Payment",IF(ISNUMBER(SEARCH("Sent to",C1127)),"Sent to Person",IF(ISNUMBER(SEARCH("Customer Transfer to",C1127)),"Sent to Person",IF(ISNUMBER(SEARCH("Business Payment",C1127)),"Money In",IF(ISNUMBER(SEARCH("Funds Received",C1127)),"Money In",IF(ISNUMBER(SEARCH("Receive International",C1127)),"Money In",IF(ISNUMBER(SEARCH("Send Money Reversal",C1127)),"Money In",IF(ISNUMBER(SEARCH("Pay Utility Reversal",C1127)),"Money In",IF(ISNUMBER(SEARCH("Customer Transfer",C1127)),"Money In",IF(ISNUMBER(SEARCH("Ziidi",C1127)),"Investment",IF(ISNUMBER(SEARCH("Nabo",C1127)),"Investment",IF(ISNUMBER(SEARCH("Paybill Online",C1127)),"Pay Bill",IF(ISNUMBER(SEARCH("Pay Bill",C1127)),"Pay Bill",IF(ISNUMBER(SEARCH("Spotify",C1127)),"Pay Bill",IF(ISNUMBER(SEARCH("M-Shwari",C1127)),"Mshwari",IF(ISNUMBER(SEARCH("Mshwari",C1127)),"Mshwari",IF(ISNUMBER(SEARCH("Withdrawal charge",C1127)),"Fees",IF(ISNUMBER(SEARCH("Customer Withdrawal",C1127)),"Fees",IF(ISNUMBER(SEARCH("charge",C1127)),"Fees","Other")))))))))))))))))))))))))</f>
        <v>Bundles</v>
      </c>
      <c r="R1127" s="1" t="str">
        <f aca="false">TEXT(B1127,"MMM YYYY")</f>
        <v>May 2026</v>
      </c>
    </row>
    <row r="1128" customFormat="false" ht="13.8" hidden="false" customHeight="false" outlineLevel="0" collapsed="false">
      <c r="A1128" s="4" t="s">
        <v>2318</v>
      </c>
      <c r="B1128" s="4" t="s">
        <v>2319</v>
      </c>
      <c r="C1128" s="4" t="s">
        <v>192</v>
      </c>
      <c r="D1128" s="4" t="s">
        <v>18</v>
      </c>
      <c r="E1128" s="4" t="n">
        <v>200</v>
      </c>
      <c r="F1128" s="4"/>
      <c r="G1128" s="4" t="n">
        <v>480.78</v>
      </c>
      <c r="L1128" s="1" t="str">
        <f aca="false">IF(ISNUMBER(SEARCH("Bundle",C1128)),"Bundles",IF(ISNUMBER(SEARCH("Airtime",C1128)),"Bundles",IF(ISNUMBER(SEARCH("Merchant",C1128)),"Merchant Payment",IF(ISNUMBER(SEARCH("Offnet C2B",C1128)),"Merchant Payment",IF(ISNUMBER(SEARCH("Offnet B2C",C1128)),"Merchant Payment",IF(ISNUMBER(SEARCH("Customer Payment to Small",C1128)),"Merchant Payment",IF(ISNUMBER(SEARCH("Payment to Small Business",C1128)),"Merchant Payment",IF(ISNUMBER(SEARCH("Sent to",C1128)),"Sent to Person",IF(ISNUMBER(SEARCH("Customer Transfer to",C1128)),"Sent to Person",IF(ISNUMBER(SEARCH("Business Payment",C1128)),"Money In",IF(ISNUMBER(SEARCH("Funds Received",C1128)),"Money In",IF(ISNUMBER(SEARCH("Receive International",C1128)),"Money In",IF(ISNUMBER(SEARCH("Send Money Reversal",C1128)),"Money In",IF(ISNUMBER(SEARCH("Pay Utility Reversal",C1128)),"Money In",IF(ISNUMBER(SEARCH("Customer Transfer",C1128)),"Money In",IF(ISNUMBER(SEARCH("Ziidi",C1128)),"Investment",IF(ISNUMBER(SEARCH("Nabo",C1128)),"Investment",IF(ISNUMBER(SEARCH("Paybill Online",C1128)),"Pay Bill",IF(ISNUMBER(SEARCH("Pay Bill",C1128)),"Pay Bill",IF(ISNUMBER(SEARCH("Spotify",C1128)),"Pay Bill",IF(ISNUMBER(SEARCH("M-Shwari",C1128)),"Mshwari",IF(ISNUMBER(SEARCH("Mshwari",C1128)),"Mshwari",IF(ISNUMBER(SEARCH("Withdrawal charge",C1128)),"Fees",IF(ISNUMBER(SEARCH("Customer Withdrawal",C1128)),"Fees",IF(ISNUMBER(SEARCH("charge",C1128)),"Fees","Other")))))))))))))))))))))))))</f>
        <v>Mshwari</v>
      </c>
      <c r="R1128" s="1" t="str">
        <f aca="false">TEXT(B1128,"MMM YYYY")</f>
        <v>May 2026</v>
      </c>
    </row>
    <row r="1129" customFormat="false" ht="13.8" hidden="false" customHeight="false" outlineLevel="0" collapsed="false">
      <c r="A1129" s="4" t="s">
        <v>2320</v>
      </c>
      <c r="B1129" s="4" t="s">
        <v>2321</v>
      </c>
      <c r="C1129" s="4" t="s">
        <v>494</v>
      </c>
      <c r="D1129" s="4" t="s">
        <v>18</v>
      </c>
      <c r="E1129" s="4"/>
      <c r="F1129" s="4" t="n">
        <v>80</v>
      </c>
      <c r="G1129" s="4" t="n">
        <v>400.78</v>
      </c>
      <c r="L1129" s="1" t="str">
        <f aca="false">IF(ISNUMBER(SEARCH("Bundle",C1129)),"Bundles",IF(ISNUMBER(SEARCH("Airtime",C1129)),"Bundles",IF(ISNUMBER(SEARCH("Merchant",C1129)),"Merchant Payment",IF(ISNUMBER(SEARCH("Offnet C2B",C1129)),"Merchant Payment",IF(ISNUMBER(SEARCH("Offnet B2C",C1129)),"Merchant Payment",IF(ISNUMBER(SEARCH("Customer Payment to Small",C1129)),"Merchant Payment",IF(ISNUMBER(SEARCH("Payment to Small Business",C1129)),"Merchant Payment",IF(ISNUMBER(SEARCH("Sent to",C1129)),"Sent to Person",IF(ISNUMBER(SEARCH("Customer Transfer to",C1129)),"Sent to Person",IF(ISNUMBER(SEARCH("Business Payment",C1129)),"Money In",IF(ISNUMBER(SEARCH("Funds Received",C1129)),"Money In",IF(ISNUMBER(SEARCH("Receive International",C1129)),"Money In",IF(ISNUMBER(SEARCH("Send Money Reversal",C1129)),"Money In",IF(ISNUMBER(SEARCH("Pay Utility Reversal",C1129)),"Money In",IF(ISNUMBER(SEARCH("Customer Transfer",C1129)),"Money In",IF(ISNUMBER(SEARCH("Ziidi",C1129)),"Investment",IF(ISNUMBER(SEARCH("Nabo",C1129)),"Investment",IF(ISNUMBER(SEARCH("Paybill Online",C1129)),"Pay Bill",IF(ISNUMBER(SEARCH("Pay Bill",C1129)),"Pay Bill",IF(ISNUMBER(SEARCH("Spotify",C1129)),"Pay Bill",IF(ISNUMBER(SEARCH("M-Shwari",C1129)),"Mshwari",IF(ISNUMBER(SEARCH("Mshwari",C1129)),"Mshwari",IF(ISNUMBER(SEARCH("Withdrawal charge",C1129)),"Fees",IF(ISNUMBER(SEARCH("Customer Withdrawal",C1129)),"Fees",IF(ISNUMBER(SEARCH("charge",C1129)),"Fees","Other")))))))))))))))))))))))))</f>
        <v>Merchant Payment</v>
      </c>
      <c r="R1129" s="1" t="str">
        <f aca="false">TEXT(B1129,"MMM YYYY")</f>
        <v>May 2026</v>
      </c>
    </row>
    <row r="1130" customFormat="false" ht="13.8" hidden="false" customHeight="false" outlineLevel="0" collapsed="false">
      <c r="A1130" s="4" t="s">
        <v>2322</v>
      </c>
      <c r="B1130" s="4" t="s">
        <v>2323</v>
      </c>
      <c r="C1130" s="4" t="s">
        <v>2324</v>
      </c>
      <c r="D1130" s="4" t="s">
        <v>18</v>
      </c>
      <c r="E1130" s="4"/>
      <c r="F1130" s="4" t="n">
        <v>230</v>
      </c>
      <c r="G1130" s="4" t="n">
        <v>170.78</v>
      </c>
      <c r="L1130" s="1" t="str">
        <f aca="false">IF(ISNUMBER(SEARCH("Bundle",C1130)),"Bundles",IF(ISNUMBER(SEARCH("Airtime",C1130)),"Bundles",IF(ISNUMBER(SEARCH("Merchant",C1130)),"Merchant Payment",IF(ISNUMBER(SEARCH("Offnet C2B",C1130)),"Merchant Payment",IF(ISNUMBER(SEARCH("Offnet B2C",C1130)),"Merchant Payment",IF(ISNUMBER(SEARCH("Customer Payment to Small",C1130)),"Merchant Payment",IF(ISNUMBER(SEARCH("Payment to Small Business",C1130)),"Merchant Payment",IF(ISNUMBER(SEARCH("Sent to",C1130)),"Sent to Person",IF(ISNUMBER(SEARCH("Customer Transfer to",C1130)),"Sent to Person",IF(ISNUMBER(SEARCH("Business Payment",C1130)),"Money In",IF(ISNUMBER(SEARCH("Funds Received",C1130)),"Money In",IF(ISNUMBER(SEARCH("Receive International",C1130)),"Money In",IF(ISNUMBER(SEARCH("Send Money Reversal",C1130)),"Money In",IF(ISNUMBER(SEARCH("Pay Utility Reversal",C1130)),"Money In",IF(ISNUMBER(SEARCH("Customer Transfer",C1130)),"Money In",IF(ISNUMBER(SEARCH("Ziidi",C1130)),"Investment",IF(ISNUMBER(SEARCH("Nabo",C1130)),"Investment",IF(ISNUMBER(SEARCH("Paybill Online",C1130)),"Pay Bill",IF(ISNUMBER(SEARCH("Pay Bill",C1130)),"Pay Bill",IF(ISNUMBER(SEARCH("Spotify",C1130)),"Pay Bill",IF(ISNUMBER(SEARCH("M-Shwari",C1130)),"Mshwari",IF(ISNUMBER(SEARCH("Mshwari",C1130)),"Mshwari",IF(ISNUMBER(SEARCH("Withdrawal charge",C1130)),"Fees",IF(ISNUMBER(SEARCH("Customer Withdrawal",C1130)),"Fees",IF(ISNUMBER(SEARCH("charge",C1130)),"Fees","Other")))))))))))))))))))))))))</f>
        <v>Merchant Payment</v>
      </c>
      <c r="R1130" s="1" t="str">
        <f aca="false">TEXT(B1130,"MMM YYYY")</f>
        <v>May 2026</v>
      </c>
    </row>
    <row r="1131" customFormat="false" ht="13.8" hidden="false" customHeight="false" outlineLevel="0" collapsed="false">
      <c r="A1131" s="4" t="s">
        <v>2325</v>
      </c>
      <c r="B1131" s="4" t="s">
        <v>2326</v>
      </c>
      <c r="C1131" s="4" t="s">
        <v>29</v>
      </c>
      <c r="D1131" s="4" t="s">
        <v>18</v>
      </c>
      <c r="E1131" s="4"/>
      <c r="F1131" s="4" t="n">
        <v>10</v>
      </c>
      <c r="G1131" s="4" t="n">
        <v>160.78</v>
      </c>
      <c r="L1131" s="1" t="str">
        <f aca="false">IF(ISNUMBER(SEARCH("Bundle",C1131)),"Bundles",IF(ISNUMBER(SEARCH("Airtime",C1131)),"Bundles",IF(ISNUMBER(SEARCH("Merchant",C1131)),"Merchant Payment",IF(ISNUMBER(SEARCH("Offnet C2B",C1131)),"Merchant Payment",IF(ISNUMBER(SEARCH("Offnet B2C",C1131)),"Merchant Payment",IF(ISNUMBER(SEARCH("Customer Payment to Small",C1131)),"Merchant Payment",IF(ISNUMBER(SEARCH("Payment to Small Business",C1131)),"Merchant Payment",IF(ISNUMBER(SEARCH("Sent to",C1131)),"Sent to Person",IF(ISNUMBER(SEARCH("Customer Transfer to",C1131)),"Sent to Person",IF(ISNUMBER(SEARCH("Business Payment",C1131)),"Money In",IF(ISNUMBER(SEARCH("Funds Received",C1131)),"Money In",IF(ISNUMBER(SEARCH("Receive International",C1131)),"Money In",IF(ISNUMBER(SEARCH("Send Money Reversal",C1131)),"Money In",IF(ISNUMBER(SEARCH("Pay Utility Reversal",C1131)),"Money In",IF(ISNUMBER(SEARCH("Customer Transfer",C1131)),"Money In",IF(ISNUMBER(SEARCH("Ziidi",C1131)),"Investment",IF(ISNUMBER(SEARCH("Nabo",C1131)),"Investment",IF(ISNUMBER(SEARCH("Paybill Online",C1131)),"Pay Bill",IF(ISNUMBER(SEARCH("Pay Bill",C1131)),"Pay Bill",IF(ISNUMBER(SEARCH("Spotify",C1131)),"Pay Bill",IF(ISNUMBER(SEARCH("M-Shwari",C1131)),"Mshwari",IF(ISNUMBER(SEARCH("Mshwari",C1131)),"Mshwari",IF(ISNUMBER(SEARCH("Withdrawal charge",C1131)),"Fees",IF(ISNUMBER(SEARCH("Customer Withdrawal",C1131)),"Fees",IF(ISNUMBER(SEARCH("charge",C1131)),"Fees","Other")))))))))))))))))))))))))</f>
        <v>Bundles</v>
      </c>
      <c r="R1131" s="1" t="str">
        <f aca="false">TEXT(B1131,"MMM YYYY")</f>
        <v>May 2026</v>
      </c>
    </row>
    <row r="1132" customFormat="false" ht="13.8" hidden="false" customHeight="false" outlineLevel="0" collapsed="false">
      <c r="A1132" s="4" t="s">
        <v>2327</v>
      </c>
      <c r="B1132" s="4" t="s">
        <v>2328</v>
      </c>
      <c r="C1132" s="4" t="s">
        <v>153</v>
      </c>
      <c r="D1132" s="4" t="s">
        <v>18</v>
      </c>
      <c r="E1132" s="4"/>
      <c r="F1132" s="4" t="n">
        <v>20</v>
      </c>
      <c r="G1132" s="4" t="n">
        <v>140.78</v>
      </c>
      <c r="L1132" s="1" t="str">
        <f aca="false">IF(ISNUMBER(SEARCH("Bundle",C1132)),"Bundles",IF(ISNUMBER(SEARCH("Airtime",C1132)),"Bundles",IF(ISNUMBER(SEARCH("Merchant",C1132)),"Merchant Payment",IF(ISNUMBER(SEARCH("Offnet C2B",C1132)),"Merchant Payment",IF(ISNUMBER(SEARCH("Offnet B2C",C1132)),"Merchant Payment",IF(ISNUMBER(SEARCH("Customer Payment to Small",C1132)),"Merchant Payment",IF(ISNUMBER(SEARCH("Payment to Small Business",C1132)),"Merchant Payment",IF(ISNUMBER(SEARCH("Sent to",C1132)),"Sent to Person",IF(ISNUMBER(SEARCH("Customer Transfer to",C1132)),"Sent to Person",IF(ISNUMBER(SEARCH("Business Payment",C1132)),"Money In",IF(ISNUMBER(SEARCH("Funds Received",C1132)),"Money In",IF(ISNUMBER(SEARCH("Receive International",C1132)),"Money In",IF(ISNUMBER(SEARCH("Send Money Reversal",C1132)),"Money In",IF(ISNUMBER(SEARCH("Pay Utility Reversal",C1132)),"Money In",IF(ISNUMBER(SEARCH("Customer Transfer",C1132)),"Money In",IF(ISNUMBER(SEARCH("Ziidi",C1132)),"Investment",IF(ISNUMBER(SEARCH("Nabo",C1132)),"Investment",IF(ISNUMBER(SEARCH("Paybill Online",C1132)),"Pay Bill",IF(ISNUMBER(SEARCH("Pay Bill",C1132)),"Pay Bill",IF(ISNUMBER(SEARCH("Spotify",C1132)),"Pay Bill",IF(ISNUMBER(SEARCH("M-Shwari",C1132)),"Mshwari",IF(ISNUMBER(SEARCH("Mshwari",C1132)),"Mshwari",IF(ISNUMBER(SEARCH("Withdrawal charge",C1132)),"Fees",IF(ISNUMBER(SEARCH("Customer Withdrawal",C1132)),"Fees",IF(ISNUMBER(SEARCH("charge",C1132)),"Fees","Other")))))))))))))))))))))))))</f>
        <v>Bundles</v>
      </c>
      <c r="R1132" s="1" t="str">
        <f aca="false">TEXT(B1132,"MMM YYYY")</f>
        <v>May 2026</v>
      </c>
    </row>
    <row r="1133" customFormat="false" ht="13.8" hidden="false" customHeight="false" outlineLevel="0" collapsed="false">
      <c r="A1133" s="4" t="s">
        <v>2329</v>
      </c>
      <c r="B1133" s="4" t="s">
        <v>2330</v>
      </c>
      <c r="C1133" s="4" t="s">
        <v>2331</v>
      </c>
      <c r="D1133" s="4" t="s">
        <v>18</v>
      </c>
      <c r="E1133" s="4"/>
      <c r="F1133" s="4" t="n">
        <v>50</v>
      </c>
      <c r="G1133" s="4" t="n">
        <v>90.78</v>
      </c>
      <c r="L1133" s="1" t="str">
        <f aca="false">IF(ISNUMBER(SEARCH("Bundle",C1133)),"Bundles",IF(ISNUMBER(SEARCH("Airtime",C1133)),"Bundles",IF(ISNUMBER(SEARCH("Merchant",C1133)),"Merchant Payment",IF(ISNUMBER(SEARCH("Offnet C2B",C1133)),"Merchant Payment",IF(ISNUMBER(SEARCH("Offnet B2C",C1133)),"Merchant Payment",IF(ISNUMBER(SEARCH("Customer Payment to Small",C1133)),"Merchant Payment",IF(ISNUMBER(SEARCH("Payment to Small Business",C1133)),"Merchant Payment",IF(ISNUMBER(SEARCH("Sent to",C1133)),"Sent to Person",IF(ISNUMBER(SEARCH("Customer Transfer to",C1133)),"Sent to Person",IF(ISNUMBER(SEARCH("Business Payment",C1133)),"Money In",IF(ISNUMBER(SEARCH("Funds Received",C1133)),"Money In",IF(ISNUMBER(SEARCH("Receive International",C1133)),"Money In",IF(ISNUMBER(SEARCH("Send Money Reversal",C1133)),"Money In",IF(ISNUMBER(SEARCH("Pay Utility Reversal",C1133)),"Money In",IF(ISNUMBER(SEARCH("Customer Transfer",C1133)),"Money In",IF(ISNUMBER(SEARCH("Ziidi",C1133)),"Investment",IF(ISNUMBER(SEARCH("Nabo",C1133)),"Investment",IF(ISNUMBER(SEARCH("Paybill Online",C1133)),"Pay Bill",IF(ISNUMBER(SEARCH("Pay Bill",C1133)),"Pay Bill",IF(ISNUMBER(SEARCH("Spotify",C1133)),"Pay Bill",IF(ISNUMBER(SEARCH("M-Shwari",C1133)),"Mshwari",IF(ISNUMBER(SEARCH("Mshwari",C1133)),"Mshwari",IF(ISNUMBER(SEARCH("Withdrawal charge",C1133)),"Fees",IF(ISNUMBER(SEARCH("Customer Withdrawal",C1133)),"Fees",IF(ISNUMBER(SEARCH("charge",C1133)),"Fees","Other")))))))))))))))))))))))))</f>
        <v>Pay Bill</v>
      </c>
      <c r="R1133" s="1" t="str">
        <f aca="false">TEXT(B1133,"MMM YYYY")</f>
        <v>May 2026</v>
      </c>
    </row>
    <row r="1134" customFormat="false" ht="13.8" hidden="false" customHeight="false" outlineLevel="0" collapsed="false">
      <c r="A1134" s="4" t="s">
        <v>2332</v>
      </c>
      <c r="B1134" s="4" t="s">
        <v>2333</v>
      </c>
      <c r="C1134" s="4" t="s">
        <v>29</v>
      </c>
      <c r="D1134" s="4" t="s">
        <v>18</v>
      </c>
      <c r="E1134" s="4"/>
      <c r="F1134" s="4" t="n">
        <v>20</v>
      </c>
      <c r="G1134" s="4" t="n">
        <v>70.78</v>
      </c>
      <c r="L1134" s="1" t="str">
        <f aca="false">IF(ISNUMBER(SEARCH("Bundle",C1134)),"Bundles",IF(ISNUMBER(SEARCH("Airtime",C1134)),"Bundles",IF(ISNUMBER(SEARCH("Merchant",C1134)),"Merchant Payment",IF(ISNUMBER(SEARCH("Offnet C2B",C1134)),"Merchant Payment",IF(ISNUMBER(SEARCH("Offnet B2C",C1134)),"Merchant Payment",IF(ISNUMBER(SEARCH("Customer Payment to Small",C1134)),"Merchant Payment",IF(ISNUMBER(SEARCH("Payment to Small Business",C1134)),"Merchant Payment",IF(ISNUMBER(SEARCH("Sent to",C1134)),"Sent to Person",IF(ISNUMBER(SEARCH("Customer Transfer to",C1134)),"Sent to Person",IF(ISNUMBER(SEARCH("Business Payment",C1134)),"Money In",IF(ISNUMBER(SEARCH("Funds Received",C1134)),"Money In",IF(ISNUMBER(SEARCH("Receive International",C1134)),"Money In",IF(ISNUMBER(SEARCH("Send Money Reversal",C1134)),"Money In",IF(ISNUMBER(SEARCH("Pay Utility Reversal",C1134)),"Money In",IF(ISNUMBER(SEARCH("Customer Transfer",C1134)),"Money In",IF(ISNUMBER(SEARCH("Ziidi",C1134)),"Investment",IF(ISNUMBER(SEARCH("Nabo",C1134)),"Investment",IF(ISNUMBER(SEARCH("Paybill Online",C1134)),"Pay Bill",IF(ISNUMBER(SEARCH("Pay Bill",C1134)),"Pay Bill",IF(ISNUMBER(SEARCH("Spotify",C1134)),"Pay Bill",IF(ISNUMBER(SEARCH("M-Shwari",C1134)),"Mshwari",IF(ISNUMBER(SEARCH("Mshwari",C1134)),"Mshwari",IF(ISNUMBER(SEARCH("Withdrawal charge",C1134)),"Fees",IF(ISNUMBER(SEARCH("Customer Withdrawal",C1134)),"Fees",IF(ISNUMBER(SEARCH("charge",C1134)),"Fees","Other")))))))))))))))))))))))))</f>
        <v>Bundles</v>
      </c>
      <c r="R1134" s="1" t="str">
        <f aca="false">TEXT(B1134,"MMM YYYY")</f>
        <v>May 2026</v>
      </c>
    </row>
    <row r="1135" customFormat="false" ht="13.8" hidden="false" customHeight="false" outlineLevel="0" collapsed="false">
      <c r="A1135" s="4" t="s">
        <v>2334</v>
      </c>
      <c r="B1135" s="4" t="s">
        <v>2335</v>
      </c>
      <c r="C1135" s="4" t="s">
        <v>177</v>
      </c>
      <c r="D1135" s="4" t="s">
        <v>18</v>
      </c>
      <c r="E1135" s="4" t="n">
        <v>200</v>
      </c>
      <c r="F1135" s="4"/>
      <c r="G1135" s="4" t="n">
        <v>270.78</v>
      </c>
      <c r="L1135" s="1" t="str">
        <f aca="false">IF(ISNUMBER(SEARCH("Bundle",C1135)),"Bundles",IF(ISNUMBER(SEARCH("Airtime",C1135)),"Bundles",IF(ISNUMBER(SEARCH("Merchant",C1135)),"Merchant Payment",IF(ISNUMBER(SEARCH("Offnet C2B",C1135)),"Merchant Payment",IF(ISNUMBER(SEARCH("Offnet B2C",C1135)),"Merchant Payment",IF(ISNUMBER(SEARCH("Customer Payment to Small",C1135)),"Merchant Payment",IF(ISNUMBER(SEARCH("Payment to Small Business",C1135)),"Merchant Payment",IF(ISNUMBER(SEARCH("Sent to",C1135)),"Sent to Person",IF(ISNUMBER(SEARCH("Customer Transfer to",C1135)),"Sent to Person",IF(ISNUMBER(SEARCH("Business Payment",C1135)),"Money In",IF(ISNUMBER(SEARCH("Funds Received",C1135)),"Money In",IF(ISNUMBER(SEARCH("Receive International",C1135)),"Money In",IF(ISNUMBER(SEARCH("Send Money Reversal",C1135)),"Money In",IF(ISNUMBER(SEARCH("Pay Utility Reversal",C1135)),"Money In",IF(ISNUMBER(SEARCH("Customer Transfer",C1135)),"Money In",IF(ISNUMBER(SEARCH("Ziidi",C1135)),"Investment",IF(ISNUMBER(SEARCH("Nabo",C1135)),"Investment",IF(ISNUMBER(SEARCH("Paybill Online",C1135)),"Pay Bill",IF(ISNUMBER(SEARCH("Pay Bill",C1135)),"Pay Bill",IF(ISNUMBER(SEARCH("Spotify",C1135)),"Pay Bill",IF(ISNUMBER(SEARCH("M-Shwari",C1135)),"Mshwari",IF(ISNUMBER(SEARCH("Mshwari",C1135)),"Mshwari",IF(ISNUMBER(SEARCH("Withdrawal charge",C1135)),"Fees",IF(ISNUMBER(SEARCH("Customer Withdrawal",C1135)),"Fees",IF(ISNUMBER(SEARCH("charge",C1135)),"Fees","Other")))))))))))))))))))))))))</f>
        <v>Money In</v>
      </c>
      <c r="R1135" s="1" t="str">
        <f aca="false">TEXT(B1135,"MMM YYYY")</f>
        <v>May 2026</v>
      </c>
    </row>
    <row r="1136" customFormat="false" ht="13.8" hidden="false" customHeight="false" outlineLevel="0" collapsed="false">
      <c r="A1136" s="4" t="s">
        <v>2336</v>
      </c>
      <c r="B1136" s="4" t="s">
        <v>2337</v>
      </c>
      <c r="C1136" s="4" t="s">
        <v>29</v>
      </c>
      <c r="D1136" s="4" t="s">
        <v>18</v>
      </c>
      <c r="E1136" s="4"/>
      <c r="F1136" s="4" t="n">
        <v>10</v>
      </c>
      <c r="G1136" s="4" t="n">
        <v>260.78</v>
      </c>
      <c r="L1136" s="1" t="str">
        <f aca="false">IF(ISNUMBER(SEARCH("Bundle",C1136)),"Bundles",IF(ISNUMBER(SEARCH("Airtime",C1136)),"Bundles",IF(ISNUMBER(SEARCH("Merchant",C1136)),"Merchant Payment",IF(ISNUMBER(SEARCH("Offnet C2B",C1136)),"Merchant Payment",IF(ISNUMBER(SEARCH("Offnet B2C",C1136)),"Merchant Payment",IF(ISNUMBER(SEARCH("Customer Payment to Small",C1136)),"Merchant Payment",IF(ISNUMBER(SEARCH("Payment to Small Business",C1136)),"Merchant Payment",IF(ISNUMBER(SEARCH("Sent to",C1136)),"Sent to Person",IF(ISNUMBER(SEARCH("Customer Transfer to",C1136)),"Sent to Person",IF(ISNUMBER(SEARCH("Business Payment",C1136)),"Money In",IF(ISNUMBER(SEARCH("Funds Received",C1136)),"Money In",IF(ISNUMBER(SEARCH("Receive International",C1136)),"Money In",IF(ISNUMBER(SEARCH("Send Money Reversal",C1136)),"Money In",IF(ISNUMBER(SEARCH("Pay Utility Reversal",C1136)),"Money In",IF(ISNUMBER(SEARCH("Customer Transfer",C1136)),"Money In",IF(ISNUMBER(SEARCH("Ziidi",C1136)),"Investment",IF(ISNUMBER(SEARCH("Nabo",C1136)),"Investment",IF(ISNUMBER(SEARCH("Paybill Online",C1136)),"Pay Bill",IF(ISNUMBER(SEARCH("Pay Bill",C1136)),"Pay Bill",IF(ISNUMBER(SEARCH("Spotify",C1136)),"Pay Bill",IF(ISNUMBER(SEARCH("M-Shwari",C1136)),"Mshwari",IF(ISNUMBER(SEARCH("Mshwari",C1136)),"Mshwari",IF(ISNUMBER(SEARCH("Withdrawal charge",C1136)),"Fees",IF(ISNUMBER(SEARCH("Customer Withdrawal",C1136)),"Fees",IF(ISNUMBER(SEARCH("charge",C1136)),"Fees","Other")))))))))))))))))))))))))</f>
        <v>Bundles</v>
      </c>
      <c r="R1136" s="1" t="str">
        <f aca="false">TEXT(B1136,"MMM YYYY")</f>
        <v>May 2026</v>
      </c>
    </row>
    <row r="1137" customFormat="false" ht="13.8" hidden="false" customHeight="false" outlineLevel="0" collapsed="false">
      <c r="A1137" s="4" t="s">
        <v>2338</v>
      </c>
      <c r="B1137" s="4" t="s">
        <v>2339</v>
      </c>
      <c r="C1137" s="4" t="s">
        <v>29</v>
      </c>
      <c r="D1137" s="4" t="s">
        <v>18</v>
      </c>
      <c r="E1137" s="4"/>
      <c r="F1137" s="4" t="n">
        <v>20</v>
      </c>
      <c r="G1137" s="4" t="n">
        <v>240.78</v>
      </c>
      <c r="L1137" s="1" t="str">
        <f aca="false">IF(ISNUMBER(SEARCH("Bundle",C1137)),"Bundles",IF(ISNUMBER(SEARCH("Airtime",C1137)),"Bundles",IF(ISNUMBER(SEARCH("Merchant",C1137)),"Merchant Payment",IF(ISNUMBER(SEARCH("Offnet C2B",C1137)),"Merchant Payment",IF(ISNUMBER(SEARCH("Offnet B2C",C1137)),"Merchant Payment",IF(ISNUMBER(SEARCH("Customer Payment to Small",C1137)),"Merchant Payment",IF(ISNUMBER(SEARCH("Payment to Small Business",C1137)),"Merchant Payment",IF(ISNUMBER(SEARCH("Sent to",C1137)),"Sent to Person",IF(ISNUMBER(SEARCH("Customer Transfer to",C1137)),"Sent to Person",IF(ISNUMBER(SEARCH("Business Payment",C1137)),"Money In",IF(ISNUMBER(SEARCH("Funds Received",C1137)),"Money In",IF(ISNUMBER(SEARCH("Receive International",C1137)),"Money In",IF(ISNUMBER(SEARCH("Send Money Reversal",C1137)),"Money In",IF(ISNUMBER(SEARCH("Pay Utility Reversal",C1137)),"Money In",IF(ISNUMBER(SEARCH("Customer Transfer",C1137)),"Money In",IF(ISNUMBER(SEARCH("Ziidi",C1137)),"Investment",IF(ISNUMBER(SEARCH("Nabo",C1137)),"Investment",IF(ISNUMBER(SEARCH("Paybill Online",C1137)),"Pay Bill",IF(ISNUMBER(SEARCH("Pay Bill",C1137)),"Pay Bill",IF(ISNUMBER(SEARCH("Spotify",C1137)),"Pay Bill",IF(ISNUMBER(SEARCH("M-Shwari",C1137)),"Mshwari",IF(ISNUMBER(SEARCH("Mshwari",C1137)),"Mshwari",IF(ISNUMBER(SEARCH("Withdrawal charge",C1137)),"Fees",IF(ISNUMBER(SEARCH("Customer Withdrawal",C1137)),"Fees",IF(ISNUMBER(SEARCH("charge",C1137)),"Fees","Other")))))))))))))))))))))))))</f>
        <v>Bundles</v>
      </c>
      <c r="R1137" s="1" t="str">
        <f aca="false">TEXT(B1137,"MMM YYYY")</f>
        <v>May 2026</v>
      </c>
    </row>
    <row r="1138" customFormat="false" ht="13.8" hidden="false" customHeight="false" outlineLevel="0" collapsed="false">
      <c r="A1138" s="4" t="s">
        <v>2340</v>
      </c>
      <c r="B1138" s="4" t="s">
        <v>2341</v>
      </c>
      <c r="C1138" s="4" t="s">
        <v>29</v>
      </c>
      <c r="D1138" s="4" t="s">
        <v>18</v>
      </c>
      <c r="E1138" s="4"/>
      <c r="F1138" s="4" t="n">
        <v>10</v>
      </c>
      <c r="G1138" s="4" t="n">
        <v>230.78</v>
      </c>
      <c r="L1138" s="1" t="str">
        <f aca="false">IF(ISNUMBER(SEARCH("Bundle",C1138)),"Bundles",IF(ISNUMBER(SEARCH("Airtime",C1138)),"Bundles",IF(ISNUMBER(SEARCH("Merchant",C1138)),"Merchant Payment",IF(ISNUMBER(SEARCH("Offnet C2B",C1138)),"Merchant Payment",IF(ISNUMBER(SEARCH("Offnet B2C",C1138)),"Merchant Payment",IF(ISNUMBER(SEARCH("Customer Payment to Small",C1138)),"Merchant Payment",IF(ISNUMBER(SEARCH("Payment to Small Business",C1138)),"Merchant Payment",IF(ISNUMBER(SEARCH("Sent to",C1138)),"Sent to Person",IF(ISNUMBER(SEARCH("Customer Transfer to",C1138)),"Sent to Person",IF(ISNUMBER(SEARCH("Business Payment",C1138)),"Money In",IF(ISNUMBER(SEARCH("Funds Received",C1138)),"Money In",IF(ISNUMBER(SEARCH("Receive International",C1138)),"Money In",IF(ISNUMBER(SEARCH("Send Money Reversal",C1138)),"Money In",IF(ISNUMBER(SEARCH("Pay Utility Reversal",C1138)),"Money In",IF(ISNUMBER(SEARCH("Customer Transfer",C1138)),"Money In",IF(ISNUMBER(SEARCH("Ziidi",C1138)),"Investment",IF(ISNUMBER(SEARCH("Nabo",C1138)),"Investment",IF(ISNUMBER(SEARCH("Paybill Online",C1138)),"Pay Bill",IF(ISNUMBER(SEARCH("Pay Bill",C1138)),"Pay Bill",IF(ISNUMBER(SEARCH("Spotify",C1138)),"Pay Bill",IF(ISNUMBER(SEARCH("M-Shwari",C1138)),"Mshwari",IF(ISNUMBER(SEARCH("Mshwari",C1138)),"Mshwari",IF(ISNUMBER(SEARCH("Withdrawal charge",C1138)),"Fees",IF(ISNUMBER(SEARCH("Customer Withdrawal",C1138)),"Fees",IF(ISNUMBER(SEARCH("charge",C1138)),"Fees","Other")))))))))))))))))))))))))</f>
        <v>Bundles</v>
      </c>
      <c r="R1138" s="1" t="str">
        <f aca="false">TEXT(B1138,"MMM YYYY")</f>
        <v>May 2026</v>
      </c>
    </row>
    <row r="1139" customFormat="false" ht="13.8" hidden="false" customHeight="false" outlineLevel="0" collapsed="false">
      <c r="A1139" s="4" t="s">
        <v>2342</v>
      </c>
      <c r="B1139" s="4" t="s">
        <v>2343</v>
      </c>
      <c r="C1139" s="4" t="s">
        <v>29</v>
      </c>
      <c r="D1139" s="4" t="s">
        <v>18</v>
      </c>
      <c r="E1139" s="4"/>
      <c r="F1139" s="4" t="n">
        <v>10</v>
      </c>
      <c r="G1139" s="4" t="n">
        <v>220.78</v>
      </c>
      <c r="L1139" s="1" t="str">
        <f aca="false">IF(ISNUMBER(SEARCH("Bundle",C1139)),"Bundles",IF(ISNUMBER(SEARCH("Airtime",C1139)),"Bundles",IF(ISNUMBER(SEARCH("Merchant",C1139)),"Merchant Payment",IF(ISNUMBER(SEARCH("Offnet C2B",C1139)),"Merchant Payment",IF(ISNUMBER(SEARCH("Offnet B2C",C1139)),"Merchant Payment",IF(ISNUMBER(SEARCH("Customer Payment to Small",C1139)),"Merchant Payment",IF(ISNUMBER(SEARCH("Payment to Small Business",C1139)),"Merchant Payment",IF(ISNUMBER(SEARCH("Sent to",C1139)),"Sent to Person",IF(ISNUMBER(SEARCH("Customer Transfer to",C1139)),"Sent to Person",IF(ISNUMBER(SEARCH("Business Payment",C1139)),"Money In",IF(ISNUMBER(SEARCH("Funds Received",C1139)),"Money In",IF(ISNUMBER(SEARCH("Receive International",C1139)),"Money In",IF(ISNUMBER(SEARCH("Send Money Reversal",C1139)),"Money In",IF(ISNUMBER(SEARCH("Pay Utility Reversal",C1139)),"Money In",IF(ISNUMBER(SEARCH("Customer Transfer",C1139)),"Money In",IF(ISNUMBER(SEARCH("Ziidi",C1139)),"Investment",IF(ISNUMBER(SEARCH("Nabo",C1139)),"Investment",IF(ISNUMBER(SEARCH("Paybill Online",C1139)),"Pay Bill",IF(ISNUMBER(SEARCH("Pay Bill",C1139)),"Pay Bill",IF(ISNUMBER(SEARCH("Spotify",C1139)),"Pay Bill",IF(ISNUMBER(SEARCH("M-Shwari",C1139)),"Mshwari",IF(ISNUMBER(SEARCH("Mshwari",C1139)),"Mshwari",IF(ISNUMBER(SEARCH("Withdrawal charge",C1139)),"Fees",IF(ISNUMBER(SEARCH("Customer Withdrawal",C1139)),"Fees",IF(ISNUMBER(SEARCH("charge",C1139)),"Fees","Other")))))))))))))))))))))))))</f>
        <v>Bundles</v>
      </c>
      <c r="R1139" s="1" t="str">
        <f aca="false">TEXT(B1139,"MMM YYYY")</f>
        <v>May 2026</v>
      </c>
    </row>
    <row r="1140" customFormat="false" ht="13.8" hidden="false" customHeight="false" outlineLevel="0" collapsed="false">
      <c r="A1140" s="4" t="s">
        <v>2344</v>
      </c>
      <c r="B1140" s="4" t="s">
        <v>2345</v>
      </c>
      <c r="C1140" s="4" t="s">
        <v>192</v>
      </c>
      <c r="D1140" s="4" t="s">
        <v>18</v>
      </c>
      <c r="E1140" s="4" t="n">
        <v>200</v>
      </c>
      <c r="F1140" s="4"/>
      <c r="G1140" s="4" t="n">
        <v>420.78</v>
      </c>
      <c r="L1140" s="1" t="str">
        <f aca="false">IF(ISNUMBER(SEARCH("Bundle",C1140)),"Bundles",IF(ISNUMBER(SEARCH("Airtime",C1140)),"Bundles",IF(ISNUMBER(SEARCH("Merchant",C1140)),"Merchant Payment",IF(ISNUMBER(SEARCH("Offnet C2B",C1140)),"Merchant Payment",IF(ISNUMBER(SEARCH("Offnet B2C",C1140)),"Merchant Payment",IF(ISNUMBER(SEARCH("Customer Payment to Small",C1140)),"Merchant Payment",IF(ISNUMBER(SEARCH("Payment to Small Business",C1140)),"Merchant Payment",IF(ISNUMBER(SEARCH("Sent to",C1140)),"Sent to Person",IF(ISNUMBER(SEARCH("Customer Transfer to",C1140)),"Sent to Person",IF(ISNUMBER(SEARCH("Business Payment",C1140)),"Money In",IF(ISNUMBER(SEARCH("Funds Received",C1140)),"Money In",IF(ISNUMBER(SEARCH("Receive International",C1140)),"Money In",IF(ISNUMBER(SEARCH("Send Money Reversal",C1140)),"Money In",IF(ISNUMBER(SEARCH("Pay Utility Reversal",C1140)),"Money In",IF(ISNUMBER(SEARCH("Customer Transfer",C1140)),"Money In",IF(ISNUMBER(SEARCH("Ziidi",C1140)),"Investment",IF(ISNUMBER(SEARCH("Nabo",C1140)),"Investment",IF(ISNUMBER(SEARCH("Paybill Online",C1140)),"Pay Bill",IF(ISNUMBER(SEARCH("Pay Bill",C1140)),"Pay Bill",IF(ISNUMBER(SEARCH("Spotify",C1140)),"Pay Bill",IF(ISNUMBER(SEARCH("M-Shwari",C1140)),"Mshwari",IF(ISNUMBER(SEARCH("Mshwari",C1140)),"Mshwari",IF(ISNUMBER(SEARCH("Withdrawal charge",C1140)),"Fees",IF(ISNUMBER(SEARCH("Customer Withdrawal",C1140)),"Fees",IF(ISNUMBER(SEARCH("charge",C1140)),"Fees","Other")))))))))))))))))))))))))</f>
        <v>Mshwari</v>
      </c>
      <c r="R1140" s="1" t="str">
        <f aca="false">TEXT(B1140,"MMM YYYY")</f>
        <v>May 2026</v>
      </c>
    </row>
    <row r="1141" customFormat="false" ht="13.8" hidden="false" customHeight="false" outlineLevel="0" collapsed="false">
      <c r="A1141" s="4" t="s">
        <v>2346</v>
      </c>
      <c r="B1141" s="4" t="s">
        <v>2347</v>
      </c>
      <c r="C1141" s="4" t="s">
        <v>29</v>
      </c>
      <c r="D1141" s="4" t="s">
        <v>18</v>
      </c>
      <c r="E1141" s="4"/>
      <c r="F1141" s="4" t="n">
        <v>10</v>
      </c>
      <c r="G1141" s="4" t="n">
        <v>410.78</v>
      </c>
      <c r="L1141" s="1" t="str">
        <f aca="false">IF(ISNUMBER(SEARCH("Bundle",C1141)),"Bundles",IF(ISNUMBER(SEARCH("Airtime",C1141)),"Bundles",IF(ISNUMBER(SEARCH("Merchant",C1141)),"Merchant Payment",IF(ISNUMBER(SEARCH("Offnet C2B",C1141)),"Merchant Payment",IF(ISNUMBER(SEARCH("Offnet B2C",C1141)),"Merchant Payment",IF(ISNUMBER(SEARCH("Customer Payment to Small",C1141)),"Merchant Payment",IF(ISNUMBER(SEARCH("Payment to Small Business",C1141)),"Merchant Payment",IF(ISNUMBER(SEARCH("Sent to",C1141)),"Sent to Person",IF(ISNUMBER(SEARCH("Customer Transfer to",C1141)),"Sent to Person",IF(ISNUMBER(SEARCH("Business Payment",C1141)),"Money In",IF(ISNUMBER(SEARCH("Funds Received",C1141)),"Money In",IF(ISNUMBER(SEARCH("Receive International",C1141)),"Money In",IF(ISNUMBER(SEARCH("Send Money Reversal",C1141)),"Money In",IF(ISNUMBER(SEARCH("Pay Utility Reversal",C1141)),"Money In",IF(ISNUMBER(SEARCH("Customer Transfer",C1141)),"Money In",IF(ISNUMBER(SEARCH("Ziidi",C1141)),"Investment",IF(ISNUMBER(SEARCH("Nabo",C1141)),"Investment",IF(ISNUMBER(SEARCH("Paybill Online",C1141)),"Pay Bill",IF(ISNUMBER(SEARCH("Pay Bill",C1141)),"Pay Bill",IF(ISNUMBER(SEARCH("Spotify",C1141)),"Pay Bill",IF(ISNUMBER(SEARCH("M-Shwari",C1141)),"Mshwari",IF(ISNUMBER(SEARCH("Mshwari",C1141)),"Mshwari",IF(ISNUMBER(SEARCH("Withdrawal charge",C1141)),"Fees",IF(ISNUMBER(SEARCH("Customer Withdrawal",C1141)),"Fees",IF(ISNUMBER(SEARCH("charge",C1141)),"Fees","Other")))))))))))))))))))))))))</f>
        <v>Bundles</v>
      </c>
      <c r="R1141" s="1" t="str">
        <f aca="false">TEXT(B1141,"MMM YYYY")</f>
        <v>May 2026</v>
      </c>
    </row>
    <row r="1142" customFormat="false" ht="13.8" hidden="false" customHeight="false" outlineLevel="0" collapsed="false">
      <c r="A1142" s="4" t="s">
        <v>2348</v>
      </c>
      <c r="B1142" s="4" t="s">
        <v>2349</v>
      </c>
      <c r="C1142" s="4" t="s">
        <v>29</v>
      </c>
      <c r="D1142" s="4" t="s">
        <v>18</v>
      </c>
      <c r="E1142" s="4"/>
      <c r="F1142" s="4" t="n">
        <v>20</v>
      </c>
      <c r="G1142" s="4" t="n">
        <v>390.78</v>
      </c>
      <c r="L1142" s="1" t="str">
        <f aca="false">IF(ISNUMBER(SEARCH("Bundle",C1142)),"Bundles",IF(ISNUMBER(SEARCH("Airtime",C1142)),"Bundles",IF(ISNUMBER(SEARCH("Merchant",C1142)),"Merchant Payment",IF(ISNUMBER(SEARCH("Offnet C2B",C1142)),"Merchant Payment",IF(ISNUMBER(SEARCH("Offnet B2C",C1142)),"Merchant Payment",IF(ISNUMBER(SEARCH("Customer Payment to Small",C1142)),"Merchant Payment",IF(ISNUMBER(SEARCH("Payment to Small Business",C1142)),"Merchant Payment",IF(ISNUMBER(SEARCH("Sent to",C1142)),"Sent to Person",IF(ISNUMBER(SEARCH("Customer Transfer to",C1142)),"Sent to Person",IF(ISNUMBER(SEARCH("Business Payment",C1142)),"Money In",IF(ISNUMBER(SEARCH("Funds Received",C1142)),"Money In",IF(ISNUMBER(SEARCH("Receive International",C1142)),"Money In",IF(ISNUMBER(SEARCH("Send Money Reversal",C1142)),"Money In",IF(ISNUMBER(SEARCH("Pay Utility Reversal",C1142)),"Money In",IF(ISNUMBER(SEARCH("Customer Transfer",C1142)),"Money In",IF(ISNUMBER(SEARCH("Ziidi",C1142)),"Investment",IF(ISNUMBER(SEARCH("Nabo",C1142)),"Investment",IF(ISNUMBER(SEARCH("Paybill Online",C1142)),"Pay Bill",IF(ISNUMBER(SEARCH("Pay Bill",C1142)),"Pay Bill",IF(ISNUMBER(SEARCH("Spotify",C1142)),"Pay Bill",IF(ISNUMBER(SEARCH("M-Shwari",C1142)),"Mshwari",IF(ISNUMBER(SEARCH("Mshwari",C1142)),"Mshwari",IF(ISNUMBER(SEARCH("Withdrawal charge",C1142)),"Fees",IF(ISNUMBER(SEARCH("Customer Withdrawal",C1142)),"Fees",IF(ISNUMBER(SEARCH("charge",C1142)),"Fees","Other")))))))))))))))))))))))))</f>
        <v>Bundles</v>
      </c>
      <c r="R1142" s="1" t="str">
        <f aca="false">TEXT(B1142,"MMM YYYY")</f>
        <v>May 2026</v>
      </c>
    </row>
    <row r="1143" customFormat="false" ht="13.8" hidden="false" customHeight="false" outlineLevel="0" collapsed="false">
      <c r="A1143" s="4" t="s">
        <v>2350</v>
      </c>
      <c r="B1143" s="4" t="s">
        <v>2351</v>
      </c>
      <c r="C1143" s="4" t="s">
        <v>29</v>
      </c>
      <c r="D1143" s="4" t="s">
        <v>18</v>
      </c>
      <c r="E1143" s="4"/>
      <c r="F1143" s="4" t="n">
        <v>20</v>
      </c>
      <c r="G1143" s="4" t="n">
        <v>370.78</v>
      </c>
      <c r="L1143" s="1" t="str">
        <f aca="false">IF(ISNUMBER(SEARCH("Bundle",C1143)),"Bundles",IF(ISNUMBER(SEARCH("Airtime",C1143)),"Bundles",IF(ISNUMBER(SEARCH("Merchant",C1143)),"Merchant Payment",IF(ISNUMBER(SEARCH("Offnet C2B",C1143)),"Merchant Payment",IF(ISNUMBER(SEARCH("Offnet B2C",C1143)),"Merchant Payment",IF(ISNUMBER(SEARCH("Customer Payment to Small",C1143)),"Merchant Payment",IF(ISNUMBER(SEARCH("Payment to Small Business",C1143)),"Merchant Payment",IF(ISNUMBER(SEARCH("Sent to",C1143)),"Sent to Person",IF(ISNUMBER(SEARCH("Customer Transfer to",C1143)),"Sent to Person",IF(ISNUMBER(SEARCH("Business Payment",C1143)),"Money In",IF(ISNUMBER(SEARCH("Funds Received",C1143)),"Money In",IF(ISNUMBER(SEARCH("Receive International",C1143)),"Money In",IF(ISNUMBER(SEARCH("Send Money Reversal",C1143)),"Money In",IF(ISNUMBER(SEARCH("Pay Utility Reversal",C1143)),"Money In",IF(ISNUMBER(SEARCH("Customer Transfer",C1143)),"Money In",IF(ISNUMBER(SEARCH("Ziidi",C1143)),"Investment",IF(ISNUMBER(SEARCH("Nabo",C1143)),"Investment",IF(ISNUMBER(SEARCH("Paybill Online",C1143)),"Pay Bill",IF(ISNUMBER(SEARCH("Pay Bill",C1143)),"Pay Bill",IF(ISNUMBER(SEARCH("Spotify",C1143)),"Pay Bill",IF(ISNUMBER(SEARCH("M-Shwari",C1143)),"Mshwari",IF(ISNUMBER(SEARCH("Mshwari",C1143)),"Mshwari",IF(ISNUMBER(SEARCH("Withdrawal charge",C1143)),"Fees",IF(ISNUMBER(SEARCH("Customer Withdrawal",C1143)),"Fees",IF(ISNUMBER(SEARCH("charge",C1143)),"Fees","Other")))))))))))))))))))))))))</f>
        <v>Bundles</v>
      </c>
      <c r="R1143" s="1" t="str">
        <f aca="false">TEXT(B1143,"MMM YYYY")</f>
        <v>May 2026</v>
      </c>
    </row>
    <row r="1144" customFormat="false" ht="13.8" hidden="false" customHeight="false" outlineLevel="0" collapsed="false">
      <c r="A1144" s="4" t="s">
        <v>2352</v>
      </c>
      <c r="B1144" s="4" t="s">
        <v>2353</v>
      </c>
      <c r="C1144" s="4" t="s">
        <v>29</v>
      </c>
      <c r="D1144" s="4" t="s">
        <v>18</v>
      </c>
      <c r="E1144" s="4"/>
      <c r="F1144" s="4" t="n">
        <v>10</v>
      </c>
      <c r="G1144" s="4" t="n">
        <v>360.78</v>
      </c>
      <c r="L1144" s="1" t="str">
        <f aca="false">IF(ISNUMBER(SEARCH("Bundle",C1144)),"Bundles",IF(ISNUMBER(SEARCH("Airtime",C1144)),"Bundles",IF(ISNUMBER(SEARCH("Merchant",C1144)),"Merchant Payment",IF(ISNUMBER(SEARCH("Offnet C2B",C1144)),"Merchant Payment",IF(ISNUMBER(SEARCH("Offnet B2C",C1144)),"Merchant Payment",IF(ISNUMBER(SEARCH("Customer Payment to Small",C1144)),"Merchant Payment",IF(ISNUMBER(SEARCH("Payment to Small Business",C1144)),"Merchant Payment",IF(ISNUMBER(SEARCH("Sent to",C1144)),"Sent to Person",IF(ISNUMBER(SEARCH("Customer Transfer to",C1144)),"Sent to Person",IF(ISNUMBER(SEARCH("Business Payment",C1144)),"Money In",IF(ISNUMBER(SEARCH("Funds Received",C1144)),"Money In",IF(ISNUMBER(SEARCH("Receive International",C1144)),"Money In",IF(ISNUMBER(SEARCH("Send Money Reversal",C1144)),"Money In",IF(ISNUMBER(SEARCH("Pay Utility Reversal",C1144)),"Money In",IF(ISNUMBER(SEARCH("Customer Transfer",C1144)),"Money In",IF(ISNUMBER(SEARCH("Ziidi",C1144)),"Investment",IF(ISNUMBER(SEARCH("Nabo",C1144)),"Investment",IF(ISNUMBER(SEARCH("Paybill Online",C1144)),"Pay Bill",IF(ISNUMBER(SEARCH("Pay Bill",C1144)),"Pay Bill",IF(ISNUMBER(SEARCH("Spotify",C1144)),"Pay Bill",IF(ISNUMBER(SEARCH("M-Shwari",C1144)),"Mshwari",IF(ISNUMBER(SEARCH("Mshwari",C1144)),"Mshwari",IF(ISNUMBER(SEARCH("Withdrawal charge",C1144)),"Fees",IF(ISNUMBER(SEARCH("Customer Withdrawal",C1144)),"Fees",IF(ISNUMBER(SEARCH("charge",C1144)),"Fees","Other")))))))))))))))))))))))))</f>
        <v>Bundles</v>
      </c>
      <c r="R1144" s="1" t="str">
        <f aca="false">TEXT(B1144,"MMM YYYY")</f>
        <v>May 2026</v>
      </c>
    </row>
    <row r="1145" customFormat="false" ht="13.8" hidden="false" customHeight="false" outlineLevel="0" collapsed="false">
      <c r="A1145" s="4" t="s">
        <v>2354</v>
      </c>
      <c r="B1145" s="4" t="s">
        <v>2355</v>
      </c>
      <c r="C1145" s="4" t="s">
        <v>29</v>
      </c>
      <c r="D1145" s="4" t="s">
        <v>18</v>
      </c>
      <c r="E1145" s="4"/>
      <c r="F1145" s="4" t="n">
        <v>10</v>
      </c>
      <c r="G1145" s="4" t="n">
        <v>350.78</v>
      </c>
      <c r="L1145" s="1" t="str">
        <f aca="false">IF(ISNUMBER(SEARCH("Bundle",C1145)),"Bundles",IF(ISNUMBER(SEARCH("Airtime",C1145)),"Bundles",IF(ISNUMBER(SEARCH("Merchant",C1145)),"Merchant Payment",IF(ISNUMBER(SEARCH("Offnet C2B",C1145)),"Merchant Payment",IF(ISNUMBER(SEARCH("Offnet B2C",C1145)),"Merchant Payment",IF(ISNUMBER(SEARCH("Customer Payment to Small",C1145)),"Merchant Payment",IF(ISNUMBER(SEARCH("Payment to Small Business",C1145)),"Merchant Payment",IF(ISNUMBER(SEARCH("Sent to",C1145)),"Sent to Person",IF(ISNUMBER(SEARCH("Customer Transfer to",C1145)),"Sent to Person",IF(ISNUMBER(SEARCH("Business Payment",C1145)),"Money In",IF(ISNUMBER(SEARCH("Funds Received",C1145)),"Money In",IF(ISNUMBER(SEARCH("Receive International",C1145)),"Money In",IF(ISNUMBER(SEARCH("Send Money Reversal",C1145)),"Money In",IF(ISNUMBER(SEARCH("Pay Utility Reversal",C1145)),"Money In",IF(ISNUMBER(SEARCH("Customer Transfer",C1145)),"Money In",IF(ISNUMBER(SEARCH("Ziidi",C1145)),"Investment",IF(ISNUMBER(SEARCH("Nabo",C1145)),"Investment",IF(ISNUMBER(SEARCH("Paybill Online",C1145)),"Pay Bill",IF(ISNUMBER(SEARCH("Pay Bill",C1145)),"Pay Bill",IF(ISNUMBER(SEARCH("Spotify",C1145)),"Pay Bill",IF(ISNUMBER(SEARCH("M-Shwari",C1145)),"Mshwari",IF(ISNUMBER(SEARCH("Mshwari",C1145)),"Mshwari",IF(ISNUMBER(SEARCH("Withdrawal charge",C1145)),"Fees",IF(ISNUMBER(SEARCH("Customer Withdrawal",C1145)),"Fees",IF(ISNUMBER(SEARCH("charge",C1145)),"Fees","Other")))))))))))))))))))))))))</f>
        <v>Bundles</v>
      </c>
      <c r="R1145" s="1" t="str">
        <f aca="false">TEXT(B1145,"MMM YYYY")</f>
        <v>May 2026</v>
      </c>
    </row>
    <row r="1146" customFormat="false" ht="13.8" hidden="false" customHeight="false" outlineLevel="0" collapsed="false">
      <c r="A1146" s="4" t="s">
        <v>2356</v>
      </c>
      <c r="B1146" s="4" t="s">
        <v>2357</v>
      </c>
      <c r="C1146" s="4" t="s">
        <v>90</v>
      </c>
      <c r="D1146" s="4" t="s">
        <v>18</v>
      </c>
      <c r="E1146" s="4"/>
      <c r="F1146" s="4" t="n">
        <v>20</v>
      </c>
      <c r="G1146" s="4" t="n">
        <v>330.78</v>
      </c>
      <c r="L1146" s="1" t="str">
        <f aca="false">IF(ISNUMBER(SEARCH("Bundle",C1146)),"Bundles",IF(ISNUMBER(SEARCH("Airtime",C1146)),"Bundles",IF(ISNUMBER(SEARCH("Merchant",C1146)),"Merchant Payment",IF(ISNUMBER(SEARCH("Offnet C2B",C1146)),"Merchant Payment",IF(ISNUMBER(SEARCH("Offnet B2C",C1146)),"Merchant Payment",IF(ISNUMBER(SEARCH("Customer Payment to Small",C1146)),"Merchant Payment",IF(ISNUMBER(SEARCH("Payment to Small Business",C1146)),"Merchant Payment",IF(ISNUMBER(SEARCH("Sent to",C1146)),"Sent to Person",IF(ISNUMBER(SEARCH("Customer Transfer to",C1146)),"Sent to Person",IF(ISNUMBER(SEARCH("Business Payment",C1146)),"Money In",IF(ISNUMBER(SEARCH("Funds Received",C1146)),"Money In",IF(ISNUMBER(SEARCH("Receive International",C1146)),"Money In",IF(ISNUMBER(SEARCH("Send Money Reversal",C1146)),"Money In",IF(ISNUMBER(SEARCH("Pay Utility Reversal",C1146)),"Money In",IF(ISNUMBER(SEARCH("Customer Transfer",C1146)),"Money In",IF(ISNUMBER(SEARCH("Ziidi",C1146)),"Investment",IF(ISNUMBER(SEARCH("Nabo",C1146)),"Investment",IF(ISNUMBER(SEARCH("Paybill Online",C1146)),"Pay Bill",IF(ISNUMBER(SEARCH("Pay Bill",C1146)),"Pay Bill",IF(ISNUMBER(SEARCH("Spotify",C1146)),"Pay Bill",IF(ISNUMBER(SEARCH("M-Shwari",C1146)),"Mshwari",IF(ISNUMBER(SEARCH("Mshwari",C1146)),"Mshwari",IF(ISNUMBER(SEARCH("Withdrawal charge",C1146)),"Fees",IF(ISNUMBER(SEARCH("Customer Withdrawal",C1146)),"Fees",IF(ISNUMBER(SEARCH("charge",C1146)),"Fees","Other")))))))))))))))))))))))))</f>
        <v>Bundles</v>
      </c>
      <c r="R1146" s="1" t="str">
        <f aca="false">TEXT(B1146,"MMM YYYY")</f>
        <v>May 2026</v>
      </c>
    </row>
    <row r="1147" customFormat="false" ht="13.8" hidden="false" customHeight="false" outlineLevel="0" collapsed="false">
      <c r="A1147" s="4" t="s">
        <v>2358</v>
      </c>
      <c r="B1147" s="4" t="s">
        <v>2359</v>
      </c>
      <c r="C1147" s="4" t="s">
        <v>90</v>
      </c>
      <c r="D1147" s="4" t="s">
        <v>18</v>
      </c>
      <c r="E1147" s="4"/>
      <c r="F1147" s="4" t="n">
        <v>10</v>
      </c>
      <c r="G1147" s="4" t="n">
        <v>320.78</v>
      </c>
      <c r="L1147" s="1" t="str">
        <f aca="false">IF(ISNUMBER(SEARCH("Bundle",C1147)),"Bundles",IF(ISNUMBER(SEARCH("Airtime",C1147)),"Bundles",IF(ISNUMBER(SEARCH("Merchant",C1147)),"Merchant Payment",IF(ISNUMBER(SEARCH("Offnet C2B",C1147)),"Merchant Payment",IF(ISNUMBER(SEARCH("Offnet B2C",C1147)),"Merchant Payment",IF(ISNUMBER(SEARCH("Customer Payment to Small",C1147)),"Merchant Payment",IF(ISNUMBER(SEARCH("Payment to Small Business",C1147)),"Merchant Payment",IF(ISNUMBER(SEARCH("Sent to",C1147)),"Sent to Person",IF(ISNUMBER(SEARCH("Customer Transfer to",C1147)),"Sent to Person",IF(ISNUMBER(SEARCH("Business Payment",C1147)),"Money In",IF(ISNUMBER(SEARCH("Funds Received",C1147)),"Money In",IF(ISNUMBER(SEARCH("Receive International",C1147)),"Money In",IF(ISNUMBER(SEARCH("Send Money Reversal",C1147)),"Money In",IF(ISNUMBER(SEARCH("Pay Utility Reversal",C1147)),"Money In",IF(ISNUMBER(SEARCH("Customer Transfer",C1147)),"Money In",IF(ISNUMBER(SEARCH("Ziidi",C1147)),"Investment",IF(ISNUMBER(SEARCH("Nabo",C1147)),"Investment",IF(ISNUMBER(SEARCH("Paybill Online",C1147)),"Pay Bill",IF(ISNUMBER(SEARCH("Pay Bill",C1147)),"Pay Bill",IF(ISNUMBER(SEARCH("Spotify",C1147)),"Pay Bill",IF(ISNUMBER(SEARCH("M-Shwari",C1147)),"Mshwari",IF(ISNUMBER(SEARCH("Mshwari",C1147)),"Mshwari",IF(ISNUMBER(SEARCH("Withdrawal charge",C1147)),"Fees",IF(ISNUMBER(SEARCH("Customer Withdrawal",C1147)),"Fees",IF(ISNUMBER(SEARCH("charge",C1147)),"Fees","Other")))))))))))))))))))))))))</f>
        <v>Bundles</v>
      </c>
      <c r="R1147" s="1" t="str">
        <f aca="false">TEXT(B1147,"MMM YYYY")</f>
        <v>May 2026</v>
      </c>
    </row>
    <row r="1148" customFormat="false" ht="13.8" hidden="false" customHeight="false" outlineLevel="0" collapsed="false">
      <c r="A1148" s="4" t="s">
        <v>2360</v>
      </c>
      <c r="B1148" s="4" t="s">
        <v>2361</v>
      </c>
      <c r="C1148" s="4" t="s">
        <v>90</v>
      </c>
      <c r="D1148" s="4" t="s">
        <v>18</v>
      </c>
      <c r="E1148" s="4"/>
      <c r="F1148" s="4" t="n">
        <v>20</v>
      </c>
      <c r="G1148" s="4" t="n">
        <v>300.78</v>
      </c>
      <c r="L1148" s="1" t="str">
        <f aca="false">IF(ISNUMBER(SEARCH("Bundle",C1148)),"Bundles",IF(ISNUMBER(SEARCH("Airtime",C1148)),"Bundles",IF(ISNUMBER(SEARCH("Merchant",C1148)),"Merchant Payment",IF(ISNUMBER(SEARCH("Offnet C2B",C1148)),"Merchant Payment",IF(ISNUMBER(SEARCH("Offnet B2C",C1148)),"Merchant Payment",IF(ISNUMBER(SEARCH("Customer Payment to Small",C1148)),"Merchant Payment",IF(ISNUMBER(SEARCH("Payment to Small Business",C1148)),"Merchant Payment",IF(ISNUMBER(SEARCH("Sent to",C1148)),"Sent to Person",IF(ISNUMBER(SEARCH("Customer Transfer to",C1148)),"Sent to Person",IF(ISNUMBER(SEARCH("Business Payment",C1148)),"Money In",IF(ISNUMBER(SEARCH("Funds Received",C1148)),"Money In",IF(ISNUMBER(SEARCH("Receive International",C1148)),"Money In",IF(ISNUMBER(SEARCH("Send Money Reversal",C1148)),"Money In",IF(ISNUMBER(SEARCH("Pay Utility Reversal",C1148)),"Money In",IF(ISNUMBER(SEARCH("Customer Transfer",C1148)),"Money In",IF(ISNUMBER(SEARCH("Ziidi",C1148)),"Investment",IF(ISNUMBER(SEARCH("Nabo",C1148)),"Investment",IF(ISNUMBER(SEARCH("Paybill Online",C1148)),"Pay Bill",IF(ISNUMBER(SEARCH("Pay Bill",C1148)),"Pay Bill",IF(ISNUMBER(SEARCH("Spotify",C1148)),"Pay Bill",IF(ISNUMBER(SEARCH("M-Shwari",C1148)),"Mshwari",IF(ISNUMBER(SEARCH("Mshwari",C1148)),"Mshwari",IF(ISNUMBER(SEARCH("Withdrawal charge",C1148)),"Fees",IF(ISNUMBER(SEARCH("Customer Withdrawal",C1148)),"Fees",IF(ISNUMBER(SEARCH("charge",C1148)),"Fees","Other")))))))))))))))))))))))))</f>
        <v>Bundles</v>
      </c>
      <c r="R1148" s="1" t="str">
        <f aca="false">TEXT(B1148,"MMM YYYY")</f>
        <v>May 2026</v>
      </c>
    </row>
    <row r="1149" customFormat="false" ht="13.8" hidden="false" customHeight="false" outlineLevel="0" collapsed="false">
      <c r="A1149" s="4" t="s">
        <v>2362</v>
      </c>
      <c r="B1149" s="4" t="s">
        <v>2363</v>
      </c>
      <c r="C1149" s="4" t="s">
        <v>90</v>
      </c>
      <c r="D1149" s="4" t="s">
        <v>18</v>
      </c>
      <c r="E1149" s="4"/>
      <c r="F1149" s="4" t="n">
        <v>10</v>
      </c>
      <c r="G1149" s="4" t="n">
        <v>290.78</v>
      </c>
      <c r="L1149" s="1" t="str">
        <f aca="false">IF(ISNUMBER(SEARCH("Bundle",C1149)),"Bundles",IF(ISNUMBER(SEARCH("Airtime",C1149)),"Bundles",IF(ISNUMBER(SEARCH("Merchant",C1149)),"Merchant Payment",IF(ISNUMBER(SEARCH("Offnet C2B",C1149)),"Merchant Payment",IF(ISNUMBER(SEARCH("Offnet B2C",C1149)),"Merchant Payment",IF(ISNUMBER(SEARCH("Customer Payment to Small",C1149)),"Merchant Payment",IF(ISNUMBER(SEARCH("Payment to Small Business",C1149)),"Merchant Payment",IF(ISNUMBER(SEARCH("Sent to",C1149)),"Sent to Person",IF(ISNUMBER(SEARCH("Customer Transfer to",C1149)),"Sent to Person",IF(ISNUMBER(SEARCH("Business Payment",C1149)),"Money In",IF(ISNUMBER(SEARCH("Funds Received",C1149)),"Money In",IF(ISNUMBER(SEARCH("Receive International",C1149)),"Money In",IF(ISNUMBER(SEARCH("Send Money Reversal",C1149)),"Money In",IF(ISNUMBER(SEARCH("Pay Utility Reversal",C1149)),"Money In",IF(ISNUMBER(SEARCH("Customer Transfer",C1149)),"Money In",IF(ISNUMBER(SEARCH("Ziidi",C1149)),"Investment",IF(ISNUMBER(SEARCH("Nabo",C1149)),"Investment",IF(ISNUMBER(SEARCH("Paybill Online",C1149)),"Pay Bill",IF(ISNUMBER(SEARCH("Pay Bill",C1149)),"Pay Bill",IF(ISNUMBER(SEARCH("Spotify",C1149)),"Pay Bill",IF(ISNUMBER(SEARCH("M-Shwari",C1149)),"Mshwari",IF(ISNUMBER(SEARCH("Mshwari",C1149)),"Mshwari",IF(ISNUMBER(SEARCH("Withdrawal charge",C1149)),"Fees",IF(ISNUMBER(SEARCH("Customer Withdrawal",C1149)),"Fees",IF(ISNUMBER(SEARCH("charge",C1149)),"Fees","Other")))))))))))))))))))))))))</f>
        <v>Bundles</v>
      </c>
      <c r="R1149" s="1" t="str">
        <f aca="false">TEXT(B1149,"MMM YYYY")</f>
        <v>May 2026</v>
      </c>
    </row>
    <row r="1150" customFormat="false" ht="13.8" hidden="false" customHeight="false" outlineLevel="0" collapsed="false">
      <c r="A1150" s="4" t="s">
        <v>2364</v>
      </c>
      <c r="B1150" s="4" t="s">
        <v>2365</v>
      </c>
      <c r="C1150" s="4" t="s">
        <v>90</v>
      </c>
      <c r="D1150" s="4" t="s">
        <v>18</v>
      </c>
      <c r="E1150" s="4"/>
      <c r="F1150" s="4" t="n">
        <v>10</v>
      </c>
      <c r="G1150" s="4" t="n">
        <v>280.78</v>
      </c>
      <c r="L1150" s="1" t="str">
        <f aca="false">IF(ISNUMBER(SEARCH("Bundle",C1150)),"Bundles",IF(ISNUMBER(SEARCH("Airtime",C1150)),"Bundles",IF(ISNUMBER(SEARCH("Merchant",C1150)),"Merchant Payment",IF(ISNUMBER(SEARCH("Offnet C2B",C1150)),"Merchant Payment",IF(ISNUMBER(SEARCH("Offnet B2C",C1150)),"Merchant Payment",IF(ISNUMBER(SEARCH("Customer Payment to Small",C1150)),"Merchant Payment",IF(ISNUMBER(SEARCH("Payment to Small Business",C1150)),"Merchant Payment",IF(ISNUMBER(SEARCH("Sent to",C1150)),"Sent to Person",IF(ISNUMBER(SEARCH("Customer Transfer to",C1150)),"Sent to Person",IF(ISNUMBER(SEARCH("Business Payment",C1150)),"Money In",IF(ISNUMBER(SEARCH("Funds Received",C1150)),"Money In",IF(ISNUMBER(SEARCH("Receive International",C1150)),"Money In",IF(ISNUMBER(SEARCH("Send Money Reversal",C1150)),"Money In",IF(ISNUMBER(SEARCH("Pay Utility Reversal",C1150)),"Money In",IF(ISNUMBER(SEARCH("Customer Transfer",C1150)),"Money In",IF(ISNUMBER(SEARCH("Ziidi",C1150)),"Investment",IF(ISNUMBER(SEARCH("Nabo",C1150)),"Investment",IF(ISNUMBER(SEARCH("Paybill Online",C1150)),"Pay Bill",IF(ISNUMBER(SEARCH("Pay Bill",C1150)),"Pay Bill",IF(ISNUMBER(SEARCH("Spotify",C1150)),"Pay Bill",IF(ISNUMBER(SEARCH("M-Shwari",C1150)),"Mshwari",IF(ISNUMBER(SEARCH("Mshwari",C1150)),"Mshwari",IF(ISNUMBER(SEARCH("Withdrawal charge",C1150)),"Fees",IF(ISNUMBER(SEARCH("Customer Withdrawal",C1150)),"Fees",IF(ISNUMBER(SEARCH("charge",C1150)),"Fees","Other")))))))))))))))))))))))))</f>
        <v>Bundles</v>
      </c>
      <c r="R1150" s="1" t="str">
        <f aca="false">TEXT(B1150,"MMM YYYY")</f>
        <v>May 2026</v>
      </c>
    </row>
    <row r="1151" customFormat="false" ht="13.8" hidden="false" customHeight="false" outlineLevel="0" collapsed="false">
      <c r="A1151" s="4" t="s">
        <v>2366</v>
      </c>
      <c r="B1151" s="4" t="s">
        <v>2367</v>
      </c>
      <c r="C1151" s="4" t="s">
        <v>90</v>
      </c>
      <c r="D1151" s="4" t="s">
        <v>18</v>
      </c>
      <c r="E1151" s="4"/>
      <c r="F1151" s="4" t="n">
        <v>20</v>
      </c>
      <c r="G1151" s="4" t="n">
        <v>260.78</v>
      </c>
      <c r="L1151" s="1" t="str">
        <f aca="false">IF(ISNUMBER(SEARCH("Bundle",C1151)),"Bundles",IF(ISNUMBER(SEARCH("Airtime",C1151)),"Bundles",IF(ISNUMBER(SEARCH("Merchant",C1151)),"Merchant Payment",IF(ISNUMBER(SEARCH("Offnet C2B",C1151)),"Merchant Payment",IF(ISNUMBER(SEARCH("Offnet B2C",C1151)),"Merchant Payment",IF(ISNUMBER(SEARCH("Customer Payment to Small",C1151)),"Merchant Payment",IF(ISNUMBER(SEARCH("Payment to Small Business",C1151)),"Merchant Payment",IF(ISNUMBER(SEARCH("Sent to",C1151)),"Sent to Person",IF(ISNUMBER(SEARCH("Customer Transfer to",C1151)),"Sent to Person",IF(ISNUMBER(SEARCH("Business Payment",C1151)),"Money In",IF(ISNUMBER(SEARCH("Funds Received",C1151)),"Money In",IF(ISNUMBER(SEARCH("Receive International",C1151)),"Money In",IF(ISNUMBER(SEARCH("Send Money Reversal",C1151)),"Money In",IF(ISNUMBER(SEARCH("Pay Utility Reversal",C1151)),"Money In",IF(ISNUMBER(SEARCH("Customer Transfer",C1151)),"Money In",IF(ISNUMBER(SEARCH("Ziidi",C1151)),"Investment",IF(ISNUMBER(SEARCH("Nabo",C1151)),"Investment",IF(ISNUMBER(SEARCH("Paybill Online",C1151)),"Pay Bill",IF(ISNUMBER(SEARCH("Pay Bill",C1151)),"Pay Bill",IF(ISNUMBER(SEARCH("Spotify",C1151)),"Pay Bill",IF(ISNUMBER(SEARCH("M-Shwari",C1151)),"Mshwari",IF(ISNUMBER(SEARCH("Mshwari",C1151)),"Mshwari",IF(ISNUMBER(SEARCH("Withdrawal charge",C1151)),"Fees",IF(ISNUMBER(SEARCH("Customer Withdrawal",C1151)),"Fees",IF(ISNUMBER(SEARCH("charge",C1151)),"Fees","Other")))))))))))))))))))))))))</f>
        <v>Bundles</v>
      </c>
      <c r="R1151" s="1" t="str">
        <f aca="false">TEXT(B1151,"MMM YYYY")</f>
        <v>May 2026</v>
      </c>
    </row>
    <row r="1152" customFormat="false" ht="13.8" hidden="false" customHeight="false" outlineLevel="0" collapsed="false">
      <c r="A1152" s="4" t="s">
        <v>2368</v>
      </c>
      <c r="B1152" s="4" t="s">
        <v>2369</v>
      </c>
      <c r="C1152" s="4" t="s">
        <v>90</v>
      </c>
      <c r="D1152" s="4" t="s">
        <v>18</v>
      </c>
      <c r="E1152" s="4"/>
      <c r="F1152" s="4" t="n">
        <v>25</v>
      </c>
      <c r="G1152" s="4" t="n">
        <v>235.78</v>
      </c>
      <c r="L1152" s="1" t="str">
        <f aca="false">IF(ISNUMBER(SEARCH("Bundle",C1152)),"Bundles",IF(ISNUMBER(SEARCH("Airtime",C1152)),"Bundles",IF(ISNUMBER(SEARCH("Merchant",C1152)),"Merchant Payment",IF(ISNUMBER(SEARCH("Offnet C2B",C1152)),"Merchant Payment",IF(ISNUMBER(SEARCH("Offnet B2C",C1152)),"Merchant Payment",IF(ISNUMBER(SEARCH("Customer Payment to Small",C1152)),"Merchant Payment",IF(ISNUMBER(SEARCH("Payment to Small Business",C1152)),"Merchant Payment",IF(ISNUMBER(SEARCH("Sent to",C1152)),"Sent to Person",IF(ISNUMBER(SEARCH("Customer Transfer to",C1152)),"Sent to Person",IF(ISNUMBER(SEARCH("Business Payment",C1152)),"Money In",IF(ISNUMBER(SEARCH("Funds Received",C1152)),"Money In",IF(ISNUMBER(SEARCH("Receive International",C1152)),"Money In",IF(ISNUMBER(SEARCH("Send Money Reversal",C1152)),"Money In",IF(ISNUMBER(SEARCH("Pay Utility Reversal",C1152)),"Money In",IF(ISNUMBER(SEARCH("Customer Transfer",C1152)),"Money In",IF(ISNUMBER(SEARCH("Ziidi",C1152)),"Investment",IF(ISNUMBER(SEARCH("Nabo",C1152)),"Investment",IF(ISNUMBER(SEARCH("Paybill Online",C1152)),"Pay Bill",IF(ISNUMBER(SEARCH("Pay Bill",C1152)),"Pay Bill",IF(ISNUMBER(SEARCH("Spotify",C1152)),"Pay Bill",IF(ISNUMBER(SEARCH("M-Shwari",C1152)),"Mshwari",IF(ISNUMBER(SEARCH("Mshwari",C1152)),"Mshwari",IF(ISNUMBER(SEARCH("Withdrawal charge",C1152)),"Fees",IF(ISNUMBER(SEARCH("Customer Withdrawal",C1152)),"Fees",IF(ISNUMBER(SEARCH("charge",C1152)),"Fees","Other")))))))))))))))))))))))))</f>
        <v>Bundles</v>
      </c>
      <c r="R1152" s="1" t="str">
        <f aca="false">TEXT(B1152,"MMM YYYY")</f>
        <v>May 2026</v>
      </c>
    </row>
    <row r="1153" customFormat="false" ht="13.8" hidden="false" customHeight="false" outlineLevel="0" collapsed="false">
      <c r="A1153" s="4" t="s">
        <v>2370</v>
      </c>
      <c r="B1153" s="4" t="s">
        <v>2371</v>
      </c>
      <c r="C1153" s="4" t="s">
        <v>90</v>
      </c>
      <c r="D1153" s="4" t="s">
        <v>18</v>
      </c>
      <c r="E1153" s="4"/>
      <c r="F1153" s="4" t="n">
        <v>25</v>
      </c>
      <c r="G1153" s="4" t="n">
        <v>210.78</v>
      </c>
      <c r="L1153" s="1" t="str">
        <f aca="false">IF(ISNUMBER(SEARCH("Bundle",C1153)),"Bundles",IF(ISNUMBER(SEARCH("Airtime",C1153)),"Bundles",IF(ISNUMBER(SEARCH("Merchant",C1153)),"Merchant Payment",IF(ISNUMBER(SEARCH("Offnet C2B",C1153)),"Merchant Payment",IF(ISNUMBER(SEARCH("Offnet B2C",C1153)),"Merchant Payment",IF(ISNUMBER(SEARCH("Customer Payment to Small",C1153)),"Merchant Payment",IF(ISNUMBER(SEARCH("Payment to Small Business",C1153)),"Merchant Payment",IF(ISNUMBER(SEARCH("Sent to",C1153)),"Sent to Person",IF(ISNUMBER(SEARCH("Customer Transfer to",C1153)),"Sent to Person",IF(ISNUMBER(SEARCH("Business Payment",C1153)),"Money In",IF(ISNUMBER(SEARCH("Funds Received",C1153)),"Money In",IF(ISNUMBER(SEARCH("Receive International",C1153)),"Money In",IF(ISNUMBER(SEARCH("Send Money Reversal",C1153)),"Money In",IF(ISNUMBER(SEARCH("Pay Utility Reversal",C1153)),"Money In",IF(ISNUMBER(SEARCH("Customer Transfer",C1153)),"Money In",IF(ISNUMBER(SEARCH("Ziidi",C1153)),"Investment",IF(ISNUMBER(SEARCH("Nabo",C1153)),"Investment",IF(ISNUMBER(SEARCH("Paybill Online",C1153)),"Pay Bill",IF(ISNUMBER(SEARCH("Pay Bill",C1153)),"Pay Bill",IF(ISNUMBER(SEARCH("Spotify",C1153)),"Pay Bill",IF(ISNUMBER(SEARCH("M-Shwari",C1153)),"Mshwari",IF(ISNUMBER(SEARCH("Mshwari",C1153)),"Mshwari",IF(ISNUMBER(SEARCH("Withdrawal charge",C1153)),"Fees",IF(ISNUMBER(SEARCH("Customer Withdrawal",C1153)),"Fees",IF(ISNUMBER(SEARCH("charge",C1153)),"Fees","Other")))))))))))))))))))))))))</f>
        <v>Bundles</v>
      </c>
      <c r="R1153" s="1" t="str">
        <f aca="false">TEXT(B1153,"MMM YYYY")</f>
        <v>May 2026</v>
      </c>
    </row>
    <row r="1154" customFormat="false" ht="13.8" hidden="false" customHeight="false" outlineLevel="0" collapsed="false">
      <c r="A1154" s="4" t="s">
        <v>2372</v>
      </c>
      <c r="B1154" s="4" t="s">
        <v>2373</v>
      </c>
      <c r="C1154" s="4" t="s">
        <v>90</v>
      </c>
      <c r="D1154" s="4" t="s">
        <v>18</v>
      </c>
      <c r="E1154" s="4"/>
      <c r="F1154" s="4" t="n">
        <v>25</v>
      </c>
      <c r="G1154" s="4" t="n">
        <v>185.78</v>
      </c>
      <c r="L1154" s="1" t="str">
        <f aca="false">IF(ISNUMBER(SEARCH("Bundle",C1154)),"Bundles",IF(ISNUMBER(SEARCH("Airtime",C1154)),"Bundles",IF(ISNUMBER(SEARCH("Merchant",C1154)),"Merchant Payment",IF(ISNUMBER(SEARCH("Offnet C2B",C1154)),"Merchant Payment",IF(ISNUMBER(SEARCH("Offnet B2C",C1154)),"Merchant Payment",IF(ISNUMBER(SEARCH("Customer Payment to Small",C1154)),"Merchant Payment",IF(ISNUMBER(SEARCH("Payment to Small Business",C1154)),"Merchant Payment",IF(ISNUMBER(SEARCH("Sent to",C1154)),"Sent to Person",IF(ISNUMBER(SEARCH("Customer Transfer to",C1154)),"Sent to Person",IF(ISNUMBER(SEARCH("Business Payment",C1154)),"Money In",IF(ISNUMBER(SEARCH("Funds Received",C1154)),"Money In",IF(ISNUMBER(SEARCH("Receive International",C1154)),"Money In",IF(ISNUMBER(SEARCH("Send Money Reversal",C1154)),"Money In",IF(ISNUMBER(SEARCH("Pay Utility Reversal",C1154)),"Money In",IF(ISNUMBER(SEARCH("Customer Transfer",C1154)),"Money In",IF(ISNUMBER(SEARCH("Ziidi",C1154)),"Investment",IF(ISNUMBER(SEARCH("Nabo",C1154)),"Investment",IF(ISNUMBER(SEARCH("Paybill Online",C1154)),"Pay Bill",IF(ISNUMBER(SEARCH("Pay Bill",C1154)),"Pay Bill",IF(ISNUMBER(SEARCH("Spotify",C1154)),"Pay Bill",IF(ISNUMBER(SEARCH("M-Shwari",C1154)),"Mshwari",IF(ISNUMBER(SEARCH("Mshwari",C1154)),"Mshwari",IF(ISNUMBER(SEARCH("Withdrawal charge",C1154)),"Fees",IF(ISNUMBER(SEARCH("Customer Withdrawal",C1154)),"Fees",IF(ISNUMBER(SEARCH("charge",C1154)),"Fees","Other")))))))))))))))))))))))))</f>
        <v>Bundles</v>
      </c>
      <c r="R1154" s="1" t="str">
        <f aca="false">TEXT(B1154,"MMM YYYY")</f>
        <v>May 2026</v>
      </c>
    </row>
    <row r="1155" customFormat="false" ht="13.8" hidden="false" customHeight="false" outlineLevel="0" collapsed="false">
      <c r="A1155" s="4" t="s">
        <v>2374</v>
      </c>
      <c r="B1155" s="4" t="s">
        <v>2375</v>
      </c>
      <c r="C1155" s="4" t="s">
        <v>90</v>
      </c>
      <c r="D1155" s="4" t="s">
        <v>18</v>
      </c>
      <c r="E1155" s="4"/>
      <c r="F1155" s="4" t="n">
        <v>25</v>
      </c>
      <c r="G1155" s="4" t="n">
        <v>160.78</v>
      </c>
      <c r="L1155" s="1" t="str">
        <f aca="false">IF(ISNUMBER(SEARCH("Bundle",C1155)),"Bundles",IF(ISNUMBER(SEARCH("Airtime",C1155)),"Bundles",IF(ISNUMBER(SEARCH("Merchant",C1155)),"Merchant Payment",IF(ISNUMBER(SEARCH("Offnet C2B",C1155)),"Merchant Payment",IF(ISNUMBER(SEARCH("Offnet B2C",C1155)),"Merchant Payment",IF(ISNUMBER(SEARCH("Customer Payment to Small",C1155)),"Merchant Payment",IF(ISNUMBER(SEARCH("Payment to Small Business",C1155)),"Merchant Payment",IF(ISNUMBER(SEARCH("Sent to",C1155)),"Sent to Person",IF(ISNUMBER(SEARCH("Customer Transfer to",C1155)),"Sent to Person",IF(ISNUMBER(SEARCH("Business Payment",C1155)),"Money In",IF(ISNUMBER(SEARCH("Funds Received",C1155)),"Money In",IF(ISNUMBER(SEARCH("Receive International",C1155)),"Money In",IF(ISNUMBER(SEARCH("Send Money Reversal",C1155)),"Money In",IF(ISNUMBER(SEARCH("Pay Utility Reversal",C1155)),"Money In",IF(ISNUMBER(SEARCH("Customer Transfer",C1155)),"Money In",IF(ISNUMBER(SEARCH("Ziidi",C1155)),"Investment",IF(ISNUMBER(SEARCH("Nabo",C1155)),"Investment",IF(ISNUMBER(SEARCH("Paybill Online",C1155)),"Pay Bill",IF(ISNUMBER(SEARCH("Pay Bill",C1155)),"Pay Bill",IF(ISNUMBER(SEARCH("Spotify",C1155)),"Pay Bill",IF(ISNUMBER(SEARCH("M-Shwari",C1155)),"Mshwari",IF(ISNUMBER(SEARCH("Mshwari",C1155)),"Mshwari",IF(ISNUMBER(SEARCH("Withdrawal charge",C1155)),"Fees",IF(ISNUMBER(SEARCH("Customer Withdrawal",C1155)),"Fees",IF(ISNUMBER(SEARCH("charge",C1155)),"Fees","Other")))))))))))))))))))))))))</f>
        <v>Bundles</v>
      </c>
      <c r="R1155" s="1" t="str">
        <f aca="false">TEXT(B1155,"MMM YYYY")</f>
        <v>May 2026</v>
      </c>
    </row>
    <row r="1156" customFormat="false" ht="13.8" hidden="false" customHeight="false" outlineLevel="0" collapsed="false">
      <c r="A1156" s="4" t="s">
        <v>2376</v>
      </c>
      <c r="B1156" s="4" t="s">
        <v>2377</v>
      </c>
      <c r="C1156" s="4" t="s">
        <v>90</v>
      </c>
      <c r="D1156" s="4" t="s">
        <v>18</v>
      </c>
      <c r="E1156" s="4"/>
      <c r="F1156" s="4" t="n">
        <v>10</v>
      </c>
      <c r="G1156" s="4" t="n">
        <v>150.78</v>
      </c>
      <c r="L1156" s="1" t="str">
        <f aca="false">IF(ISNUMBER(SEARCH("Bundle",C1156)),"Bundles",IF(ISNUMBER(SEARCH("Airtime",C1156)),"Bundles",IF(ISNUMBER(SEARCH("Merchant",C1156)),"Merchant Payment",IF(ISNUMBER(SEARCH("Offnet C2B",C1156)),"Merchant Payment",IF(ISNUMBER(SEARCH("Offnet B2C",C1156)),"Merchant Payment",IF(ISNUMBER(SEARCH("Customer Payment to Small",C1156)),"Merchant Payment",IF(ISNUMBER(SEARCH("Payment to Small Business",C1156)),"Merchant Payment",IF(ISNUMBER(SEARCH("Sent to",C1156)),"Sent to Person",IF(ISNUMBER(SEARCH("Customer Transfer to",C1156)),"Sent to Person",IF(ISNUMBER(SEARCH("Business Payment",C1156)),"Money In",IF(ISNUMBER(SEARCH("Funds Received",C1156)),"Money In",IF(ISNUMBER(SEARCH("Receive International",C1156)),"Money In",IF(ISNUMBER(SEARCH("Send Money Reversal",C1156)),"Money In",IF(ISNUMBER(SEARCH("Pay Utility Reversal",C1156)),"Money In",IF(ISNUMBER(SEARCH("Customer Transfer",C1156)),"Money In",IF(ISNUMBER(SEARCH("Ziidi",C1156)),"Investment",IF(ISNUMBER(SEARCH("Nabo",C1156)),"Investment",IF(ISNUMBER(SEARCH("Paybill Online",C1156)),"Pay Bill",IF(ISNUMBER(SEARCH("Pay Bill",C1156)),"Pay Bill",IF(ISNUMBER(SEARCH("Spotify",C1156)),"Pay Bill",IF(ISNUMBER(SEARCH("M-Shwari",C1156)),"Mshwari",IF(ISNUMBER(SEARCH("Mshwari",C1156)),"Mshwari",IF(ISNUMBER(SEARCH("Withdrawal charge",C1156)),"Fees",IF(ISNUMBER(SEARCH("Customer Withdrawal",C1156)),"Fees",IF(ISNUMBER(SEARCH("charge",C1156)),"Fees","Other")))))))))))))))))))))))))</f>
        <v>Bundles</v>
      </c>
      <c r="R1156" s="1" t="str">
        <f aca="false">TEXT(B1156,"MMM YYYY")</f>
        <v>May 2026</v>
      </c>
    </row>
    <row r="1157" customFormat="false" ht="13.8" hidden="false" customHeight="false" outlineLevel="0" collapsed="false">
      <c r="A1157" s="4" t="s">
        <v>2378</v>
      </c>
      <c r="B1157" s="4" t="s">
        <v>2379</v>
      </c>
      <c r="C1157" s="4" t="s">
        <v>90</v>
      </c>
      <c r="D1157" s="4" t="s">
        <v>18</v>
      </c>
      <c r="E1157" s="4"/>
      <c r="F1157" s="4" t="n">
        <v>10</v>
      </c>
      <c r="G1157" s="4" t="n">
        <v>140.78</v>
      </c>
      <c r="L1157" s="1" t="str">
        <f aca="false">IF(ISNUMBER(SEARCH("Bundle",C1157)),"Bundles",IF(ISNUMBER(SEARCH("Airtime",C1157)),"Bundles",IF(ISNUMBER(SEARCH("Merchant",C1157)),"Merchant Payment",IF(ISNUMBER(SEARCH("Offnet C2B",C1157)),"Merchant Payment",IF(ISNUMBER(SEARCH("Offnet B2C",C1157)),"Merchant Payment",IF(ISNUMBER(SEARCH("Customer Payment to Small",C1157)),"Merchant Payment",IF(ISNUMBER(SEARCH("Payment to Small Business",C1157)),"Merchant Payment",IF(ISNUMBER(SEARCH("Sent to",C1157)),"Sent to Person",IF(ISNUMBER(SEARCH("Customer Transfer to",C1157)),"Sent to Person",IF(ISNUMBER(SEARCH("Business Payment",C1157)),"Money In",IF(ISNUMBER(SEARCH("Funds Received",C1157)),"Money In",IF(ISNUMBER(SEARCH("Receive International",C1157)),"Money In",IF(ISNUMBER(SEARCH("Send Money Reversal",C1157)),"Money In",IF(ISNUMBER(SEARCH("Pay Utility Reversal",C1157)),"Money In",IF(ISNUMBER(SEARCH("Customer Transfer",C1157)),"Money In",IF(ISNUMBER(SEARCH("Ziidi",C1157)),"Investment",IF(ISNUMBER(SEARCH("Nabo",C1157)),"Investment",IF(ISNUMBER(SEARCH("Paybill Online",C1157)),"Pay Bill",IF(ISNUMBER(SEARCH("Pay Bill",C1157)),"Pay Bill",IF(ISNUMBER(SEARCH("Spotify",C1157)),"Pay Bill",IF(ISNUMBER(SEARCH("M-Shwari",C1157)),"Mshwari",IF(ISNUMBER(SEARCH("Mshwari",C1157)),"Mshwari",IF(ISNUMBER(SEARCH("Withdrawal charge",C1157)),"Fees",IF(ISNUMBER(SEARCH("Customer Withdrawal",C1157)),"Fees",IF(ISNUMBER(SEARCH("charge",C1157)),"Fees","Other")))))))))))))))))))))))))</f>
        <v>Bundles</v>
      </c>
      <c r="R1157" s="1" t="str">
        <f aca="false">TEXT(B1157,"MMM YYYY")</f>
        <v>May 2026</v>
      </c>
    </row>
    <row r="1158" customFormat="false" ht="13.8" hidden="false" customHeight="false" outlineLevel="0" collapsed="false">
      <c r="A1158" s="4" t="s">
        <v>2380</v>
      </c>
      <c r="B1158" s="4" t="s">
        <v>2381</v>
      </c>
      <c r="C1158" s="4" t="s">
        <v>90</v>
      </c>
      <c r="D1158" s="4" t="s">
        <v>18</v>
      </c>
      <c r="E1158" s="4"/>
      <c r="F1158" s="4" t="n">
        <v>20</v>
      </c>
      <c r="G1158" s="4" t="n">
        <v>120.78</v>
      </c>
      <c r="L1158" s="1" t="str">
        <f aca="false">IF(ISNUMBER(SEARCH("Bundle",C1158)),"Bundles",IF(ISNUMBER(SEARCH("Airtime",C1158)),"Bundles",IF(ISNUMBER(SEARCH("Merchant",C1158)),"Merchant Payment",IF(ISNUMBER(SEARCH("Offnet C2B",C1158)),"Merchant Payment",IF(ISNUMBER(SEARCH("Offnet B2C",C1158)),"Merchant Payment",IF(ISNUMBER(SEARCH("Customer Payment to Small",C1158)),"Merchant Payment",IF(ISNUMBER(SEARCH("Payment to Small Business",C1158)),"Merchant Payment",IF(ISNUMBER(SEARCH("Sent to",C1158)),"Sent to Person",IF(ISNUMBER(SEARCH("Customer Transfer to",C1158)),"Sent to Person",IF(ISNUMBER(SEARCH("Business Payment",C1158)),"Money In",IF(ISNUMBER(SEARCH("Funds Received",C1158)),"Money In",IF(ISNUMBER(SEARCH("Receive International",C1158)),"Money In",IF(ISNUMBER(SEARCH("Send Money Reversal",C1158)),"Money In",IF(ISNUMBER(SEARCH("Pay Utility Reversal",C1158)),"Money In",IF(ISNUMBER(SEARCH("Customer Transfer",C1158)),"Money In",IF(ISNUMBER(SEARCH("Ziidi",C1158)),"Investment",IF(ISNUMBER(SEARCH("Nabo",C1158)),"Investment",IF(ISNUMBER(SEARCH("Paybill Online",C1158)),"Pay Bill",IF(ISNUMBER(SEARCH("Pay Bill",C1158)),"Pay Bill",IF(ISNUMBER(SEARCH("Spotify",C1158)),"Pay Bill",IF(ISNUMBER(SEARCH("M-Shwari",C1158)),"Mshwari",IF(ISNUMBER(SEARCH("Mshwari",C1158)),"Mshwari",IF(ISNUMBER(SEARCH("Withdrawal charge",C1158)),"Fees",IF(ISNUMBER(SEARCH("Customer Withdrawal",C1158)),"Fees",IF(ISNUMBER(SEARCH("charge",C1158)),"Fees","Other")))))))))))))))))))))))))</f>
        <v>Bundles</v>
      </c>
      <c r="R1158" s="1" t="str">
        <f aca="false">TEXT(B1158,"MMM YYYY")</f>
        <v>May 2026</v>
      </c>
    </row>
    <row r="1159" customFormat="false" ht="13.8" hidden="false" customHeight="false" outlineLevel="0" collapsed="false">
      <c r="A1159" s="4" t="s">
        <v>2382</v>
      </c>
      <c r="B1159" s="4" t="s">
        <v>2383</v>
      </c>
      <c r="C1159" s="4" t="s">
        <v>90</v>
      </c>
      <c r="D1159" s="4" t="s">
        <v>18</v>
      </c>
      <c r="E1159" s="4"/>
      <c r="F1159" s="4" t="n">
        <v>10</v>
      </c>
      <c r="G1159" s="4" t="n">
        <v>110.78</v>
      </c>
      <c r="L1159" s="1" t="str">
        <f aca="false">IF(ISNUMBER(SEARCH("Bundle",C1159)),"Bundles",IF(ISNUMBER(SEARCH("Airtime",C1159)),"Bundles",IF(ISNUMBER(SEARCH("Merchant",C1159)),"Merchant Payment",IF(ISNUMBER(SEARCH("Offnet C2B",C1159)),"Merchant Payment",IF(ISNUMBER(SEARCH("Offnet B2C",C1159)),"Merchant Payment",IF(ISNUMBER(SEARCH("Customer Payment to Small",C1159)),"Merchant Payment",IF(ISNUMBER(SEARCH("Payment to Small Business",C1159)),"Merchant Payment",IF(ISNUMBER(SEARCH("Sent to",C1159)),"Sent to Person",IF(ISNUMBER(SEARCH("Customer Transfer to",C1159)),"Sent to Person",IF(ISNUMBER(SEARCH("Business Payment",C1159)),"Money In",IF(ISNUMBER(SEARCH("Funds Received",C1159)),"Money In",IF(ISNUMBER(SEARCH("Receive International",C1159)),"Money In",IF(ISNUMBER(SEARCH("Send Money Reversal",C1159)),"Money In",IF(ISNUMBER(SEARCH("Pay Utility Reversal",C1159)),"Money In",IF(ISNUMBER(SEARCH("Customer Transfer",C1159)),"Money In",IF(ISNUMBER(SEARCH("Ziidi",C1159)),"Investment",IF(ISNUMBER(SEARCH("Nabo",C1159)),"Investment",IF(ISNUMBER(SEARCH("Paybill Online",C1159)),"Pay Bill",IF(ISNUMBER(SEARCH("Pay Bill",C1159)),"Pay Bill",IF(ISNUMBER(SEARCH("Spotify",C1159)),"Pay Bill",IF(ISNUMBER(SEARCH("M-Shwari",C1159)),"Mshwari",IF(ISNUMBER(SEARCH("Mshwari",C1159)),"Mshwari",IF(ISNUMBER(SEARCH("Withdrawal charge",C1159)),"Fees",IF(ISNUMBER(SEARCH("Customer Withdrawal",C1159)),"Fees",IF(ISNUMBER(SEARCH("charge",C1159)),"Fees","Other")))))))))))))))))))))))))</f>
        <v>Bundles</v>
      </c>
      <c r="R1159" s="1" t="str">
        <f aca="false">TEXT(B1159,"MMM YYYY")</f>
        <v>May 2026</v>
      </c>
    </row>
    <row r="1160" customFormat="false" ht="13.8" hidden="false" customHeight="false" outlineLevel="0" collapsed="false">
      <c r="A1160" s="4" t="s">
        <v>2307</v>
      </c>
      <c r="B1160" s="4" t="str">
        <f aca="false">IF(ISNUMBER(SEARCH("Bundle",C2)),"Bundles",IF(ISNUMBER(SEARCH("Merchant",C2)),"Merchant Payment",IF(ISNUMBER(SEARCH("Payment to Small Business",C2)),"Merchant Payment",IF(ISNUMBER(SEARCH("Sent to",C2)),"Sent to Person",IF(ISNUMBER(SEARCH("Pay Bill",C2)),"Pay Bill",IF(ISNUMBER(SEARCH("Spotify",C2)),"Pay Bill",IF(ISNUMBER(SEARCH("Customer Transfer",C2)),"Money In",IF(ISNUMBER(SEARCH("Transfer",C2)),"Money In",IF(ISNUMBER(SEARCH("Mshwari",C2)),"Mshwari",IF(ISNUMBER(SEARCH("charge",C2)),"Fees","Other"))))))))))</f>
        <v>Bundles</v>
      </c>
      <c r="C1160" s="4" t="s">
        <v>1533</v>
      </c>
      <c r="D1160" s="4" t="s">
        <v>18</v>
      </c>
      <c r="E1160" s="4"/>
      <c r="F1160" s="4" t="n">
        <v>29</v>
      </c>
      <c r="G1160" s="4" t="n">
        <v>1266.78</v>
      </c>
      <c r="L1160" s="1" t="str">
        <f aca="false">IF(ISNUMBER(SEARCH("Bundle",C1160)),"Bundles",IF(ISNUMBER(SEARCH("Airtime",C1160)),"Bundles",IF(ISNUMBER(SEARCH("Merchant",C1160)),"Merchant Payment",IF(ISNUMBER(SEARCH("Offnet C2B",C1160)),"Merchant Payment",IF(ISNUMBER(SEARCH("Offnet B2C",C1160)),"Merchant Payment",IF(ISNUMBER(SEARCH("Customer Payment to Small",C1160)),"Merchant Payment",IF(ISNUMBER(SEARCH("Payment to Small Business",C1160)),"Merchant Payment",IF(ISNUMBER(SEARCH("Sent to",C1160)),"Sent to Person",IF(ISNUMBER(SEARCH("Customer Transfer to",C1160)),"Sent to Person",IF(ISNUMBER(SEARCH("Business Payment",C1160)),"Money In",IF(ISNUMBER(SEARCH("Funds Received",C1160)),"Money In",IF(ISNUMBER(SEARCH("Receive International",C1160)),"Money In",IF(ISNUMBER(SEARCH("Send Money Reversal",C1160)),"Money In",IF(ISNUMBER(SEARCH("Pay Utility Reversal",C1160)),"Money In",IF(ISNUMBER(SEARCH("Customer Transfer",C1160)),"Money In",IF(ISNUMBER(SEARCH("Ziidi",C1160)),"Investment",IF(ISNUMBER(SEARCH("Nabo",C1160)),"Investment",IF(ISNUMBER(SEARCH("Paybill Online",C1160)),"Pay Bill",IF(ISNUMBER(SEARCH("Pay Bill",C1160)),"Pay Bill",IF(ISNUMBER(SEARCH("Spotify",C1160)),"Pay Bill",IF(ISNUMBER(SEARCH("M-Shwari",C1160)),"Mshwari",IF(ISNUMBER(SEARCH("Mshwari",C1160)),"Mshwari",IF(ISNUMBER(SEARCH("Withdrawal charge",C1160)),"Fees",IF(ISNUMBER(SEARCH("Customer Withdrawal",C1160)),"Fees",IF(ISNUMBER(SEARCH("charge",C1160)),"Fees","Other")))))))))))))))))))))))))</f>
        <v>Fees</v>
      </c>
      <c r="R1160" s="1" t="str">
        <f aca="false">TEXT(B1160,"MMM YYYY")</f>
        <v>Bundles</v>
      </c>
    </row>
    <row r="1161" customFormat="false" ht="13.8" hidden="false" customHeight="false" outlineLevel="0" collapsed="false">
      <c r="A1161" s="4" t="s">
        <v>2384</v>
      </c>
      <c r="B1161" s="4" t="s">
        <v>2385</v>
      </c>
      <c r="C1161" s="4" t="s">
        <v>1774</v>
      </c>
      <c r="D1161" s="4" t="s">
        <v>18</v>
      </c>
      <c r="E1161" s="4"/>
      <c r="F1161" s="4" t="n">
        <v>250</v>
      </c>
      <c r="G1161" s="4" t="n">
        <v>1016.78</v>
      </c>
      <c r="L1161" s="1" t="str">
        <f aca="false">IF(ISNUMBER(SEARCH("Bundle",C1161)),"Bundles",IF(ISNUMBER(SEARCH("Airtime",C1161)),"Bundles",IF(ISNUMBER(SEARCH("Merchant",C1161)),"Merchant Payment",IF(ISNUMBER(SEARCH("Offnet C2B",C1161)),"Merchant Payment",IF(ISNUMBER(SEARCH("Offnet B2C",C1161)),"Merchant Payment",IF(ISNUMBER(SEARCH("Customer Payment to Small",C1161)),"Merchant Payment",IF(ISNUMBER(SEARCH("Payment to Small Business",C1161)),"Merchant Payment",IF(ISNUMBER(SEARCH("Sent to",C1161)),"Sent to Person",IF(ISNUMBER(SEARCH("Customer Transfer to",C1161)),"Sent to Person",IF(ISNUMBER(SEARCH("Business Payment",C1161)),"Money In",IF(ISNUMBER(SEARCH("Funds Received",C1161)),"Money In",IF(ISNUMBER(SEARCH("Receive International",C1161)),"Money In",IF(ISNUMBER(SEARCH("Send Money Reversal",C1161)),"Money In",IF(ISNUMBER(SEARCH("Pay Utility Reversal",C1161)),"Money In",IF(ISNUMBER(SEARCH("Customer Transfer",C1161)),"Money In",IF(ISNUMBER(SEARCH("Ziidi",C1161)),"Investment",IF(ISNUMBER(SEARCH("Nabo",C1161)),"Investment",IF(ISNUMBER(SEARCH("Paybill Online",C1161)),"Pay Bill",IF(ISNUMBER(SEARCH("Pay Bill",C1161)),"Pay Bill",IF(ISNUMBER(SEARCH("Spotify",C1161)),"Pay Bill",IF(ISNUMBER(SEARCH("M-Shwari",C1161)),"Mshwari",IF(ISNUMBER(SEARCH("Mshwari",C1161)),"Mshwari",IF(ISNUMBER(SEARCH("Withdrawal charge",C1161)),"Fees",IF(ISNUMBER(SEARCH("Customer Withdrawal",C1161)),"Fees",IF(ISNUMBER(SEARCH("charge",C1161)),"Fees","Other")))))))))))))))))))))))))</f>
        <v>Merchant Payment</v>
      </c>
      <c r="R1161" s="1" t="str">
        <f aca="false">TEXT(B1161,"MMM YYYY")</f>
        <v>May 2026</v>
      </c>
    </row>
    <row r="1162" customFormat="false" ht="13.8" hidden="false" customHeight="false" outlineLevel="0" collapsed="false">
      <c r="A1162" s="4" t="s">
        <v>2386</v>
      </c>
      <c r="B1162" s="4" t="s">
        <v>2387</v>
      </c>
      <c r="C1162" s="4" t="s">
        <v>1273</v>
      </c>
      <c r="D1162" s="4" t="s">
        <v>18</v>
      </c>
      <c r="E1162" s="4"/>
      <c r="F1162" s="4" t="n">
        <v>50</v>
      </c>
      <c r="G1162" s="4" t="n">
        <v>966.78</v>
      </c>
      <c r="L1162" s="1" t="str">
        <f aca="false">IF(ISNUMBER(SEARCH("Bundle",C1162)),"Bundles",IF(ISNUMBER(SEARCH("Airtime",C1162)),"Bundles",IF(ISNUMBER(SEARCH("Merchant",C1162)),"Merchant Payment",IF(ISNUMBER(SEARCH("Offnet C2B",C1162)),"Merchant Payment",IF(ISNUMBER(SEARCH("Offnet B2C",C1162)),"Merchant Payment",IF(ISNUMBER(SEARCH("Customer Payment to Small",C1162)),"Merchant Payment",IF(ISNUMBER(SEARCH("Payment to Small Business",C1162)),"Merchant Payment",IF(ISNUMBER(SEARCH("Sent to",C1162)),"Sent to Person",IF(ISNUMBER(SEARCH("Customer Transfer to",C1162)),"Sent to Person",IF(ISNUMBER(SEARCH("Business Payment",C1162)),"Money In",IF(ISNUMBER(SEARCH("Funds Received",C1162)),"Money In",IF(ISNUMBER(SEARCH("Receive International",C1162)),"Money In",IF(ISNUMBER(SEARCH("Send Money Reversal",C1162)),"Money In",IF(ISNUMBER(SEARCH("Pay Utility Reversal",C1162)),"Money In",IF(ISNUMBER(SEARCH("Customer Transfer",C1162)),"Money In",IF(ISNUMBER(SEARCH("Ziidi",C1162)),"Investment",IF(ISNUMBER(SEARCH("Nabo",C1162)),"Investment",IF(ISNUMBER(SEARCH("Paybill Online",C1162)),"Pay Bill",IF(ISNUMBER(SEARCH("Pay Bill",C1162)),"Pay Bill",IF(ISNUMBER(SEARCH("Spotify",C1162)),"Pay Bill",IF(ISNUMBER(SEARCH("M-Shwari",C1162)),"Mshwari",IF(ISNUMBER(SEARCH("Mshwari",C1162)),"Mshwari",IF(ISNUMBER(SEARCH("Withdrawal charge",C1162)),"Fees",IF(ISNUMBER(SEARCH("Customer Withdrawal",C1162)),"Fees",IF(ISNUMBER(SEARCH("charge",C1162)),"Fees","Other")))))))))))))))))))))))))</f>
        <v>Merchant Payment</v>
      </c>
      <c r="R1162" s="1" t="str">
        <f aca="false">TEXT(B1162,"MMM YYYY")</f>
        <v>May 2026</v>
      </c>
    </row>
    <row r="1163" customFormat="false" ht="13.8" hidden="false" customHeight="false" outlineLevel="0" collapsed="false">
      <c r="A1163" s="4" t="s">
        <v>2388</v>
      </c>
      <c r="B1163" s="4" t="s">
        <v>2389</v>
      </c>
      <c r="C1163" s="4" t="s">
        <v>459</v>
      </c>
      <c r="D1163" s="4" t="s">
        <v>18</v>
      </c>
      <c r="E1163" s="4"/>
      <c r="F1163" s="4" t="n">
        <v>200</v>
      </c>
      <c r="G1163" s="4" t="n">
        <v>766.78</v>
      </c>
      <c r="L1163" s="1" t="str">
        <f aca="false">IF(ISNUMBER(SEARCH("Bundle",C1163)),"Bundles",IF(ISNUMBER(SEARCH("Airtime",C1163)),"Bundles",IF(ISNUMBER(SEARCH("Merchant",C1163)),"Merchant Payment",IF(ISNUMBER(SEARCH("Offnet C2B",C1163)),"Merchant Payment",IF(ISNUMBER(SEARCH("Offnet B2C",C1163)),"Merchant Payment",IF(ISNUMBER(SEARCH("Customer Payment to Small",C1163)),"Merchant Payment",IF(ISNUMBER(SEARCH("Payment to Small Business",C1163)),"Merchant Payment",IF(ISNUMBER(SEARCH("Sent to",C1163)),"Sent to Person",IF(ISNUMBER(SEARCH("Customer Transfer to",C1163)),"Sent to Person",IF(ISNUMBER(SEARCH("Business Payment",C1163)),"Money In",IF(ISNUMBER(SEARCH("Funds Received",C1163)),"Money In",IF(ISNUMBER(SEARCH("Receive International",C1163)),"Money In",IF(ISNUMBER(SEARCH("Send Money Reversal",C1163)),"Money In",IF(ISNUMBER(SEARCH("Pay Utility Reversal",C1163)),"Money In",IF(ISNUMBER(SEARCH("Customer Transfer",C1163)),"Money In",IF(ISNUMBER(SEARCH("Ziidi",C1163)),"Investment",IF(ISNUMBER(SEARCH("Nabo",C1163)),"Investment",IF(ISNUMBER(SEARCH("Paybill Online",C1163)),"Pay Bill",IF(ISNUMBER(SEARCH("Pay Bill",C1163)),"Pay Bill",IF(ISNUMBER(SEARCH("Spotify",C1163)),"Pay Bill",IF(ISNUMBER(SEARCH("M-Shwari",C1163)),"Mshwari",IF(ISNUMBER(SEARCH("Mshwari",C1163)),"Mshwari",IF(ISNUMBER(SEARCH("Withdrawal charge",C1163)),"Fees",IF(ISNUMBER(SEARCH("Customer Withdrawal",C1163)),"Fees",IF(ISNUMBER(SEARCH("charge",C1163)),"Fees","Other")))))))))))))))))))))))))</f>
        <v>Merchant Payment</v>
      </c>
      <c r="R1163" s="1" t="str">
        <f aca="false">TEXT(B1163,"MMM YYYY")</f>
        <v>May 2026</v>
      </c>
    </row>
    <row r="1164" customFormat="false" ht="13.8" hidden="false" customHeight="false" outlineLevel="0" collapsed="false">
      <c r="A1164" s="4" t="s">
        <v>2390</v>
      </c>
      <c r="B1164" s="4" t="s">
        <v>2391</v>
      </c>
      <c r="C1164" s="4" t="s">
        <v>29</v>
      </c>
      <c r="D1164" s="4" t="s">
        <v>18</v>
      </c>
      <c r="E1164" s="4"/>
      <c r="F1164" s="4" t="n">
        <v>10</v>
      </c>
      <c r="G1164" s="4" t="n">
        <v>756.78</v>
      </c>
      <c r="L1164" s="1" t="str">
        <f aca="false">IF(ISNUMBER(SEARCH("Bundle",C1164)),"Bundles",IF(ISNUMBER(SEARCH("Airtime",C1164)),"Bundles",IF(ISNUMBER(SEARCH("Merchant",C1164)),"Merchant Payment",IF(ISNUMBER(SEARCH("Offnet C2B",C1164)),"Merchant Payment",IF(ISNUMBER(SEARCH("Offnet B2C",C1164)),"Merchant Payment",IF(ISNUMBER(SEARCH("Customer Payment to Small",C1164)),"Merchant Payment",IF(ISNUMBER(SEARCH("Payment to Small Business",C1164)),"Merchant Payment",IF(ISNUMBER(SEARCH("Sent to",C1164)),"Sent to Person",IF(ISNUMBER(SEARCH("Customer Transfer to",C1164)),"Sent to Person",IF(ISNUMBER(SEARCH("Business Payment",C1164)),"Money In",IF(ISNUMBER(SEARCH("Funds Received",C1164)),"Money In",IF(ISNUMBER(SEARCH("Receive International",C1164)),"Money In",IF(ISNUMBER(SEARCH("Send Money Reversal",C1164)),"Money In",IF(ISNUMBER(SEARCH("Pay Utility Reversal",C1164)),"Money In",IF(ISNUMBER(SEARCH("Customer Transfer",C1164)),"Money In",IF(ISNUMBER(SEARCH("Ziidi",C1164)),"Investment",IF(ISNUMBER(SEARCH("Nabo",C1164)),"Investment",IF(ISNUMBER(SEARCH("Paybill Online",C1164)),"Pay Bill",IF(ISNUMBER(SEARCH("Pay Bill",C1164)),"Pay Bill",IF(ISNUMBER(SEARCH("Spotify",C1164)),"Pay Bill",IF(ISNUMBER(SEARCH("M-Shwari",C1164)),"Mshwari",IF(ISNUMBER(SEARCH("Mshwari",C1164)),"Mshwari",IF(ISNUMBER(SEARCH("Withdrawal charge",C1164)),"Fees",IF(ISNUMBER(SEARCH("Customer Withdrawal",C1164)),"Fees",IF(ISNUMBER(SEARCH("charge",C1164)),"Fees","Other")))))))))))))))))))))))))</f>
        <v>Bundles</v>
      </c>
      <c r="R1164" s="1" t="str">
        <f aca="false">TEXT(B1164,"MMM YYYY")</f>
        <v>May 2026</v>
      </c>
    </row>
    <row r="1165" customFormat="false" ht="13.8" hidden="false" customHeight="false" outlineLevel="0" collapsed="false">
      <c r="A1165" s="4" t="s">
        <v>2392</v>
      </c>
      <c r="B1165" s="4" t="s">
        <v>2393</v>
      </c>
      <c r="C1165" s="4" t="s">
        <v>29</v>
      </c>
      <c r="D1165" s="4" t="s">
        <v>18</v>
      </c>
      <c r="E1165" s="4"/>
      <c r="F1165" s="4" t="n">
        <v>10</v>
      </c>
      <c r="G1165" s="4" t="n">
        <v>746.78</v>
      </c>
      <c r="L1165" s="1" t="str">
        <f aca="false">IF(ISNUMBER(SEARCH("Bundle",C1165)),"Bundles",IF(ISNUMBER(SEARCH("Airtime",C1165)),"Bundles",IF(ISNUMBER(SEARCH("Merchant",C1165)),"Merchant Payment",IF(ISNUMBER(SEARCH("Offnet C2B",C1165)),"Merchant Payment",IF(ISNUMBER(SEARCH("Offnet B2C",C1165)),"Merchant Payment",IF(ISNUMBER(SEARCH("Customer Payment to Small",C1165)),"Merchant Payment",IF(ISNUMBER(SEARCH("Payment to Small Business",C1165)),"Merchant Payment",IF(ISNUMBER(SEARCH("Sent to",C1165)),"Sent to Person",IF(ISNUMBER(SEARCH("Customer Transfer to",C1165)),"Sent to Person",IF(ISNUMBER(SEARCH("Business Payment",C1165)),"Money In",IF(ISNUMBER(SEARCH("Funds Received",C1165)),"Money In",IF(ISNUMBER(SEARCH("Receive International",C1165)),"Money In",IF(ISNUMBER(SEARCH("Send Money Reversal",C1165)),"Money In",IF(ISNUMBER(SEARCH("Pay Utility Reversal",C1165)),"Money In",IF(ISNUMBER(SEARCH("Customer Transfer",C1165)),"Money In",IF(ISNUMBER(SEARCH("Ziidi",C1165)),"Investment",IF(ISNUMBER(SEARCH("Nabo",C1165)),"Investment",IF(ISNUMBER(SEARCH("Paybill Online",C1165)),"Pay Bill",IF(ISNUMBER(SEARCH("Pay Bill",C1165)),"Pay Bill",IF(ISNUMBER(SEARCH("Spotify",C1165)),"Pay Bill",IF(ISNUMBER(SEARCH("M-Shwari",C1165)),"Mshwari",IF(ISNUMBER(SEARCH("Mshwari",C1165)),"Mshwari",IF(ISNUMBER(SEARCH("Withdrawal charge",C1165)),"Fees",IF(ISNUMBER(SEARCH("Customer Withdrawal",C1165)),"Fees",IF(ISNUMBER(SEARCH("charge",C1165)),"Fees","Other")))))))))))))))))))))))))</f>
        <v>Bundles</v>
      </c>
      <c r="R1165" s="1" t="str">
        <f aca="false">TEXT(B1165,"MMM YYYY")</f>
        <v>May 2026</v>
      </c>
    </row>
    <row r="1166" customFormat="false" ht="13.8" hidden="false" customHeight="false" outlineLevel="0" collapsed="false">
      <c r="A1166" s="4" t="s">
        <v>2394</v>
      </c>
      <c r="B1166" s="4" t="s">
        <v>2395</v>
      </c>
      <c r="C1166" s="4" t="s">
        <v>29</v>
      </c>
      <c r="D1166" s="4" t="s">
        <v>18</v>
      </c>
      <c r="E1166" s="4"/>
      <c r="F1166" s="4" t="n">
        <v>10</v>
      </c>
      <c r="G1166" s="4" t="n">
        <v>736.78</v>
      </c>
      <c r="L1166" s="1" t="str">
        <f aca="false">IF(ISNUMBER(SEARCH("Bundle",C1166)),"Bundles",IF(ISNUMBER(SEARCH("Airtime",C1166)),"Bundles",IF(ISNUMBER(SEARCH("Merchant",C1166)),"Merchant Payment",IF(ISNUMBER(SEARCH("Offnet C2B",C1166)),"Merchant Payment",IF(ISNUMBER(SEARCH("Offnet B2C",C1166)),"Merchant Payment",IF(ISNUMBER(SEARCH("Customer Payment to Small",C1166)),"Merchant Payment",IF(ISNUMBER(SEARCH("Payment to Small Business",C1166)),"Merchant Payment",IF(ISNUMBER(SEARCH("Sent to",C1166)),"Sent to Person",IF(ISNUMBER(SEARCH("Customer Transfer to",C1166)),"Sent to Person",IF(ISNUMBER(SEARCH("Business Payment",C1166)),"Money In",IF(ISNUMBER(SEARCH("Funds Received",C1166)),"Money In",IF(ISNUMBER(SEARCH("Receive International",C1166)),"Money In",IF(ISNUMBER(SEARCH("Send Money Reversal",C1166)),"Money In",IF(ISNUMBER(SEARCH("Pay Utility Reversal",C1166)),"Money In",IF(ISNUMBER(SEARCH("Customer Transfer",C1166)),"Money In",IF(ISNUMBER(SEARCH("Ziidi",C1166)),"Investment",IF(ISNUMBER(SEARCH("Nabo",C1166)),"Investment",IF(ISNUMBER(SEARCH("Paybill Online",C1166)),"Pay Bill",IF(ISNUMBER(SEARCH("Pay Bill",C1166)),"Pay Bill",IF(ISNUMBER(SEARCH("Spotify",C1166)),"Pay Bill",IF(ISNUMBER(SEARCH("M-Shwari",C1166)),"Mshwari",IF(ISNUMBER(SEARCH("Mshwari",C1166)),"Mshwari",IF(ISNUMBER(SEARCH("Withdrawal charge",C1166)),"Fees",IF(ISNUMBER(SEARCH("Customer Withdrawal",C1166)),"Fees",IF(ISNUMBER(SEARCH("charge",C1166)),"Fees","Other")))))))))))))))))))))))))</f>
        <v>Bundles</v>
      </c>
      <c r="R1166" s="1" t="str">
        <f aca="false">TEXT(B1166,"MMM YYYY")</f>
        <v>May 2026</v>
      </c>
    </row>
    <row r="1167" customFormat="false" ht="13.8" hidden="false" customHeight="false" outlineLevel="0" collapsed="false">
      <c r="A1167" s="4" t="s">
        <v>2396</v>
      </c>
      <c r="B1167" s="4" t="s">
        <v>2397</v>
      </c>
      <c r="C1167" s="4" t="s">
        <v>29</v>
      </c>
      <c r="D1167" s="4" t="s">
        <v>18</v>
      </c>
      <c r="E1167" s="4"/>
      <c r="F1167" s="4" t="n">
        <v>10</v>
      </c>
      <c r="G1167" s="4" t="n">
        <v>726.78</v>
      </c>
      <c r="L1167" s="1" t="str">
        <f aca="false">IF(ISNUMBER(SEARCH("Bundle",C1167)),"Bundles",IF(ISNUMBER(SEARCH("Airtime",C1167)),"Bundles",IF(ISNUMBER(SEARCH("Merchant",C1167)),"Merchant Payment",IF(ISNUMBER(SEARCH("Offnet C2B",C1167)),"Merchant Payment",IF(ISNUMBER(SEARCH("Offnet B2C",C1167)),"Merchant Payment",IF(ISNUMBER(SEARCH("Customer Payment to Small",C1167)),"Merchant Payment",IF(ISNUMBER(SEARCH("Payment to Small Business",C1167)),"Merchant Payment",IF(ISNUMBER(SEARCH("Sent to",C1167)),"Sent to Person",IF(ISNUMBER(SEARCH("Customer Transfer to",C1167)),"Sent to Person",IF(ISNUMBER(SEARCH("Business Payment",C1167)),"Money In",IF(ISNUMBER(SEARCH("Funds Received",C1167)),"Money In",IF(ISNUMBER(SEARCH("Receive International",C1167)),"Money In",IF(ISNUMBER(SEARCH("Send Money Reversal",C1167)),"Money In",IF(ISNUMBER(SEARCH("Pay Utility Reversal",C1167)),"Money In",IF(ISNUMBER(SEARCH("Customer Transfer",C1167)),"Money In",IF(ISNUMBER(SEARCH("Ziidi",C1167)),"Investment",IF(ISNUMBER(SEARCH("Nabo",C1167)),"Investment",IF(ISNUMBER(SEARCH("Paybill Online",C1167)),"Pay Bill",IF(ISNUMBER(SEARCH("Pay Bill",C1167)),"Pay Bill",IF(ISNUMBER(SEARCH("Spotify",C1167)),"Pay Bill",IF(ISNUMBER(SEARCH("M-Shwari",C1167)),"Mshwari",IF(ISNUMBER(SEARCH("Mshwari",C1167)),"Mshwari",IF(ISNUMBER(SEARCH("Withdrawal charge",C1167)),"Fees",IF(ISNUMBER(SEARCH("Customer Withdrawal",C1167)),"Fees",IF(ISNUMBER(SEARCH("charge",C1167)),"Fees","Other")))))))))))))))))))))))))</f>
        <v>Bundles</v>
      </c>
      <c r="R1167" s="1" t="str">
        <f aca="false">TEXT(B1167,"MMM YYYY")</f>
        <v>May 2026</v>
      </c>
    </row>
    <row r="1168" customFormat="false" ht="13.8" hidden="false" customHeight="false" outlineLevel="0" collapsed="false">
      <c r="A1168" s="4" t="s">
        <v>2398</v>
      </c>
      <c r="B1168" s="4" t="s">
        <v>2399</v>
      </c>
      <c r="C1168" s="4" t="s">
        <v>29</v>
      </c>
      <c r="D1168" s="4" t="s">
        <v>18</v>
      </c>
      <c r="E1168" s="4"/>
      <c r="F1168" s="4" t="n">
        <v>10</v>
      </c>
      <c r="G1168" s="4" t="n">
        <v>716.78</v>
      </c>
      <c r="L1168" s="1" t="str">
        <f aca="false">IF(ISNUMBER(SEARCH("Bundle",C1168)),"Bundles",IF(ISNUMBER(SEARCH("Airtime",C1168)),"Bundles",IF(ISNUMBER(SEARCH("Merchant",C1168)),"Merchant Payment",IF(ISNUMBER(SEARCH("Offnet C2B",C1168)),"Merchant Payment",IF(ISNUMBER(SEARCH("Offnet B2C",C1168)),"Merchant Payment",IF(ISNUMBER(SEARCH("Customer Payment to Small",C1168)),"Merchant Payment",IF(ISNUMBER(SEARCH("Payment to Small Business",C1168)),"Merchant Payment",IF(ISNUMBER(SEARCH("Sent to",C1168)),"Sent to Person",IF(ISNUMBER(SEARCH("Customer Transfer to",C1168)),"Sent to Person",IF(ISNUMBER(SEARCH("Business Payment",C1168)),"Money In",IF(ISNUMBER(SEARCH("Funds Received",C1168)),"Money In",IF(ISNUMBER(SEARCH("Receive International",C1168)),"Money In",IF(ISNUMBER(SEARCH("Send Money Reversal",C1168)),"Money In",IF(ISNUMBER(SEARCH("Pay Utility Reversal",C1168)),"Money In",IF(ISNUMBER(SEARCH("Customer Transfer",C1168)),"Money In",IF(ISNUMBER(SEARCH("Ziidi",C1168)),"Investment",IF(ISNUMBER(SEARCH("Nabo",C1168)),"Investment",IF(ISNUMBER(SEARCH("Paybill Online",C1168)),"Pay Bill",IF(ISNUMBER(SEARCH("Pay Bill",C1168)),"Pay Bill",IF(ISNUMBER(SEARCH("Spotify",C1168)),"Pay Bill",IF(ISNUMBER(SEARCH("M-Shwari",C1168)),"Mshwari",IF(ISNUMBER(SEARCH("Mshwari",C1168)),"Mshwari",IF(ISNUMBER(SEARCH("Withdrawal charge",C1168)),"Fees",IF(ISNUMBER(SEARCH("Customer Withdrawal",C1168)),"Fees",IF(ISNUMBER(SEARCH("charge",C1168)),"Fees","Other")))))))))))))))))))))))))</f>
        <v>Bundles</v>
      </c>
      <c r="R1168" s="1" t="str">
        <f aca="false">TEXT(B1168,"MMM YYYY")</f>
        <v>May 2026</v>
      </c>
    </row>
    <row r="1169" customFormat="false" ht="13.8" hidden="false" customHeight="false" outlineLevel="0" collapsed="false">
      <c r="A1169" s="4" t="s">
        <v>2400</v>
      </c>
      <c r="B1169" s="4" t="s">
        <v>2401</v>
      </c>
      <c r="C1169" s="4" t="s">
        <v>29</v>
      </c>
      <c r="D1169" s="4" t="s">
        <v>18</v>
      </c>
      <c r="E1169" s="4"/>
      <c r="F1169" s="4" t="n">
        <v>10</v>
      </c>
      <c r="G1169" s="4" t="n">
        <v>706.78</v>
      </c>
      <c r="L1169" s="1" t="str">
        <f aca="false">IF(ISNUMBER(SEARCH("Bundle",C1169)),"Bundles",IF(ISNUMBER(SEARCH("Airtime",C1169)),"Bundles",IF(ISNUMBER(SEARCH("Merchant",C1169)),"Merchant Payment",IF(ISNUMBER(SEARCH("Offnet C2B",C1169)),"Merchant Payment",IF(ISNUMBER(SEARCH("Offnet B2C",C1169)),"Merchant Payment",IF(ISNUMBER(SEARCH("Customer Payment to Small",C1169)),"Merchant Payment",IF(ISNUMBER(SEARCH("Payment to Small Business",C1169)),"Merchant Payment",IF(ISNUMBER(SEARCH("Sent to",C1169)),"Sent to Person",IF(ISNUMBER(SEARCH("Customer Transfer to",C1169)),"Sent to Person",IF(ISNUMBER(SEARCH("Business Payment",C1169)),"Money In",IF(ISNUMBER(SEARCH("Funds Received",C1169)),"Money In",IF(ISNUMBER(SEARCH("Receive International",C1169)),"Money In",IF(ISNUMBER(SEARCH("Send Money Reversal",C1169)),"Money In",IF(ISNUMBER(SEARCH("Pay Utility Reversal",C1169)),"Money In",IF(ISNUMBER(SEARCH("Customer Transfer",C1169)),"Money In",IF(ISNUMBER(SEARCH("Ziidi",C1169)),"Investment",IF(ISNUMBER(SEARCH("Nabo",C1169)),"Investment",IF(ISNUMBER(SEARCH("Paybill Online",C1169)),"Pay Bill",IF(ISNUMBER(SEARCH("Pay Bill",C1169)),"Pay Bill",IF(ISNUMBER(SEARCH("Spotify",C1169)),"Pay Bill",IF(ISNUMBER(SEARCH("M-Shwari",C1169)),"Mshwari",IF(ISNUMBER(SEARCH("Mshwari",C1169)),"Mshwari",IF(ISNUMBER(SEARCH("Withdrawal charge",C1169)),"Fees",IF(ISNUMBER(SEARCH("Customer Withdrawal",C1169)),"Fees",IF(ISNUMBER(SEARCH("charge",C1169)),"Fees","Other")))))))))))))))))))))))))</f>
        <v>Bundles</v>
      </c>
      <c r="R1169" s="1" t="str">
        <f aca="false">TEXT(B1169,"MMM YYYY")</f>
        <v>May 2026</v>
      </c>
    </row>
    <row r="1170" customFormat="false" ht="13.8" hidden="false" customHeight="false" outlineLevel="0" collapsed="false">
      <c r="A1170" s="4" t="s">
        <v>2402</v>
      </c>
      <c r="B1170" s="4" t="s">
        <v>2403</v>
      </c>
      <c r="C1170" s="4" t="s">
        <v>29</v>
      </c>
      <c r="D1170" s="4" t="s">
        <v>18</v>
      </c>
      <c r="E1170" s="4"/>
      <c r="F1170" s="4" t="n">
        <v>10</v>
      </c>
      <c r="G1170" s="4" t="n">
        <v>696.78</v>
      </c>
      <c r="L1170" s="1" t="str">
        <f aca="false">IF(ISNUMBER(SEARCH("Bundle",C1170)),"Bundles",IF(ISNUMBER(SEARCH("Airtime",C1170)),"Bundles",IF(ISNUMBER(SEARCH("Merchant",C1170)),"Merchant Payment",IF(ISNUMBER(SEARCH("Offnet C2B",C1170)),"Merchant Payment",IF(ISNUMBER(SEARCH("Offnet B2C",C1170)),"Merchant Payment",IF(ISNUMBER(SEARCH("Customer Payment to Small",C1170)),"Merchant Payment",IF(ISNUMBER(SEARCH("Payment to Small Business",C1170)),"Merchant Payment",IF(ISNUMBER(SEARCH("Sent to",C1170)),"Sent to Person",IF(ISNUMBER(SEARCH("Customer Transfer to",C1170)),"Sent to Person",IF(ISNUMBER(SEARCH("Business Payment",C1170)),"Money In",IF(ISNUMBER(SEARCH("Funds Received",C1170)),"Money In",IF(ISNUMBER(SEARCH("Receive International",C1170)),"Money In",IF(ISNUMBER(SEARCH("Send Money Reversal",C1170)),"Money In",IF(ISNUMBER(SEARCH("Pay Utility Reversal",C1170)),"Money In",IF(ISNUMBER(SEARCH("Customer Transfer",C1170)),"Money In",IF(ISNUMBER(SEARCH("Ziidi",C1170)),"Investment",IF(ISNUMBER(SEARCH("Nabo",C1170)),"Investment",IF(ISNUMBER(SEARCH("Paybill Online",C1170)),"Pay Bill",IF(ISNUMBER(SEARCH("Pay Bill",C1170)),"Pay Bill",IF(ISNUMBER(SEARCH("Spotify",C1170)),"Pay Bill",IF(ISNUMBER(SEARCH("M-Shwari",C1170)),"Mshwari",IF(ISNUMBER(SEARCH("Mshwari",C1170)),"Mshwari",IF(ISNUMBER(SEARCH("Withdrawal charge",C1170)),"Fees",IF(ISNUMBER(SEARCH("Customer Withdrawal",C1170)),"Fees",IF(ISNUMBER(SEARCH("charge",C1170)),"Fees","Other")))))))))))))))))))))))))</f>
        <v>Bundles</v>
      </c>
      <c r="R1170" s="1" t="str">
        <f aca="false">TEXT(B1170,"MMM YYYY")</f>
        <v>May 2026</v>
      </c>
    </row>
    <row r="1171" customFormat="false" ht="13.8" hidden="false" customHeight="false" outlineLevel="0" collapsed="false">
      <c r="A1171" s="4" t="s">
        <v>2404</v>
      </c>
      <c r="B1171" s="4" t="s">
        <v>2405</v>
      </c>
      <c r="C1171" s="4" t="s">
        <v>29</v>
      </c>
      <c r="D1171" s="4" t="s">
        <v>18</v>
      </c>
      <c r="E1171" s="4"/>
      <c r="F1171" s="4" t="n">
        <v>10</v>
      </c>
      <c r="G1171" s="4" t="n">
        <v>686.78</v>
      </c>
      <c r="L1171" s="1" t="str">
        <f aca="false">IF(ISNUMBER(SEARCH("Bundle",C1171)),"Bundles",IF(ISNUMBER(SEARCH("Airtime",C1171)),"Bundles",IF(ISNUMBER(SEARCH("Merchant",C1171)),"Merchant Payment",IF(ISNUMBER(SEARCH("Offnet C2B",C1171)),"Merchant Payment",IF(ISNUMBER(SEARCH("Offnet B2C",C1171)),"Merchant Payment",IF(ISNUMBER(SEARCH("Customer Payment to Small",C1171)),"Merchant Payment",IF(ISNUMBER(SEARCH("Payment to Small Business",C1171)),"Merchant Payment",IF(ISNUMBER(SEARCH("Sent to",C1171)),"Sent to Person",IF(ISNUMBER(SEARCH("Customer Transfer to",C1171)),"Sent to Person",IF(ISNUMBER(SEARCH("Business Payment",C1171)),"Money In",IF(ISNUMBER(SEARCH("Funds Received",C1171)),"Money In",IF(ISNUMBER(SEARCH("Receive International",C1171)),"Money In",IF(ISNUMBER(SEARCH("Send Money Reversal",C1171)),"Money In",IF(ISNUMBER(SEARCH("Pay Utility Reversal",C1171)),"Money In",IF(ISNUMBER(SEARCH("Customer Transfer",C1171)),"Money In",IF(ISNUMBER(SEARCH("Ziidi",C1171)),"Investment",IF(ISNUMBER(SEARCH("Nabo",C1171)),"Investment",IF(ISNUMBER(SEARCH("Paybill Online",C1171)),"Pay Bill",IF(ISNUMBER(SEARCH("Pay Bill",C1171)),"Pay Bill",IF(ISNUMBER(SEARCH("Spotify",C1171)),"Pay Bill",IF(ISNUMBER(SEARCH("M-Shwari",C1171)),"Mshwari",IF(ISNUMBER(SEARCH("Mshwari",C1171)),"Mshwari",IF(ISNUMBER(SEARCH("Withdrawal charge",C1171)),"Fees",IF(ISNUMBER(SEARCH("Customer Withdrawal",C1171)),"Fees",IF(ISNUMBER(SEARCH("charge",C1171)),"Fees","Other")))))))))))))))))))))))))</f>
        <v>Bundles</v>
      </c>
      <c r="R1171" s="1" t="str">
        <f aca="false">TEXT(B1171,"MMM YYYY")</f>
        <v>May 2026</v>
      </c>
    </row>
    <row r="1172" customFormat="false" ht="13.8" hidden="false" customHeight="false" outlineLevel="0" collapsed="false">
      <c r="A1172" s="4" t="s">
        <v>2406</v>
      </c>
      <c r="B1172" s="4" t="s">
        <v>2407</v>
      </c>
      <c r="C1172" s="4" t="s">
        <v>29</v>
      </c>
      <c r="D1172" s="4" t="s">
        <v>18</v>
      </c>
      <c r="E1172" s="4"/>
      <c r="F1172" s="4" t="n">
        <v>15</v>
      </c>
      <c r="G1172" s="4" t="n">
        <v>671.78</v>
      </c>
      <c r="L1172" s="1" t="str">
        <f aca="false">IF(ISNUMBER(SEARCH("Bundle",C1172)),"Bundles",IF(ISNUMBER(SEARCH("Airtime",C1172)),"Bundles",IF(ISNUMBER(SEARCH("Merchant",C1172)),"Merchant Payment",IF(ISNUMBER(SEARCH("Offnet C2B",C1172)),"Merchant Payment",IF(ISNUMBER(SEARCH("Offnet B2C",C1172)),"Merchant Payment",IF(ISNUMBER(SEARCH("Customer Payment to Small",C1172)),"Merchant Payment",IF(ISNUMBER(SEARCH("Payment to Small Business",C1172)),"Merchant Payment",IF(ISNUMBER(SEARCH("Sent to",C1172)),"Sent to Person",IF(ISNUMBER(SEARCH("Customer Transfer to",C1172)),"Sent to Person",IF(ISNUMBER(SEARCH("Business Payment",C1172)),"Money In",IF(ISNUMBER(SEARCH("Funds Received",C1172)),"Money In",IF(ISNUMBER(SEARCH("Receive International",C1172)),"Money In",IF(ISNUMBER(SEARCH("Send Money Reversal",C1172)),"Money In",IF(ISNUMBER(SEARCH("Pay Utility Reversal",C1172)),"Money In",IF(ISNUMBER(SEARCH("Customer Transfer",C1172)),"Money In",IF(ISNUMBER(SEARCH("Ziidi",C1172)),"Investment",IF(ISNUMBER(SEARCH("Nabo",C1172)),"Investment",IF(ISNUMBER(SEARCH("Paybill Online",C1172)),"Pay Bill",IF(ISNUMBER(SEARCH("Pay Bill",C1172)),"Pay Bill",IF(ISNUMBER(SEARCH("Spotify",C1172)),"Pay Bill",IF(ISNUMBER(SEARCH("M-Shwari",C1172)),"Mshwari",IF(ISNUMBER(SEARCH("Mshwari",C1172)),"Mshwari",IF(ISNUMBER(SEARCH("Withdrawal charge",C1172)),"Fees",IF(ISNUMBER(SEARCH("Customer Withdrawal",C1172)),"Fees",IF(ISNUMBER(SEARCH("charge",C1172)),"Fees","Other")))))))))))))))))))))))))</f>
        <v>Bundles</v>
      </c>
      <c r="R1172" s="1" t="str">
        <f aca="false">TEXT(B1172,"MMM YYYY")</f>
        <v>May 2026</v>
      </c>
    </row>
    <row r="1173" customFormat="false" ht="13.8" hidden="false" customHeight="false" outlineLevel="0" collapsed="false">
      <c r="A1173" s="4" t="s">
        <v>2408</v>
      </c>
      <c r="B1173" s="4" t="s">
        <v>2409</v>
      </c>
      <c r="C1173" s="4" t="s">
        <v>29</v>
      </c>
      <c r="D1173" s="4" t="s">
        <v>18</v>
      </c>
      <c r="E1173" s="4"/>
      <c r="F1173" s="4" t="n">
        <v>15</v>
      </c>
      <c r="G1173" s="4" t="n">
        <v>656.78</v>
      </c>
      <c r="L1173" s="1" t="str">
        <f aca="false">IF(ISNUMBER(SEARCH("Bundle",C1173)),"Bundles",IF(ISNUMBER(SEARCH("Airtime",C1173)),"Bundles",IF(ISNUMBER(SEARCH("Merchant",C1173)),"Merchant Payment",IF(ISNUMBER(SEARCH("Offnet C2B",C1173)),"Merchant Payment",IF(ISNUMBER(SEARCH("Offnet B2C",C1173)),"Merchant Payment",IF(ISNUMBER(SEARCH("Customer Payment to Small",C1173)),"Merchant Payment",IF(ISNUMBER(SEARCH("Payment to Small Business",C1173)),"Merchant Payment",IF(ISNUMBER(SEARCH("Sent to",C1173)),"Sent to Person",IF(ISNUMBER(SEARCH("Customer Transfer to",C1173)),"Sent to Person",IF(ISNUMBER(SEARCH("Business Payment",C1173)),"Money In",IF(ISNUMBER(SEARCH("Funds Received",C1173)),"Money In",IF(ISNUMBER(SEARCH("Receive International",C1173)),"Money In",IF(ISNUMBER(SEARCH("Send Money Reversal",C1173)),"Money In",IF(ISNUMBER(SEARCH("Pay Utility Reversal",C1173)),"Money In",IF(ISNUMBER(SEARCH("Customer Transfer",C1173)),"Money In",IF(ISNUMBER(SEARCH("Ziidi",C1173)),"Investment",IF(ISNUMBER(SEARCH("Nabo",C1173)),"Investment",IF(ISNUMBER(SEARCH("Paybill Online",C1173)),"Pay Bill",IF(ISNUMBER(SEARCH("Pay Bill",C1173)),"Pay Bill",IF(ISNUMBER(SEARCH("Spotify",C1173)),"Pay Bill",IF(ISNUMBER(SEARCH("M-Shwari",C1173)),"Mshwari",IF(ISNUMBER(SEARCH("Mshwari",C1173)),"Mshwari",IF(ISNUMBER(SEARCH("Withdrawal charge",C1173)),"Fees",IF(ISNUMBER(SEARCH("Customer Withdrawal",C1173)),"Fees",IF(ISNUMBER(SEARCH("charge",C1173)),"Fees","Other")))))))))))))))))))))))))</f>
        <v>Bundles</v>
      </c>
      <c r="R1173" s="1" t="str">
        <f aca="false">TEXT(B1173,"MMM YYYY")</f>
        <v>May 2026</v>
      </c>
    </row>
    <row r="1174" customFormat="false" ht="13.8" hidden="false" customHeight="false" outlineLevel="0" collapsed="false">
      <c r="A1174" s="4" t="s">
        <v>2410</v>
      </c>
      <c r="B1174" s="4" t="s">
        <v>2411</v>
      </c>
      <c r="C1174" s="4" t="s">
        <v>29</v>
      </c>
      <c r="D1174" s="4" t="s">
        <v>18</v>
      </c>
      <c r="E1174" s="4"/>
      <c r="F1174" s="4" t="n">
        <v>20</v>
      </c>
      <c r="G1174" s="4" t="n">
        <v>636.78</v>
      </c>
      <c r="L1174" s="1" t="str">
        <f aca="false">IF(ISNUMBER(SEARCH("Bundle",C1174)),"Bundles",IF(ISNUMBER(SEARCH("Airtime",C1174)),"Bundles",IF(ISNUMBER(SEARCH("Merchant",C1174)),"Merchant Payment",IF(ISNUMBER(SEARCH("Offnet C2B",C1174)),"Merchant Payment",IF(ISNUMBER(SEARCH("Offnet B2C",C1174)),"Merchant Payment",IF(ISNUMBER(SEARCH("Customer Payment to Small",C1174)),"Merchant Payment",IF(ISNUMBER(SEARCH("Payment to Small Business",C1174)),"Merchant Payment",IF(ISNUMBER(SEARCH("Sent to",C1174)),"Sent to Person",IF(ISNUMBER(SEARCH("Customer Transfer to",C1174)),"Sent to Person",IF(ISNUMBER(SEARCH("Business Payment",C1174)),"Money In",IF(ISNUMBER(SEARCH("Funds Received",C1174)),"Money In",IF(ISNUMBER(SEARCH("Receive International",C1174)),"Money In",IF(ISNUMBER(SEARCH("Send Money Reversal",C1174)),"Money In",IF(ISNUMBER(SEARCH("Pay Utility Reversal",C1174)),"Money In",IF(ISNUMBER(SEARCH("Customer Transfer",C1174)),"Money In",IF(ISNUMBER(SEARCH("Ziidi",C1174)),"Investment",IF(ISNUMBER(SEARCH("Nabo",C1174)),"Investment",IF(ISNUMBER(SEARCH("Paybill Online",C1174)),"Pay Bill",IF(ISNUMBER(SEARCH("Pay Bill",C1174)),"Pay Bill",IF(ISNUMBER(SEARCH("Spotify",C1174)),"Pay Bill",IF(ISNUMBER(SEARCH("M-Shwari",C1174)),"Mshwari",IF(ISNUMBER(SEARCH("Mshwari",C1174)),"Mshwari",IF(ISNUMBER(SEARCH("Withdrawal charge",C1174)),"Fees",IF(ISNUMBER(SEARCH("Customer Withdrawal",C1174)),"Fees",IF(ISNUMBER(SEARCH("charge",C1174)),"Fees","Other")))))))))))))))))))))))))</f>
        <v>Bundles</v>
      </c>
      <c r="R1174" s="1" t="str">
        <f aca="false">TEXT(B1174,"MMM YYYY")</f>
        <v>May 2026</v>
      </c>
    </row>
    <row r="1175" customFormat="false" ht="13.8" hidden="false" customHeight="false" outlineLevel="0" collapsed="false">
      <c r="A1175" s="4" t="s">
        <v>2412</v>
      </c>
      <c r="B1175" s="4" t="s">
        <v>2413</v>
      </c>
      <c r="C1175" s="4" t="s">
        <v>29</v>
      </c>
      <c r="D1175" s="4" t="s">
        <v>18</v>
      </c>
      <c r="E1175" s="4"/>
      <c r="F1175" s="4" t="n">
        <v>10</v>
      </c>
      <c r="G1175" s="4" t="n">
        <v>626.78</v>
      </c>
      <c r="L1175" s="1" t="str">
        <f aca="false">IF(ISNUMBER(SEARCH("Bundle",C1175)),"Bundles",IF(ISNUMBER(SEARCH("Airtime",C1175)),"Bundles",IF(ISNUMBER(SEARCH("Merchant",C1175)),"Merchant Payment",IF(ISNUMBER(SEARCH("Offnet C2B",C1175)),"Merchant Payment",IF(ISNUMBER(SEARCH("Offnet B2C",C1175)),"Merchant Payment",IF(ISNUMBER(SEARCH("Customer Payment to Small",C1175)),"Merchant Payment",IF(ISNUMBER(SEARCH("Payment to Small Business",C1175)),"Merchant Payment",IF(ISNUMBER(SEARCH("Sent to",C1175)),"Sent to Person",IF(ISNUMBER(SEARCH("Customer Transfer to",C1175)),"Sent to Person",IF(ISNUMBER(SEARCH("Business Payment",C1175)),"Money In",IF(ISNUMBER(SEARCH("Funds Received",C1175)),"Money In",IF(ISNUMBER(SEARCH("Receive International",C1175)),"Money In",IF(ISNUMBER(SEARCH("Send Money Reversal",C1175)),"Money In",IF(ISNUMBER(SEARCH("Pay Utility Reversal",C1175)),"Money In",IF(ISNUMBER(SEARCH("Customer Transfer",C1175)),"Money In",IF(ISNUMBER(SEARCH("Ziidi",C1175)),"Investment",IF(ISNUMBER(SEARCH("Nabo",C1175)),"Investment",IF(ISNUMBER(SEARCH("Paybill Online",C1175)),"Pay Bill",IF(ISNUMBER(SEARCH("Pay Bill",C1175)),"Pay Bill",IF(ISNUMBER(SEARCH("Spotify",C1175)),"Pay Bill",IF(ISNUMBER(SEARCH("M-Shwari",C1175)),"Mshwari",IF(ISNUMBER(SEARCH("Mshwari",C1175)),"Mshwari",IF(ISNUMBER(SEARCH("Withdrawal charge",C1175)),"Fees",IF(ISNUMBER(SEARCH("Customer Withdrawal",C1175)),"Fees",IF(ISNUMBER(SEARCH("charge",C1175)),"Fees","Other")))))))))))))))))))))))))</f>
        <v>Bundles</v>
      </c>
      <c r="R1175" s="1" t="str">
        <f aca="false">TEXT(B1175,"MMM YYYY")</f>
        <v>May 2026</v>
      </c>
    </row>
    <row r="1176" customFormat="false" ht="13.8" hidden="false" customHeight="false" outlineLevel="0" collapsed="false">
      <c r="A1176" s="4" t="s">
        <v>2414</v>
      </c>
      <c r="B1176" s="4" t="s">
        <v>2415</v>
      </c>
      <c r="C1176" s="4" t="s">
        <v>29</v>
      </c>
      <c r="D1176" s="4" t="s">
        <v>18</v>
      </c>
      <c r="E1176" s="4"/>
      <c r="F1176" s="4" t="n">
        <v>10</v>
      </c>
      <c r="G1176" s="4" t="n">
        <v>616.78</v>
      </c>
      <c r="L1176" s="1" t="str">
        <f aca="false">IF(ISNUMBER(SEARCH("Bundle",C1176)),"Bundles",IF(ISNUMBER(SEARCH("Airtime",C1176)),"Bundles",IF(ISNUMBER(SEARCH("Merchant",C1176)),"Merchant Payment",IF(ISNUMBER(SEARCH("Offnet C2B",C1176)),"Merchant Payment",IF(ISNUMBER(SEARCH("Offnet B2C",C1176)),"Merchant Payment",IF(ISNUMBER(SEARCH("Customer Payment to Small",C1176)),"Merchant Payment",IF(ISNUMBER(SEARCH("Payment to Small Business",C1176)),"Merchant Payment",IF(ISNUMBER(SEARCH("Sent to",C1176)),"Sent to Person",IF(ISNUMBER(SEARCH("Customer Transfer to",C1176)),"Sent to Person",IF(ISNUMBER(SEARCH("Business Payment",C1176)),"Money In",IF(ISNUMBER(SEARCH("Funds Received",C1176)),"Money In",IF(ISNUMBER(SEARCH("Receive International",C1176)),"Money In",IF(ISNUMBER(SEARCH("Send Money Reversal",C1176)),"Money In",IF(ISNUMBER(SEARCH("Pay Utility Reversal",C1176)),"Money In",IF(ISNUMBER(SEARCH("Customer Transfer",C1176)),"Money In",IF(ISNUMBER(SEARCH("Ziidi",C1176)),"Investment",IF(ISNUMBER(SEARCH("Nabo",C1176)),"Investment",IF(ISNUMBER(SEARCH("Paybill Online",C1176)),"Pay Bill",IF(ISNUMBER(SEARCH("Pay Bill",C1176)),"Pay Bill",IF(ISNUMBER(SEARCH("Spotify",C1176)),"Pay Bill",IF(ISNUMBER(SEARCH("M-Shwari",C1176)),"Mshwari",IF(ISNUMBER(SEARCH("Mshwari",C1176)),"Mshwari",IF(ISNUMBER(SEARCH("Withdrawal charge",C1176)),"Fees",IF(ISNUMBER(SEARCH("Customer Withdrawal",C1176)),"Fees",IF(ISNUMBER(SEARCH("charge",C1176)),"Fees","Other")))))))))))))))))))))))))</f>
        <v>Bundles</v>
      </c>
      <c r="R1176" s="1" t="str">
        <f aca="false">TEXT(B1176,"MMM YYYY")</f>
        <v>May 2026</v>
      </c>
    </row>
    <row r="1177" customFormat="false" ht="13.8" hidden="false" customHeight="false" outlineLevel="0" collapsed="false">
      <c r="A1177" s="4" t="s">
        <v>2416</v>
      </c>
      <c r="B1177" s="4" t="s">
        <v>2417</v>
      </c>
      <c r="C1177" s="4" t="s">
        <v>29</v>
      </c>
      <c r="D1177" s="4" t="s">
        <v>18</v>
      </c>
      <c r="E1177" s="4"/>
      <c r="F1177" s="4" t="n">
        <v>10</v>
      </c>
      <c r="G1177" s="4" t="n">
        <v>606.78</v>
      </c>
      <c r="L1177" s="1" t="str">
        <f aca="false">IF(ISNUMBER(SEARCH("Bundle",C1177)),"Bundles",IF(ISNUMBER(SEARCH("Airtime",C1177)),"Bundles",IF(ISNUMBER(SEARCH("Merchant",C1177)),"Merchant Payment",IF(ISNUMBER(SEARCH("Offnet C2B",C1177)),"Merchant Payment",IF(ISNUMBER(SEARCH("Offnet B2C",C1177)),"Merchant Payment",IF(ISNUMBER(SEARCH("Customer Payment to Small",C1177)),"Merchant Payment",IF(ISNUMBER(SEARCH("Payment to Small Business",C1177)),"Merchant Payment",IF(ISNUMBER(SEARCH("Sent to",C1177)),"Sent to Person",IF(ISNUMBER(SEARCH("Customer Transfer to",C1177)),"Sent to Person",IF(ISNUMBER(SEARCH("Business Payment",C1177)),"Money In",IF(ISNUMBER(SEARCH("Funds Received",C1177)),"Money In",IF(ISNUMBER(SEARCH("Receive International",C1177)),"Money In",IF(ISNUMBER(SEARCH("Send Money Reversal",C1177)),"Money In",IF(ISNUMBER(SEARCH("Pay Utility Reversal",C1177)),"Money In",IF(ISNUMBER(SEARCH("Customer Transfer",C1177)),"Money In",IF(ISNUMBER(SEARCH("Ziidi",C1177)),"Investment",IF(ISNUMBER(SEARCH("Nabo",C1177)),"Investment",IF(ISNUMBER(SEARCH("Paybill Online",C1177)),"Pay Bill",IF(ISNUMBER(SEARCH("Pay Bill",C1177)),"Pay Bill",IF(ISNUMBER(SEARCH("Spotify",C1177)),"Pay Bill",IF(ISNUMBER(SEARCH("M-Shwari",C1177)),"Mshwari",IF(ISNUMBER(SEARCH("Mshwari",C1177)),"Mshwari",IF(ISNUMBER(SEARCH("Withdrawal charge",C1177)),"Fees",IF(ISNUMBER(SEARCH("Customer Withdrawal",C1177)),"Fees",IF(ISNUMBER(SEARCH("charge",C1177)),"Fees","Other")))))))))))))))))))))))))</f>
        <v>Bundles</v>
      </c>
      <c r="R1177" s="1" t="str">
        <f aca="false">TEXT(B1177,"MMM YYYY")</f>
        <v>May 2026</v>
      </c>
    </row>
    <row r="1178" customFormat="false" ht="13.8" hidden="false" customHeight="false" outlineLevel="0" collapsed="false">
      <c r="A1178" s="4" t="s">
        <v>2418</v>
      </c>
      <c r="B1178" s="4" t="s">
        <v>2419</v>
      </c>
      <c r="C1178" s="4" t="s">
        <v>29</v>
      </c>
      <c r="D1178" s="4" t="s">
        <v>18</v>
      </c>
      <c r="E1178" s="4"/>
      <c r="F1178" s="4" t="n">
        <v>10</v>
      </c>
      <c r="G1178" s="4" t="n">
        <v>596.78</v>
      </c>
      <c r="L1178" s="1" t="str">
        <f aca="false">IF(ISNUMBER(SEARCH("Bundle",C1178)),"Bundles",IF(ISNUMBER(SEARCH("Airtime",C1178)),"Bundles",IF(ISNUMBER(SEARCH("Merchant",C1178)),"Merchant Payment",IF(ISNUMBER(SEARCH("Offnet C2B",C1178)),"Merchant Payment",IF(ISNUMBER(SEARCH("Offnet B2C",C1178)),"Merchant Payment",IF(ISNUMBER(SEARCH("Customer Payment to Small",C1178)),"Merchant Payment",IF(ISNUMBER(SEARCH("Payment to Small Business",C1178)),"Merchant Payment",IF(ISNUMBER(SEARCH("Sent to",C1178)),"Sent to Person",IF(ISNUMBER(SEARCH("Customer Transfer to",C1178)),"Sent to Person",IF(ISNUMBER(SEARCH("Business Payment",C1178)),"Money In",IF(ISNUMBER(SEARCH("Funds Received",C1178)),"Money In",IF(ISNUMBER(SEARCH("Receive International",C1178)),"Money In",IF(ISNUMBER(SEARCH("Send Money Reversal",C1178)),"Money In",IF(ISNUMBER(SEARCH("Pay Utility Reversal",C1178)),"Money In",IF(ISNUMBER(SEARCH("Customer Transfer",C1178)),"Money In",IF(ISNUMBER(SEARCH("Ziidi",C1178)),"Investment",IF(ISNUMBER(SEARCH("Nabo",C1178)),"Investment",IF(ISNUMBER(SEARCH("Paybill Online",C1178)),"Pay Bill",IF(ISNUMBER(SEARCH("Pay Bill",C1178)),"Pay Bill",IF(ISNUMBER(SEARCH("Spotify",C1178)),"Pay Bill",IF(ISNUMBER(SEARCH("M-Shwari",C1178)),"Mshwari",IF(ISNUMBER(SEARCH("Mshwari",C1178)),"Mshwari",IF(ISNUMBER(SEARCH("Withdrawal charge",C1178)),"Fees",IF(ISNUMBER(SEARCH("Customer Withdrawal",C1178)),"Fees",IF(ISNUMBER(SEARCH("charge",C1178)),"Fees","Other")))))))))))))))))))))))))</f>
        <v>Bundles</v>
      </c>
      <c r="R1178" s="1" t="str">
        <f aca="false">TEXT(B1178,"MMM YYYY")</f>
        <v>May 2026</v>
      </c>
    </row>
    <row r="1179" customFormat="false" ht="13.8" hidden="false" customHeight="false" outlineLevel="0" collapsed="false">
      <c r="A1179" s="4" t="s">
        <v>2420</v>
      </c>
      <c r="B1179" s="4" t="s">
        <v>2421</v>
      </c>
      <c r="C1179" s="4" t="s">
        <v>29</v>
      </c>
      <c r="D1179" s="4" t="s">
        <v>18</v>
      </c>
      <c r="E1179" s="4"/>
      <c r="F1179" s="4" t="n">
        <v>15</v>
      </c>
      <c r="G1179" s="4" t="n">
        <v>581.78</v>
      </c>
      <c r="L1179" s="1" t="str">
        <f aca="false">IF(ISNUMBER(SEARCH("Bundle",C1179)),"Bundles",IF(ISNUMBER(SEARCH("Airtime",C1179)),"Bundles",IF(ISNUMBER(SEARCH("Merchant",C1179)),"Merchant Payment",IF(ISNUMBER(SEARCH("Offnet C2B",C1179)),"Merchant Payment",IF(ISNUMBER(SEARCH("Offnet B2C",C1179)),"Merchant Payment",IF(ISNUMBER(SEARCH("Customer Payment to Small",C1179)),"Merchant Payment",IF(ISNUMBER(SEARCH("Payment to Small Business",C1179)),"Merchant Payment",IF(ISNUMBER(SEARCH("Sent to",C1179)),"Sent to Person",IF(ISNUMBER(SEARCH("Customer Transfer to",C1179)),"Sent to Person",IF(ISNUMBER(SEARCH("Business Payment",C1179)),"Money In",IF(ISNUMBER(SEARCH("Funds Received",C1179)),"Money In",IF(ISNUMBER(SEARCH("Receive International",C1179)),"Money In",IF(ISNUMBER(SEARCH("Send Money Reversal",C1179)),"Money In",IF(ISNUMBER(SEARCH("Pay Utility Reversal",C1179)),"Money In",IF(ISNUMBER(SEARCH("Customer Transfer",C1179)),"Money In",IF(ISNUMBER(SEARCH("Ziidi",C1179)),"Investment",IF(ISNUMBER(SEARCH("Nabo",C1179)),"Investment",IF(ISNUMBER(SEARCH("Paybill Online",C1179)),"Pay Bill",IF(ISNUMBER(SEARCH("Pay Bill",C1179)),"Pay Bill",IF(ISNUMBER(SEARCH("Spotify",C1179)),"Pay Bill",IF(ISNUMBER(SEARCH("M-Shwari",C1179)),"Mshwari",IF(ISNUMBER(SEARCH("Mshwari",C1179)),"Mshwari",IF(ISNUMBER(SEARCH("Withdrawal charge",C1179)),"Fees",IF(ISNUMBER(SEARCH("Customer Withdrawal",C1179)),"Fees",IF(ISNUMBER(SEARCH("charge",C1179)),"Fees","Other")))))))))))))))))))))))))</f>
        <v>Bundles</v>
      </c>
      <c r="R1179" s="1" t="str">
        <f aca="false">TEXT(B1179,"MMM YYYY")</f>
        <v>May 2026</v>
      </c>
    </row>
    <row r="1180" customFormat="false" ht="13.8" hidden="false" customHeight="false" outlineLevel="0" collapsed="false">
      <c r="A1180" s="4" t="s">
        <v>2422</v>
      </c>
      <c r="B1180" s="4" t="s">
        <v>2423</v>
      </c>
      <c r="C1180" s="4" t="s">
        <v>29</v>
      </c>
      <c r="D1180" s="4" t="s">
        <v>18</v>
      </c>
      <c r="E1180" s="4"/>
      <c r="F1180" s="4" t="n">
        <v>10</v>
      </c>
      <c r="G1180" s="4" t="n">
        <v>571.78</v>
      </c>
      <c r="L1180" s="1" t="str">
        <f aca="false">IF(ISNUMBER(SEARCH("Bundle",C1180)),"Bundles",IF(ISNUMBER(SEARCH("Airtime",C1180)),"Bundles",IF(ISNUMBER(SEARCH("Merchant",C1180)),"Merchant Payment",IF(ISNUMBER(SEARCH("Offnet C2B",C1180)),"Merchant Payment",IF(ISNUMBER(SEARCH("Offnet B2C",C1180)),"Merchant Payment",IF(ISNUMBER(SEARCH("Customer Payment to Small",C1180)),"Merchant Payment",IF(ISNUMBER(SEARCH("Payment to Small Business",C1180)),"Merchant Payment",IF(ISNUMBER(SEARCH("Sent to",C1180)),"Sent to Person",IF(ISNUMBER(SEARCH("Customer Transfer to",C1180)),"Sent to Person",IF(ISNUMBER(SEARCH("Business Payment",C1180)),"Money In",IF(ISNUMBER(SEARCH("Funds Received",C1180)),"Money In",IF(ISNUMBER(SEARCH("Receive International",C1180)),"Money In",IF(ISNUMBER(SEARCH("Send Money Reversal",C1180)),"Money In",IF(ISNUMBER(SEARCH("Pay Utility Reversal",C1180)),"Money In",IF(ISNUMBER(SEARCH("Customer Transfer",C1180)),"Money In",IF(ISNUMBER(SEARCH("Ziidi",C1180)),"Investment",IF(ISNUMBER(SEARCH("Nabo",C1180)),"Investment",IF(ISNUMBER(SEARCH("Paybill Online",C1180)),"Pay Bill",IF(ISNUMBER(SEARCH("Pay Bill",C1180)),"Pay Bill",IF(ISNUMBER(SEARCH("Spotify",C1180)),"Pay Bill",IF(ISNUMBER(SEARCH("M-Shwari",C1180)),"Mshwari",IF(ISNUMBER(SEARCH("Mshwari",C1180)),"Mshwari",IF(ISNUMBER(SEARCH("Withdrawal charge",C1180)),"Fees",IF(ISNUMBER(SEARCH("Customer Withdrawal",C1180)),"Fees",IF(ISNUMBER(SEARCH("charge",C1180)),"Fees","Other")))))))))))))))))))))))))</f>
        <v>Bundles</v>
      </c>
      <c r="R1180" s="1" t="str">
        <f aca="false">TEXT(B1180,"MMM YYYY")</f>
        <v>May 2026</v>
      </c>
    </row>
    <row r="1181" customFormat="false" ht="13.8" hidden="false" customHeight="false" outlineLevel="0" collapsed="false">
      <c r="A1181" s="4" t="s">
        <v>2424</v>
      </c>
      <c r="B1181" s="4" t="s">
        <v>2425</v>
      </c>
      <c r="C1181" s="4" t="s">
        <v>29</v>
      </c>
      <c r="D1181" s="4" t="s">
        <v>18</v>
      </c>
      <c r="E1181" s="4"/>
      <c r="F1181" s="4" t="n">
        <v>10</v>
      </c>
      <c r="G1181" s="4" t="n">
        <v>561.78</v>
      </c>
      <c r="L1181" s="1" t="str">
        <f aca="false">IF(ISNUMBER(SEARCH("Bundle",C1181)),"Bundles",IF(ISNUMBER(SEARCH("Airtime",C1181)),"Bundles",IF(ISNUMBER(SEARCH("Merchant",C1181)),"Merchant Payment",IF(ISNUMBER(SEARCH("Offnet C2B",C1181)),"Merchant Payment",IF(ISNUMBER(SEARCH("Offnet B2C",C1181)),"Merchant Payment",IF(ISNUMBER(SEARCH("Customer Payment to Small",C1181)),"Merchant Payment",IF(ISNUMBER(SEARCH("Payment to Small Business",C1181)),"Merchant Payment",IF(ISNUMBER(SEARCH("Sent to",C1181)),"Sent to Person",IF(ISNUMBER(SEARCH("Customer Transfer to",C1181)),"Sent to Person",IF(ISNUMBER(SEARCH("Business Payment",C1181)),"Money In",IF(ISNUMBER(SEARCH("Funds Received",C1181)),"Money In",IF(ISNUMBER(SEARCH("Receive International",C1181)),"Money In",IF(ISNUMBER(SEARCH("Send Money Reversal",C1181)),"Money In",IF(ISNUMBER(SEARCH("Pay Utility Reversal",C1181)),"Money In",IF(ISNUMBER(SEARCH("Customer Transfer",C1181)),"Money In",IF(ISNUMBER(SEARCH("Ziidi",C1181)),"Investment",IF(ISNUMBER(SEARCH("Nabo",C1181)),"Investment",IF(ISNUMBER(SEARCH("Paybill Online",C1181)),"Pay Bill",IF(ISNUMBER(SEARCH("Pay Bill",C1181)),"Pay Bill",IF(ISNUMBER(SEARCH("Spotify",C1181)),"Pay Bill",IF(ISNUMBER(SEARCH("M-Shwari",C1181)),"Mshwari",IF(ISNUMBER(SEARCH("Mshwari",C1181)),"Mshwari",IF(ISNUMBER(SEARCH("Withdrawal charge",C1181)),"Fees",IF(ISNUMBER(SEARCH("Customer Withdrawal",C1181)),"Fees",IF(ISNUMBER(SEARCH("charge",C1181)),"Fees","Other")))))))))))))))))))))))))</f>
        <v>Bundles</v>
      </c>
      <c r="R1181" s="1" t="str">
        <f aca="false">TEXT(B1181,"MMM YYYY")</f>
        <v>May 2026</v>
      </c>
    </row>
    <row r="1182" customFormat="false" ht="13.8" hidden="false" customHeight="false" outlineLevel="0" collapsed="false">
      <c r="A1182" s="4" t="s">
        <v>2426</v>
      </c>
      <c r="B1182" s="4" t="s">
        <v>2427</v>
      </c>
      <c r="C1182" s="4" t="s">
        <v>29</v>
      </c>
      <c r="D1182" s="4" t="s">
        <v>18</v>
      </c>
      <c r="E1182" s="4"/>
      <c r="F1182" s="4" t="n">
        <v>21</v>
      </c>
      <c r="G1182" s="4" t="n">
        <v>540.78</v>
      </c>
      <c r="L1182" s="1" t="str">
        <f aca="false">IF(ISNUMBER(SEARCH("Bundle",C1182)),"Bundles",IF(ISNUMBER(SEARCH("Airtime",C1182)),"Bundles",IF(ISNUMBER(SEARCH("Merchant",C1182)),"Merchant Payment",IF(ISNUMBER(SEARCH("Offnet C2B",C1182)),"Merchant Payment",IF(ISNUMBER(SEARCH("Offnet B2C",C1182)),"Merchant Payment",IF(ISNUMBER(SEARCH("Customer Payment to Small",C1182)),"Merchant Payment",IF(ISNUMBER(SEARCH("Payment to Small Business",C1182)),"Merchant Payment",IF(ISNUMBER(SEARCH("Sent to",C1182)),"Sent to Person",IF(ISNUMBER(SEARCH("Customer Transfer to",C1182)),"Sent to Person",IF(ISNUMBER(SEARCH("Business Payment",C1182)),"Money In",IF(ISNUMBER(SEARCH("Funds Received",C1182)),"Money In",IF(ISNUMBER(SEARCH("Receive International",C1182)),"Money In",IF(ISNUMBER(SEARCH("Send Money Reversal",C1182)),"Money In",IF(ISNUMBER(SEARCH("Pay Utility Reversal",C1182)),"Money In",IF(ISNUMBER(SEARCH("Customer Transfer",C1182)),"Money In",IF(ISNUMBER(SEARCH("Ziidi",C1182)),"Investment",IF(ISNUMBER(SEARCH("Nabo",C1182)),"Investment",IF(ISNUMBER(SEARCH("Paybill Online",C1182)),"Pay Bill",IF(ISNUMBER(SEARCH("Pay Bill",C1182)),"Pay Bill",IF(ISNUMBER(SEARCH("Spotify",C1182)),"Pay Bill",IF(ISNUMBER(SEARCH("M-Shwari",C1182)),"Mshwari",IF(ISNUMBER(SEARCH("Mshwari",C1182)),"Mshwari",IF(ISNUMBER(SEARCH("Withdrawal charge",C1182)),"Fees",IF(ISNUMBER(SEARCH("Customer Withdrawal",C1182)),"Fees",IF(ISNUMBER(SEARCH("charge",C1182)),"Fees","Other")))))))))))))))))))))))))</f>
        <v>Bundles</v>
      </c>
      <c r="R1182" s="1" t="str">
        <f aca="false">TEXT(B1182,"MMM YYYY")</f>
        <v>May 2026</v>
      </c>
    </row>
    <row r="1183" customFormat="false" ht="13.8" hidden="false" customHeight="false" outlineLevel="0" collapsed="false">
      <c r="A1183" s="4" t="s">
        <v>2428</v>
      </c>
      <c r="B1183" s="4" t="s">
        <v>2429</v>
      </c>
      <c r="C1183" s="4" t="s">
        <v>29</v>
      </c>
      <c r="D1183" s="4" t="s">
        <v>18</v>
      </c>
      <c r="E1183" s="4"/>
      <c r="F1183" s="4" t="n">
        <v>10</v>
      </c>
      <c r="G1183" s="4" t="n">
        <v>530.78</v>
      </c>
      <c r="L1183" s="1" t="str">
        <f aca="false">IF(ISNUMBER(SEARCH("Bundle",C1183)),"Bundles",IF(ISNUMBER(SEARCH("Airtime",C1183)),"Bundles",IF(ISNUMBER(SEARCH("Merchant",C1183)),"Merchant Payment",IF(ISNUMBER(SEARCH("Offnet C2B",C1183)),"Merchant Payment",IF(ISNUMBER(SEARCH("Offnet B2C",C1183)),"Merchant Payment",IF(ISNUMBER(SEARCH("Customer Payment to Small",C1183)),"Merchant Payment",IF(ISNUMBER(SEARCH("Payment to Small Business",C1183)),"Merchant Payment",IF(ISNUMBER(SEARCH("Sent to",C1183)),"Sent to Person",IF(ISNUMBER(SEARCH("Customer Transfer to",C1183)),"Sent to Person",IF(ISNUMBER(SEARCH("Business Payment",C1183)),"Money In",IF(ISNUMBER(SEARCH("Funds Received",C1183)),"Money In",IF(ISNUMBER(SEARCH("Receive International",C1183)),"Money In",IF(ISNUMBER(SEARCH("Send Money Reversal",C1183)),"Money In",IF(ISNUMBER(SEARCH("Pay Utility Reversal",C1183)),"Money In",IF(ISNUMBER(SEARCH("Customer Transfer",C1183)),"Money In",IF(ISNUMBER(SEARCH("Ziidi",C1183)),"Investment",IF(ISNUMBER(SEARCH("Nabo",C1183)),"Investment",IF(ISNUMBER(SEARCH("Paybill Online",C1183)),"Pay Bill",IF(ISNUMBER(SEARCH("Pay Bill",C1183)),"Pay Bill",IF(ISNUMBER(SEARCH("Spotify",C1183)),"Pay Bill",IF(ISNUMBER(SEARCH("M-Shwari",C1183)),"Mshwari",IF(ISNUMBER(SEARCH("Mshwari",C1183)),"Mshwari",IF(ISNUMBER(SEARCH("Withdrawal charge",C1183)),"Fees",IF(ISNUMBER(SEARCH("Customer Withdrawal",C1183)),"Fees",IF(ISNUMBER(SEARCH("charge",C1183)),"Fees","Other")))))))))))))))))))))))))</f>
        <v>Bundles</v>
      </c>
      <c r="R1183" s="1" t="str">
        <f aca="false">TEXT(B1183,"MMM YYYY")</f>
        <v>May 2026</v>
      </c>
    </row>
    <row r="1184" customFormat="false" ht="13.8" hidden="false" customHeight="false" outlineLevel="0" collapsed="false">
      <c r="A1184" s="4" t="s">
        <v>2430</v>
      </c>
      <c r="B1184" s="4" t="s">
        <v>2431</v>
      </c>
      <c r="C1184" s="4" t="s">
        <v>29</v>
      </c>
      <c r="D1184" s="4" t="s">
        <v>18</v>
      </c>
      <c r="E1184" s="4"/>
      <c r="F1184" s="4" t="n">
        <v>10</v>
      </c>
      <c r="G1184" s="4" t="n">
        <v>520.78</v>
      </c>
      <c r="L1184" s="1" t="str">
        <f aca="false">IF(ISNUMBER(SEARCH("Bundle",C1184)),"Bundles",IF(ISNUMBER(SEARCH("Airtime",C1184)),"Bundles",IF(ISNUMBER(SEARCH("Merchant",C1184)),"Merchant Payment",IF(ISNUMBER(SEARCH("Offnet C2B",C1184)),"Merchant Payment",IF(ISNUMBER(SEARCH("Offnet B2C",C1184)),"Merchant Payment",IF(ISNUMBER(SEARCH("Customer Payment to Small",C1184)),"Merchant Payment",IF(ISNUMBER(SEARCH("Payment to Small Business",C1184)),"Merchant Payment",IF(ISNUMBER(SEARCH("Sent to",C1184)),"Sent to Person",IF(ISNUMBER(SEARCH("Customer Transfer to",C1184)),"Sent to Person",IF(ISNUMBER(SEARCH("Business Payment",C1184)),"Money In",IF(ISNUMBER(SEARCH("Funds Received",C1184)),"Money In",IF(ISNUMBER(SEARCH("Receive International",C1184)),"Money In",IF(ISNUMBER(SEARCH("Send Money Reversal",C1184)),"Money In",IF(ISNUMBER(SEARCH("Pay Utility Reversal",C1184)),"Money In",IF(ISNUMBER(SEARCH("Customer Transfer",C1184)),"Money In",IF(ISNUMBER(SEARCH("Ziidi",C1184)),"Investment",IF(ISNUMBER(SEARCH("Nabo",C1184)),"Investment",IF(ISNUMBER(SEARCH("Paybill Online",C1184)),"Pay Bill",IF(ISNUMBER(SEARCH("Pay Bill",C1184)),"Pay Bill",IF(ISNUMBER(SEARCH("Spotify",C1184)),"Pay Bill",IF(ISNUMBER(SEARCH("M-Shwari",C1184)),"Mshwari",IF(ISNUMBER(SEARCH("Mshwari",C1184)),"Mshwari",IF(ISNUMBER(SEARCH("Withdrawal charge",C1184)),"Fees",IF(ISNUMBER(SEARCH("Customer Withdrawal",C1184)),"Fees",IF(ISNUMBER(SEARCH("charge",C1184)),"Fees","Other")))))))))))))))))))))))))</f>
        <v>Bundles</v>
      </c>
      <c r="R1184" s="1" t="str">
        <f aca="false">TEXT(B1184,"MMM YYYY")</f>
        <v>May 2026</v>
      </c>
    </row>
    <row r="1185" customFormat="false" ht="13.8" hidden="false" customHeight="false" outlineLevel="0" collapsed="false">
      <c r="A1185" s="4" t="s">
        <v>2432</v>
      </c>
      <c r="B1185" s="4" t="s">
        <v>2433</v>
      </c>
      <c r="C1185" s="4" t="s">
        <v>29</v>
      </c>
      <c r="D1185" s="4" t="s">
        <v>18</v>
      </c>
      <c r="E1185" s="4"/>
      <c r="F1185" s="4" t="n">
        <v>10</v>
      </c>
      <c r="G1185" s="4" t="n">
        <v>510.78</v>
      </c>
      <c r="L1185" s="1" t="str">
        <f aca="false">IF(ISNUMBER(SEARCH("Bundle",C1185)),"Bundles",IF(ISNUMBER(SEARCH("Airtime",C1185)),"Bundles",IF(ISNUMBER(SEARCH("Merchant",C1185)),"Merchant Payment",IF(ISNUMBER(SEARCH("Offnet C2B",C1185)),"Merchant Payment",IF(ISNUMBER(SEARCH("Offnet B2C",C1185)),"Merchant Payment",IF(ISNUMBER(SEARCH("Customer Payment to Small",C1185)),"Merchant Payment",IF(ISNUMBER(SEARCH("Payment to Small Business",C1185)),"Merchant Payment",IF(ISNUMBER(SEARCH("Sent to",C1185)),"Sent to Person",IF(ISNUMBER(SEARCH("Customer Transfer to",C1185)),"Sent to Person",IF(ISNUMBER(SEARCH("Business Payment",C1185)),"Money In",IF(ISNUMBER(SEARCH("Funds Received",C1185)),"Money In",IF(ISNUMBER(SEARCH("Receive International",C1185)),"Money In",IF(ISNUMBER(SEARCH("Send Money Reversal",C1185)),"Money In",IF(ISNUMBER(SEARCH("Pay Utility Reversal",C1185)),"Money In",IF(ISNUMBER(SEARCH("Customer Transfer",C1185)),"Money In",IF(ISNUMBER(SEARCH("Ziidi",C1185)),"Investment",IF(ISNUMBER(SEARCH("Nabo",C1185)),"Investment",IF(ISNUMBER(SEARCH("Paybill Online",C1185)),"Pay Bill",IF(ISNUMBER(SEARCH("Pay Bill",C1185)),"Pay Bill",IF(ISNUMBER(SEARCH("Spotify",C1185)),"Pay Bill",IF(ISNUMBER(SEARCH("M-Shwari",C1185)),"Mshwari",IF(ISNUMBER(SEARCH("Mshwari",C1185)),"Mshwari",IF(ISNUMBER(SEARCH("Withdrawal charge",C1185)),"Fees",IF(ISNUMBER(SEARCH("Customer Withdrawal",C1185)),"Fees",IF(ISNUMBER(SEARCH("charge",C1185)),"Fees","Other")))))))))))))))))))))))))</f>
        <v>Bundles</v>
      </c>
      <c r="R1185" s="1" t="str">
        <f aca="false">TEXT(B1185,"MMM YYYY")</f>
        <v>May 2026</v>
      </c>
    </row>
    <row r="1186" customFormat="false" ht="13.8" hidden="false" customHeight="false" outlineLevel="0" collapsed="false">
      <c r="A1186" s="4" t="s">
        <v>2434</v>
      </c>
      <c r="B1186" s="4" t="s">
        <v>2435</v>
      </c>
      <c r="C1186" s="4" t="s">
        <v>29</v>
      </c>
      <c r="D1186" s="4" t="s">
        <v>18</v>
      </c>
      <c r="E1186" s="4"/>
      <c r="F1186" s="4" t="n">
        <v>10</v>
      </c>
      <c r="G1186" s="4" t="n">
        <v>500.78</v>
      </c>
      <c r="L1186" s="1" t="str">
        <f aca="false">IF(ISNUMBER(SEARCH("Bundle",C1186)),"Bundles",IF(ISNUMBER(SEARCH("Airtime",C1186)),"Bundles",IF(ISNUMBER(SEARCH("Merchant",C1186)),"Merchant Payment",IF(ISNUMBER(SEARCH("Offnet C2B",C1186)),"Merchant Payment",IF(ISNUMBER(SEARCH("Offnet B2C",C1186)),"Merchant Payment",IF(ISNUMBER(SEARCH("Customer Payment to Small",C1186)),"Merchant Payment",IF(ISNUMBER(SEARCH("Payment to Small Business",C1186)),"Merchant Payment",IF(ISNUMBER(SEARCH("Sent to",C1186)),"Sent to Person",IF(ISNUMBER(SEARCH("Customer Transfer to",C1186)),"Sent to Person",IF(ISNUMBER(SEARCH("Business Payment",C1186)),"Money In",IF(ISNUMBER(SEARCH("Funds Received",C1186)),"Money In",IF(ISNUMBER(SEARCH("Receive International",C1186)),"Money In",IF(ISNUMBER(SEARCH("Send Money Reversal",C1186)),"Money In",IF(ISNUMBER(SEARCH("Pay Utility Reversal",C1186)),"Money In",IF(ISNUMBER(SEARCH("Customer Transfer",C1186)),"Money In",IF(ISNUMBER(SEARCH("Ziidi",C1186)),"Investment",IF(ISNUMBER(SEARCH("Nabo",C1186)),"Investment",IF(ISNUMBER(SEARCH("Paybill Online",C1186)),"Pay Bill",IF(ISNUMBER(SEARCH("Pay Bill",C1186)),"Pay Bill",IF(ISNUMBER(SEARCH("Spotify",C1186)),"Pay Bill",IF(ISNUMBER(SEARCH("M-Shwari",C1186)),"Mshwari",IF(ISNUMBER(SEARCH("Mshwari",C1186)),"Mshwari",IF(ISNUMBER(SEARCH("Withdrawal charge",C1186)),"Fees",IF(ISNUMBER(SEARCH("Customer Withdrawal",C1186)),"Fees",IF(ISNUMBER(SEARCH("charge",C1186)),"Fees","Other")))))))))))))))))))))))))</f>
        <v>Bundles</v>
      </c>
      <c r="R1186" s="1" t="str">
        <f aca="false">TEXT(B1186,"MMM YYYY")</f>
        <v>May 2026</v>
      </c>
    </row>
    <row r="1187" customFormat="false" ht="13.8" hidden="false" customHeight="false" outlineLevel="0" collapsed="false">
      <c r="A1187" s="4" t="s">
        <v>2436</v>
      </c>
      <c r="B1187" s="4" t="s">
        <v>2437</v>
      </c>
      <c r="C1187" s="4" t="s">
        <v>29</v>
      </c>
      <c r="D1187" s="4" t="s">
        <v>18</v>
      </c>
      <c r="E1187" s="4"/>
      <c r="F1187" s="4" t="n">
        <v>20</v>
      </c>
      <c r="G1187" s="4" t="n">
        <v>480.78</v>
      </c>
      <c r="L1187" s="1" t="str">
        <f aca="false">IF(ISNUMBER(SEARCH("Bundle",C1187)),"Bundles",IF(ISNUMBER(SEARCH("Airtime",C1187)),"Bundles",IF(ISNUMBER(SEARCH("Merchant",C1187)),"Merchant Payment",IF(ISNUMBER(SEARCH("Offnet C2B",C1187)),"Merchant Payment",IF(ISNUMBER(SEARCH("Offnet B2C",C1187)),"Merchant Payment",IF(ISNUMBER(SEARCH("Customer Payment to Small",C1187)),"Merchant Payment",IF(ISNUMBER(SEARCH("Payment to Small Business",C1187)),"Merchant Payment",IF(ISNUMBER(SEARCH("Sent to",C1187)),"Sent to Person",IF(ISNUMBER(SEARCH("Customer Transfer to",C1187)),"Sent to Person",IF(ISNUMBER(SEARCH("Business Payment",C1187)),"Money In",IF(ISNUMBER(SEARCH("Funds Received",C1187)),"Money In",IF(ISNUMBER(SEARCH("Receive International",C1187)),"Money In",IF(ISNUMBER(SEARCH("Send Money Reversal",C1187)),"Money In",IF(ISNUMBER(SEARCH("Pay Utility Reversal",C1187)),"Money In",IF(ISNUMBER(SEARCH("Customer Transfer",C1187)),"Money In",IF(ISNUMBER(SEARCH("Ziidi",C1187)),"Investment",IF(ISNUMBER(SEARCH("Nabo",C1187)),"Investment",IF(ISNUMBER(SEARCH("Paybill Online",C1187)),"Pay Bill",IF(ISNUMBER(SEARCH("Pay Bill",C1187)),"Pay Bill",IF(ISNUMBER(SEARCH("Spotify",C1187)),"Pay Bill",IF(ISNUMBER(SEARCH("M-Shwari",C1187)),"Mshwari",IF(ISNUMBER(SEARCH("Mshwari",C1187)),"Mshwari",IF(ISNUMBER(SEARCH("Withdrawal charge",C1187)),"Fees",IF(ISNUMBER(SEARCH("Customer Withdrawal",C1187)),"Fees",IF(ISNUMBER(SEARCH("charge",C1187)),"Fees","Other")))))))))))))))))))))))))</f>
        <v>Bundles</v>
      </c>
      <c r="R1187" s="1" t="str">
        <f aca="false">TEXT(B1187,"MMM YYYY")</f>
        <v>May 2026</v>
      </c>
    </row>
    <row r="1188" customFormat="false" ht="13.8" hidden="false" customHeight="false" outlineLevel="0" collapsed="false">
      <c r="A1188" s="4" t="s">
        <v>2438</v>
      </c>
      <c r="B1188" s="4" t="s">
        <v>2439</v>
      </c>
      <c r="C1188" s="4" t="s">
        <v>29</v>
      </c>
      <c r="D1188" s="4" t="s">
        <v>18</v>
      </c>
      <c r="E1188" s="4"/>
      <c r="F1188" s="4" t="n">
        <v>10</v>
      </c>
      <c r="G1188" s="4" t="n">
        <v>470.78</v>
      </c>
      <c r="L1188" s="1" t="str">
        <f aca="false">IF(ISNUMBER(SEARCH("Bundle",C1188)),"Bundles",IF(ISNUMBER(SEARCH("Airtime",C1188)),"Bundles",IF(ISNUMBER(SEARCH("Merchant",C1188)),"Merchant Payment",IF(ISNUMBER(SEARCH("Offnet C2B",C1188)),"Merchant Payment",IF(ISNUMBER(SEARCH("Offnet B2C",C1188)),"Merchant Payment",IF(ISNUMBER(SEARCH("Customer Payment to Small",C1188)),"Merchant Payment",IF(ISNUMBER(SEARCH("Payment to Small Business",C1188)),"Merchant Payment",IF(ISNUMBER(SEARCH("Sent to",C1188)),"Sent to Person",IF(ISNUMBER(SEARCH("Customer Transfer to",C1188)),"Sent to Person",IF(ISNUMBER(SEARCH("Business Payment",C1188)),"Money In",IF(ISNUMBER(SEARCH("Funds Received",C1188)),"Money In",IF(ISNUMBER(SEARCH("Receive International",C1188)),"Money In",IF(ISNUMBER(SEARCH("Send Money Reversal",C1188)),"Money In",IF(ISNUMBER(SEARCH("Pay Utility Reversal",C1188)),"Money In",IF(ISNUMBER(SEARCH("Customer Transfer",C1188)),"Money In",IF(ISNUMBER(SEARCH("Ziidi",C1188)),"Investment",IF(ISNUMBER(SEARCH("Nabo",C1188)),"Investment",IF(ISNUMBER(SEARCH("Paybill Online",C1188)),"Pay Bill",IF(ISNUMBER(SEARCH("Pay Bill",C1188)),"Pay Bill",IF(ISNUMBER(SEARCH("Spotify",C1188)),"Pay Bill",IF(ISNUMBER(SEARCH("M-Shwari",C1188)),"Mshwari",IF(ISNUMBER(SEARCH("Mshwari",C1188)),"Mshwari",IF(ISNUMBER(SEARCH("Withdrawal charge",C1188)),"Fees",IF(ISNUMBER(SEARCH("Customer Withdrawal",C1188)),"Fees",IF(ISNUMBER(SEARCH("charge",C1188)),"Fees","Other")))))))))))))))))))))))))</f>
        <v>Bundles</v>
      </c>
      <c r="R1188" s="1" t="str">
        <f aca="false">TEXT(B1188,"MMM YYYY")</f>
        <v>May 2026</v>
      </c>
    </row>
    <row r="1189" customFormat="false" ht="13.8" hidden="false" customHeight="false" outlineLevel="0" collapsed="false">
      <c r="A1189" s="4" t="s">
        <v>2440</v>
      </c>
      <c r="B1189" s="4" t="s">
        <v>2441</v>
      </c>
      <c r="C1189" s="4" t="s">
        <v>29</v>
      </c>
      <c r="D1189" s="4" t="s">
        <v>18</v>
      </c>
      <c r="E1189" s="4"/>
      <c r="F1189" s="4" t="n">
        <v>20</v>
      </c>
      <c r="G1189" s="4" t="n">
        <v>450.78</v>
      </c>
      <c r="L1189" s="1" t="str">
        <f aca="false">IF(ISNUMBER(SEARCH("Bundle",C1189)),"Bundles",IF(ISNUMBER(SEARCH("Airtime",C1189)),"Bundles",IF(ISNUMBER(SEARCH("Merchant",C1189)),"Merchant Payment",IF(ISNUMBER(SEARCH("Offnet C2B",C1189)),"Merchant Payment",IF(ISNUMBER(SEARCH("Offnet B2C",C1189)),"Merchant Payment",IF(ISNUMBER(SEARCH("Customer Payment to Small",C1189)),"Merchant Payment",IF(ISNUMBER(SEARCH("Payment to Small Business",C1189)),"Merchant Payment",IF(ISNUMBER(SEARCH("Sent to",C1189)),"Sent to Person",IF(ISNUMBER(SEARCH("Customer Transfer to",C1189)),"Sent to Person",IF(ISNUMBER(SEARCH("Business Payment",C1189)),"Money In",IF(ISNUMBER(SEARCH("Funds Received",C1189)),"Money In",IF(ISNUMBER(SEARCH("Receive International",C1189)),"Money In",IF(ISNUMBER(SEARCH("Send Money Reversal",C1189)),"Money In",IF(ISNUMBER(SEARCH("Pay Utility Reversal",C1189)),"Money In",IF(ISNUMBER(SEARCH("Customer Transfer",C1189)),"Money In",IF(ISNUMBER(SEARCH("Ziidi",C1189)),"Investment",IF(ISNUMBER(SEARCH("Nabo",C1189)),"Investment",IF(ISNUMBER(SEARCH("Paybill Online",C1189)),"Pay Bill",IF(ISNUMBER(SEARCH("Pay Bill",C1189)),"Pay Bill",IF(ISNUMBER(SEARCH("Spotify",C1189)),"Pay Bill",IF(ISNUMBER(SEARCH("M-Shwari",C1189)),"Mshwari",IF(ISNUMBER(SEARCH("Mshwari",C1189)),"Mshwari",IF(ISNUMBER(SEARCH("Withdrawal charge",C1189)),"Fees",IF(ISNUMBER(SEARCH("Customer Withdrawal",C1189)),"Fees",IF(ISNUMBER(SEARCH("charge",C1189)),"Fees","Other")))))))))))))))))))))))))</f>
        <v>Bundles</v>
      </c>
      <c r="R1189" s="1" t="str">
        <f aca="false">TEXT(B1189,"MMM YYYY")</f>
        <v>May 2026</v>
      </c>
    </row>
    <row r="1190" customFormat="false" ht="13.8" hidden="false" customHeight="false" outlineLevel="0" collapsed="false">
      <c r="A1190" s="4" t="s">
        <v>2442</v>
      </c>
      <c r="B1190" s="4" t="s">
        <v>2443</v>
      </c>
      <c r="C1190" s="4" t="s">
        <v>17</v>
      </c>
      <c r="D1190" s="4" t="s">
        <v>18</v>
      </c>
      <c r="E1190" s="4"/>
      <c r="F1190" s="4" t="n">
        <v>20</v>
      </c>
      <c r="G1190" s="4" t="n">
        <v>430.78</v>
      </c>
      <c r="L1190" s="1" t="str">
        <f aca="false">IF(ISNUMBER(SEARCH("Bundle",C1190)),"Bundles",IF(ISNUMBER(SEARCH("Airtime",C1190)),"Bundles",IF(ISNUMBER(SEARCH("Merchant",C1190)),"Merchant Payment",IF(ISNUMBER(SEARCH("Offnet C2B",C1190)),"Merchant Payment",IF(ISNUMBER(SEARCH("Offnet B2C",C1190)),"Merchant Payment",IF(ISNUMBER(SEARCH("Customer Payment to Small",C1190)),"Merchant Payment",IF(ISNUMBER(SEARCH("Payment to Small Business",C1190)),"Merchant Payment",IF(ISNUMBER(SEARCH("Sent to",C1190)),"Sent to Person",IF(ISNUMBER(SEARCH("Customer Transfer to",C1190)),"Sent to Person",IF(ISNUMBER(SEARCH("Business Payment",C1190)),"Money In",IF(ISNUMBER(SEARCH("Funds Received",C1190)),"Money In",IF(ISNUMBER(SEARCH("Receive International",C1190)),"Money In",IF(ISNUMBER(SEARCH("Send Money Reversal",C1190)),"Money In",IF(ISNUMBER(SEARCH("Pay Utility Reversal",C1190)),"Money In",IF(ISNUMBER(SEARCH("Customer Transfer",C1190)),"Money In",IF(ISNUMBER(SEARCH("Ziidi",C1190)),"Investment",IF(ISNUMBER(SEARCH("Nabo",C1190)),"Investment",IF(ISNUMBER(SEARCH("Paybill Online",C1190)),"Pay Bill",IF(ISNUMBER(SEARCH("Pay Bill",C1190)),"Pay Bill",IF(ISNUMBER(SEARCH("Spotify",C1190)),"Pay Bill",IF(ISNUMBER(SEARCH("M-Shwari",C1190)),"Mshwari",IF(ISNUMBER(SEARCH("Mshwari",C1190)),"Mshwari",IF(ISNUMBER(SEARCH("Withdrawal charge",C1190)),"Fees",IF(ISNUMBER(SEARCH("Customer Withdrawal",C1190)),"Fees",IF(ISNUMBER(SEARCH("charge",C1190)),"Fees","Other")))))))))))))))))))))))))</f>
        <v>Bundles</v>
      </c>
      <c r="R1190" s="1" t="str">
        <f aca="false">TEXT(B1190,"MMM YYYY")</f>
        <v>May 2026</v>
      </c>
    </row>
    <row r="1191" customFormat="false" ht="13.8" hidden="false" customHeight="false" outlineLevel="0" collapsed="false">
      <c r="A1191" s="4" t="s">
        <v>2444</v>
      </c>
      <c r="B1191" s="4" t="s">
        <v>2445</v>
      </c>
      <c r="C1191" s="4" t="s">
        <v>29</v>
      </c>
      <c r="D1191" s="4" t="s">
        <v>18</v>
      </c>
      <c r="E1191" s="4"/>
      <c r="F1191" s="4" t="n">
        <v>10</v>
      </c>
      <c r="G1191" s="4" t="n">
        <v>420.78</v>
      </c>
      <c r="L1191" s="1" t="str">
        <f aca="false">IF(ISNUMBER(SEARCH("Bundle",C1191)),"Bundles",IF(ISNUMBER(SEARCH("Airtime",C1191)),"Bundles",IF(ISNUMBER(SEARCH("Merchant",C1191)),"Merchant Payment",IF(ISNUMBER(SEARCH("Offnet C2B",C1191)),"Merchant Payment",IF(ISNUMBER(SEARCH("Offnet B2C",C1191)),"Merchant Payment",IF(ISNUMBER(SEARCH("Customer Payment to Small",C1191)),"Merchant Payment",IF(ISNUMBER(SEARCH("Payment to Small Business",C1191)),"Merchant Payment",IF(ISNUMBER(SEARCH("Sent to",C1191)),"Sent to Person",IF(ISNUMBER(SEARCH("Customer Transfer to",C1191)),"Sent to Person",IF(ISNUMBER(SEARCH("Business Payment",C1191)),"Money In",IF(ISNUMBER(SEARCH("Funds Received",C1191)),"Money In",IF(ISNUMBER(SEARCH("Receive International",C1191)),"Money In",IF(ISNUMBER(SEARCH("Send Money Reversal",C1191)),"Money In",IF(ISNUMBER(SEARCH("Pay Utility Reversal",C1191)),"Money In",IF(ISNUMBER(SEARCH("Customer Transfer",C1191)),"Money In",IF(ISNUMBER(SEARCH("Ziidi",C1191)),"Investment",IF(ISNUMBER(SEARCH("Nabo",C1191)),"Investment",IF(ISNUMBER(SEARCH("Paybill Online",C1191)),"Pay Bill",IF(ISNUMBER(SEARCH("Pay Bill",C1191)),"Pay Bill",IF(ISNUMBER(SEARCH("Spotify",C1191)),"Pay Bill",IF(ISNUMBER(SEARCH("M-Shwari",C1191)),"Mshwari",IF(ISNUMBER(SEARCH("Mshwari",C1191)),"Mshwari",IF(ISNUMBER(SEARCH("Withdrawal charge",C1191)),"Fees",IF(ISNUMBER(SEARCH("Customer Withdrawal",C1191)),"Fees",IF(ISNUMBER(SEARCH("charge",C1191)),"Fees","Other")))))))))))))))))))))))))</f>
        <v>Bundles</v>
      </c>
      <c r="R1191" s="1" t="str">
        <f aca="false">TEXT(B1191,"MMM YYYY")</f>
        <v>May 2026</v>
      </c>
    </row>
    <row r="1192" customFormat="false" ht="13.8" hidden="false" customHeight="false" outlineLevel="0" collapsed="false">
      <c r="A1192" s="4" t="s">
        <v>2446</v>
      </c>
      <c r="B1192" s="4" t="s">
        <v>2447</v>
      </c>
      <c r="C1192" s="4" t="s">
        <v>29</v>
      </c>
      <c r="D1192" s="4" t="s">
        <v>18</v>
      </c>
      <c r="E1192" s="4"/>
      <c r="F1192" s="4" t="n">
        <v>10</v>
      </c>
      <c r="G1192" s="4" t="n">
        <v>410.78</v>
      </c>
      <c r="L1192" s="1" t="str">
        <f aca="false">IF(ISNUMBER(SEARCH("Bundle",C1192)),"Bundles",IF(ISNUMBER(SEARCH("Airtime",C1192)),"Bundles",IF(ISNUMBER(SEARCH("Merchant",C1192)),"Merchant Payment",IF(ISNUMBER(SEARCH("Offnet C2B",C1192)),"Merchant Payment",IF(ISNUMBER(SEARCH("Offnet B2C",C1192)),"Merchant Payment",IF(ISNUMBER(SEARCH("Customer Payment to Small",C1192)),"Merchant Payment",IF(ISNUMBER(SEARCH("Payment to Small Business",C1192)),"Merchant Payment",IF(ISNUMBER(SEARCH("Sent to",C1192)),"Sent to Person",IF(ISNUMBER(SEARCH("Customer Transfer to",C1192)),"Sent to Person",IF(ISNUMBER(SEARCH("Business Payment",C1192)),"Money In",IF(ISNUMBER(SEARCH("Funds Received",C1192)),"Money In",IF(ISNUMBER(SEARCH("Receive International",C1192)),"Money In",IF(ISNUMBER(SEARCH("Send Money Reversal",C1192)),"Money In",IF(ISNUMBER(SEARCH("Pay Utility Reversal",C1192)),"Money In",IF(ISNUMBER(SEARCH("Customer Transfer",C1192)),"Money In",IF(ISNUMBER(SEARCH("Ziidi",C1192)),"Investment",IF(ISNUMBER(SEARCH("Nabo",C1192)),"Investment",IF(ISNUMBER(SEARCH("Paybill Online",C1192)),"Pay Bill",IF(ISNUMBER(SEARCH("Pay Bill",C1192)),"Pay Bill",IF(ISNUMBER(SEARCH("Spotify",C1192)),"Pay Bill",IF(ISNUMBER(SEARCH("M-Shwari",C1192)),"Mshwari",IF(ISNUMBER(SEARCH("Mshwari",C1192)),"Mshwari",IF(ISNUMBER(SEARCH("Withdrawal charge",C1192)),"Fees",IF(ISNUMBER(SEARCH("Customer Withdrawal",C1192)),"Fees",IF(ISNUMBER(SEARCH("charge",C1192)),"Fees","Other")))))))))))))))))))))))))</f>
        <v>Bundles</v>
      </c>
      <c r="R1192" s="1" t="str">
        <f aca="false">TEXT(B1192,"MMM YYYY")</f>
        <v>May 2026</v>
      </c>
    </row>
    <row r="1193" customFormat="false" ht="13.8" hidden="false" customHeight="false" outlineLevel="0" collapsed="false">
      <c r="A1193" s="4" t="s">
        <v>2448</v>
      </c>
      <c r="B1193" s="4" t="s">
        <v>2449</v>
      </c>
      <c r="C1193" s="4" t="s">
        <v>29</v>
      </c>
      <c r="D1193" s="4" t="s">
        <v>18</v>
      </c>
      <c r="E1193" s="4"/>
      <c r="F1193" s="4" t="n">
        <v>10</v>
      </c>
      <c r="G1193" s="4" t="n">
        <v>400.78</v>
      </c>
      <c r="L1193" s="1" t="str">
        <f aca="false">IF(ISNUMBER(SEARCH("Bundle",C1193)),"Bundles",IF(ISNUMBER(SEARCH("Airtime",C1193)),"Bundles",IF(ISNUMBER(SEARCH("Merchant",C1193)),"Merchant Payment",IF(ISNUMBER(SEARCH("Offnet C2B",C1193)),"Merchant Payment",IF(ISNUMBER(SEARCH("Offnet B2C",C1193)),"Merchant Payment",IF(ISNUMBER(SEARCH("Customer Payment to Small",C1193)),"Merchant Payment",IF(ISNUMBER(SEARCH("Payment to Small Business",C1193)),"Merchant Payment",IF(ISNUMBER(SEARCH("Sent to",C1193)),"Sent to Person",IF(ISNUMBER(SEARCH("Customer Transfer to",C1193)),"Sent to Person",IF(ISNUMBER(SEARCH("Business Payment",C1193)),"Money In",IF(ISNUMBER(SEARCH("Funds Received",C1193)),"Money In",IF(ISNUMBER(SEARCH("Receive International",C1193)),"Money In",IF(ISNUMBER(SEARCH("Send Money Reversal",C1193)),"Money In",IF(ISNUMBER(SEARCH("Pay Utility Reversal",C1193)),"Money In",IF(ISNUMBER(SEARCH("Customer Transfer",C1193)),"Money In",IF(ISNUMBER(SEARCH("Ziidi",C1193)),"Investment",IF(ISNUMBER(SEARCH("Nabo",C1193)),"Investment",IF(ISNUMBER(SEARCH("Paybill Online",C1193)),"Pay Bill",IF(ISNUMBER(SEARCH("Pay Bill",C1193)),"Pay Bill",IF(ISNUMBER(SEARCH("Spotify",C1193)),"Pay Bill",IF(ISNUMBER(SEARCH("M-Shwari",C1193)),"Mshwari",IF(ISNUMBER(SEARCH("Mshwari",C1193)),"Mshwari",IF(ISNUMBER(SEARCH("Withdrawal charge",C1193)),"Fees",IF(ISNUMBER(SEARCH("Customer Withdrawal",C1193)),"Fees",IF(ISNUMBER(SEARCH("charge",C1193)),"Fees","Other")))))))))))))))))))))))))</f>
        <v>Bundles</v>
      </c>
      <c r="R1193" s="1" t="str">
        <f aca="false">TEXT(B1193,"MMM YYYY")</f>
        <v>May 2026</v>
      </c>
    </row>
    <row r="1194" customFormat="false" ht="13.8" hidden="false" customHeight="false" outlineLevel="0" collapsed="false">
      <c r="A1194" s="4" t="s">
        <v>2450</v>
      </c>
      <c r="B1194" s="4" t="s">
        <v>2451</v>
      </c>
      <c r="C1194" s="4" t="s">
        <v>192</v>
      </c>
      <c r="D1194" s="4" t="s">
        <v>18</v>
      </c>
      <c r="E1194" s="4" t="n">
        <v>1000</v>
      </c>
      <c r="F1194" s="4"/>
      <c r="G1194" s="4" t="n">
        <v>1400.78</v>
      </c>
      <c r="L1194" s="1" t="str">
        <f aca="false">IF(ISNUMBER(SEARCH("Bundle",C1194)),"Bundles",IF(ISNUMBER(SEARCH("Airtime",C1194)),"Bundles",IF(ISNUMBER(SEARCH("Merchant",C1194)),"Merchant Payment",IF(ISNUMBER(SEARCH("Offnet C2B",C1194)),"Merchant Payment",IF(ISNUMBER(SEARCH("Offnet B2C",C1194)),"Merchant Payment",IF(ISNUMBER(SEARCH("Customer Payment to Small",C1194)),"Merchant Payment",IF(ISNUMBER(SEARCH("Payment to Small Business",C1194)),"Merchant Payment",IF(ISNUMBER(SEARCH("Sent to",C1194)),"Sent to Person",IF(ISNUMBER(SEARCH("Customer Transfer to",C1194)),"Sent to Person",IF(ISNUMBER(SEARCH("Business Payment",C1194)),"Money In",IF(ISNUMBER(SEARCH("Funds Received",C1194)),"Money In",IF(ISNUMBER(SEARCH("Receive International",C1194)),"Money In",IF(ISNUMBER(SEARCH("Send Money Reversal",C1194)),"Money In",IF(ISNUMBER(SEARCH("Pay Utility Reversal",C1194)),"Money In",IF(ISNUMBER(SEARCH("Customer Transfer",C1194)),"Money In",IF(ISNUMBER(SEARCH("Ziidi",C1194)),"Investment",IF(ISNUMBER(SEARCH("Nabo",C1194)),"Investment",IF(ISNUMBER(SEARCH("Paybill Online",C1194)),"Pay Bill",IF(ISNUMBER(SEARCH("Pay Bill",C1194)),"Pay Bill",IF(ISNUMBER(SEARCH("Spotify",C1194)),"Pay Bill",IF(ISNUMBER(SEARCH("M-Shwari",C1194)),"Mshwari",IF(ISNUMBER(SEARCH("Mshwari",C1194)),"Mshwari",IF(ISNUMBER(SEARCH("Withdrawal charge",C1194)),"Fees",IF(ISNUMBER(SEARCH("Customer Withdrawal",C1194)),"Fees",IF(ISNUMBER(SEARCH("charge",C1194)),"Fees","Other")))))))))))))))))))))))))</f>
        <v>Mshwari</v>
      </c>
      <c r="R1194" s="1" t="str">
        <f aca="false">TEXT(B1194,"MMM YYYY")</f>
        <v>May 2026</v>
      </c>
    </row>
    <row r="1195" customFormat="false" ht="13.8" hidden="false" customHeight="false" outlineLevel="0" collapsed="false">
      <c r="A1195" s="4" t="s">
        <v>2452</v>
      </c>
      <c r="B1195" s="4" t="s">
        <v>2453</v>
      </c>
      <c r="C1195" s="4" t="s">
        <v>2454</v>
      </c>
      <c r="D1195" s="4" t="s">
        <v>18</v>
      </c>
      <c r="E1195" s="4"/>
      <c r="F1195" s="4" t="n">
        <v>670</v>
      </c>
      <c r="G1195" s="4" t="n">
        <v>730.78</v>
      </c>
      <c r="L1195" s="1" t="str">
        <f aca="false">IF(ISNUMBER(SEARCH("Bundle",C1195)),"Bundles",IF(ISNUMBER(SEARCH("Airtime",C1195)),"Bundles",IF(ISNUMBER(SEARCH("Merchant",C1195)),"Merchant Payment",IF(ISNUMBER(SEARCH("Offnet C2B",C1195)),"Merchant Payment",IF(ISNUMBER(SEARCH("Offnet B2C",C1195)),"Merchant Payment",IF(ISNUMBER(SEARCH("Customer Payment to Small",C1195)),"Merchant Payment",IF(ISNUMBER(SEARCH("Payment to Small Business",C1195)),"Merchant Payment",IF(ISNUMBER(SEARCH("Sent to",C1195)),"Sent to Person",IF(ISNUMBER(SEARCH("Customer Transfer to",C1195)),"Sent to Person",IF(ISNUMBER(SEARCH("Business Payment",C1195)),"Money In",IF(ISNUMBER(SEARCH("Funds Received",C1195)),"Money In",IF(ISNUMBER(SEARCH("Receive International",C1195)),"Money In",IF(ISNUMBER(SEARCH("Send Money Reversal",C1195)),"Money In",IF(ISNUMBER(SEARCH("Pay Utility Reversal",C1195)),"Money In",IF(ISNUMBER(SEARCH("Customer Transfer",C1195)),"Money In",IF(ISNUMBER(SEARCH("Ziidi",C1195)),"Investment",IF(ISNUMBER(SEARCH("Nabo",C1195)),"Investment",IF(ISNUMBER(SEARCH("Paybill Online",C1195)),"Pay Bill",IF(ISNUMBER(SEARCH("Pay Bill",C1195)),"Pay Bill",IF(ISNUMBER(SEARCH("Spotify",C1195)),"Pay Bill",IF(ISNUMBER(SEARCH("M-Shwari",C1195)),"Mshwari",IF(ISNUMBER(SEARCH("Mshwari",C1195)),"Mshwari",IF(ISNUMBER(SEARCH("Withdrawal charge",C1195)),"Fees",IF(ISNUMBER(SEARCH("Customer Withdrawal",C1195)),"Fees",IF(ISNUMBER(SEARCH("charge",C1195)),"Fees","Other")))))))))))))))))))))))))</f>
        <v>Merchant Payment</v>
      </c>
      <c r="R1195" s="1" t="str">
        <f aca="false">TEXT(B1195,"MMM YYYY")</f>
        <v>May 2026</v>
      </c>
    </row>
    <row r="1196" customFormat="false" ht="13.8" hidden="false" customHeight="false" outlineLevel="0" collapsed="false">
      <c r="A1196" s="4" t="s">
        <v>2455</v>
      </c>
      <c r="B1196" s="4" t="s">
        <v>2456</v>
      </c>
      <c r="C1196" s="4" t="s">
        <v>29</v>
      </c>
      <c r="D1196" s="4" t="s">
        <v>18</v>
      </c>
      <c r="E1196" s="4"/>
      <c r="F1196" s="4" t="n">
        <v>20</v>
      </c>
      <c r="G1196" s="4" t="n">
        <v>710.78</v>
      </c>
      <c r="L1196" s="1" t="str">
        <f aca="false">IF(ISNUMBER(SEARCH("Bundle",C1196)),"Bundles",IF(ISNUMBER(SEARCH("Airtime",C1196)),"Bundles",IF(ISNUMBER(SEARCH("Merchant",C1196)),"Merchant Payment",IF(ISNUMBER(SEARCH("Offnet C2B",C1196)),"Merchant Payment",IF(ISNUMBER(SEARCH("Offnet B2C",C1196)),"Merchant Payment",IF(ISNUMBER(SEARCH("Customer Payment to Small",C1196)),"Merchant Payment",IF(ISNUMBER(SEARCH("Payment to Small Business",C1196)),"Merchant Payment",IF(ISNUMBER(SEARCH("Sent to",C1196)),"Sent to Person",IF(ISNUMBER(SEARCH("Customer Transfer to",C1196)),"Sent to Person",IF(ISNUMBER(SEARCH("Business Payment",C1196)),"Money In",IF(ISNUMBER(SEARCH("Funds Received",C1196)),"Money In",IF(ISNUMBER(SEARCH("Receive International",C1196)),"Money In",IF(ISNUMBER(SEARCH("Send Money Reversal",C1196)),"Money In",IF(ISNUMBER(SEARCH("Pay Utility Reversal",C1196)),"Money In",IF(ISNUMBER(SEARCH("Customer Transfer",C1196)),"Money In",IF(ISNUMBER(SEARCH("Ziidi",C1196)),"Investment",IF(ISNUMBER(SEARCH("Nabo",C1196)),"Investment",IF(ISNUMBER(SEARCH("Paybill Online",C1196)),"Pay Bill",IF(ISNUMBER(SEARCH("Pay Bill",C1196)),"Pay Bill",IF(ISNUMBER(SEARCH("Spotify",C1196)),"Pay Bill",IF(ISNUMBER(SEARCH("M-Shwari",C1196)),"Mshwari",IF(ISNUMBER(SEARCH("Mshwari",C1196)),"Mshwari",IF(ISNUMBER(SEARCH("Withdrawal charge",C1196)),"Fees",IF(ISNUMBER(SEARCH("Customer Withdrawal",C1196)),"Fees",IF(ISNUMBER(SEARCH("charge",C1196)),"Fees","Other")))))))))))))))))))))))))</f>
        <v>Bundles</v>
      </c>
      <c r="R1196" s="1" t="str">
        <f aca="false">TEXT(B1196,"MMM YYYY")</f>
        <v>May 2026</v>
      </c>
    </row>
    <row r="1197" customFormat="false" ht="13.8" hidden="false" customHeight="false" outlineLevel="0" collapsed="false">
      <c r="A1197" s="4" t="s">
        <v>2457</v>
      </c>
      <c r="B1197" s="4" t="s">
        <v>2458</v>
      </c>
      <c r="C1197" s="4" t="s">
        <v>2459</v>
      </c>
      <c r="D1197" s="4" t="s">
        <v>18</v>
      </c>
      <c r="E1197" s="4"/>
      <c r="F1197" s="4" t="n">
        <v>100</v>
      </c>
      <c r="G1197" s="4" t="n">
        <v>610.78</v>
      </c>
      <c r="L1197" s="1" t="str">
        <f aca="false">IF(ISNUMBER(SEARCH("Bundle",C1197)),"Bundles",IF(ISNUMBER(SEARCH("Airtime",C1197)),"Bundles",IF(ISNUMBER(SEARCH("Merchant",C1197)),"Merchant Payment",IF(ISNUMBER(SEARCH("Offnet C2B",C1197)),"Merchant Payment",IF(ISNUMBER(SEARCH("Offnet B2C",C1197)),"Merchant Payment",IF(ISNUMBER(SEARCH("Customer Payment to Small",C1197)),"Merchant Payment",IF(ISNUMBER(SEARCH("Payment to Small Business",C1197)),"Merchant Payment",IF(ISNUMBER(SEARCH("Sent to",C1197)),"Sent to Person",IF(ISNUMBER(SEARCH("Customer Transfer to",C1197)),"Sent to Person",IF(ISNUMBER(SEARCH("Business Payment",C1197)),"Money In",IF(ISNUMBER(SEARCH("Funds Received",C1197)),"Money In",IF(ISNUMBER(SEARCH("Receive International",C1197)),"Money In",IF(ISNUMBER(SEARCH("Send Money Reversal",C1197)),"Money In",IF(ISNUMBER(SEARCH("Pay Utility Reversal",C1197)),"Money In",IF(ISNUMBER(SEARCH("Customer Transfer",C1197)),"Money In",IF(ISNUMBER(SEARCH("Ziidi",C1197)),"Investment",IF(ISNUMBER(SEARCH("Nabo",C1197)),"Investment",IF(ISNUMBER(SEARCH("Paybill Online",C1197)),"Pay Bill",IF(ISNUMBER(SEARCH("Pay Bill",C1197)),"Pay Bill",IF(ISNUMBER(SEARCH("Spotify",C1197)),"Pay Bill",IF(ISNUMBER(SEARCH("M-Shwari",C1197)),"Mshwari",IF(ISNUMBER(SEARCH("Mshwari",C1197)),"Mshwari",IF(ISNUMBER(SEARCH("Withdrawal charge",C1197)),"Fees",IF(ISNUMBER(SEARCH("Customer Withdrawal",C1197)),"Fees",IF(ISNUMBER(SEARCH("charge",C1197)),"Fees","Other")))))))))))))))))))))))))</f>
        <v>Sent to Person</v>
      </c>
      <c r="R1197" s="1" t="str">
        <f aca="false">TEXT(B1197,"MMM YYYY")</f>
        <v>May 2026</v>
      </c>
    </row>
    <row r="1198" customFormat="false" ht="13.8" hidden="false" customHeight="false" outlineLevel="0" collapsed="false">
      <c r="A1198" s="4" t="s">
        <v>2460</v>
      </c>
      <c r="B1198" s="4" t="s">
        <v>2461</v>
      </c>
      <c r="C1198" s="4" t="s">
        <v>2462</v>
      </c>
      <c r="D1198" s="4" t="s">
        <v>18</v>
      </c>
      <c r="E1198" s="4"/>
      <c r="F1198" s="4" t="n">
        <v>100</v>
      </c>
      <c r="G1198" s="4" t="n">
        <v>510.78</v>
      </c>
      <c r="L1198" s="1" t="str">
        <f aca="false">IF(ISNUMBER(SEARCH("Bundle",C1198)),"Bundles",IF(ISNUMBER(SEARCH("Airtime",C1198)),"Bundles",IF(ISNUMBER(SEARCH("Merchant",C1198)),"Merchant Payment",IF(ISNUMBER(SEARCH("Offnet C2B",C1198)),"Merchant Payment",IF(ISNUMBER(SEARCH("Offnet B2C",C1198)),"Merchant Payment",IF(ISNUMBER(SEARCH("Customer Payment to Small",C1198)),"Merchant Payment",IF(ISNUMBER(SEARCH("Payment to Small Business",C1198)),"Merchant Payment",IF(ISNUMBER(SEARCH("Sent to",C1198)),"Sent to Person",IF(ISNUMBER(SEARCH("Customer Transfer to",C1198)),"Sent to Person",IF(ISNUMBER(SEARCH("Business Payment",C1198)),"Money In",IF(ISNUMBER(SEARCH("Funds Received",C1198)),"Money In",IF(ISNUMBER(SEARCH("Receive International",C1198)),"Money In",IF(ISNUMBER(SEARCH("Send Money Reversal",C1198)),"Money In",IF(ISNUMBER(SEARCH("Pay Utility Reversal",C1198)),"Money In",IF(ISNUMBER(SEARCH("Customer Transfer",C1198)),"Money In",IF(ISNUMBER(SEARCH("Ziidi",C1198)),"Investment",IF(ISNUMBER(SEARCH("Nabo",C1198)),"Investment",IF(ISNUMBER(SEARCH("Paybill Online",C1198)),"Pay Bill",IF(ISNUMBER(SEARCH("Pay Bill",C1198)),"Pay Bill",IF(ISNUMBER(SEARCH("Spotify",C1198)),"Pay Bill",IF(ISNUMBER(SEARCH("M-Shwari",C1198)),"Mshwari",IF(ISNUMBER(SEARCH("Mshwari",C1198)),"Mshwari",IF(ISNUMBER(SEARCH("Withdrawal charge",C1198)),"Fees",IF(ISNUMBER(SEARCH("Customer Withdrawal",C1198)),"Fees",IF(ISNUMBER(SEARCH("charge",C1198)),"Fees","Other")))))))))))))))))))))))))</f>
        <v>Pay Bill</v>
      </c>
      <c r="R1198" s="1" t="str">
        <f aca="false">TEXT(B1198,"MMM YYYY")</f>
        <v>May 2026</v>
      </c>
    </row>
    <row r="1199" customFormat="false" ht="13.8" hidden="false" customHeight="false" outlineLevel="0" collapsed="false">
      <c r="A1199" s="4" t="s">
        <v>2463</v>
      </c>
      <c r="B1199" s="4" t="s">
        <v>2464</v>
      </c>
      <c r="C1199" s="4" t="s">
        <v>2465</v>
      </c>
      <c r="D1199" s="4" t="s">
        <v>18</v>
      </c>
      <c r="E1199" s="4"/>
      <c r="F1199" s="4" t="n">
        <v>100</v>
      </c>
      <c r="G1199" s="4" t="n">
        <v>410.78</v>
      </c>
      <c r="L1199" s="1" t="str">
        <f aca="false">IF(ISNUMBER(SEARCH("Bundle",C1199)),"Bundles",IF(ISNUMBER(SEARCH("Airtime",C1199)),"Bundles",IF(ISNUMBER(SEARCH("Merchant",C1199)),"Merchant Payment",IF(ISNUMBER(SEARCH("Offnet C2B",C1199)),"Merchant Payment",IF(ISNUMBER(SEARCH("Offnet B2C",C1199)),"Merchant Payment",IF(ISNUMBER(SEARCH("Customer Payment to Small",C1199)),"Merchant Payment",IF(ISNUMBER(SEARCH("Payment to Small Business",C1199)),"Merchant Payment",IF(ISNUMBER(SEARCH("Sent to",C1199)),"Sent to Person",IF(ISNUMBER(SEARCH("Customer Transfer to",C1199)),"Sent to Person",IF(ISNUMBER(SEARCH("Business Payment",C1199)),"Money In",IF(ISNUMBER(SEARCH("Funds Received",C1199)),"Money In",IF(ISNUMBER(SEARCH("Receive International",C1199)),"Money In",IF(ISNUMBER(SEARCH("Send Money Reversal",C1199)),"Money In",IF(ISNUMBER(SEARCH("Pay Utility Reversal",C1199)),"Money In",IF(ISNUMBER(SEARCH("Customer Transfer",C1199)),"Money In",IF(ISNUMBER(SEARCH("Ziidi",C1199)),"Investment",IF(ISNUMBER(SEARCH("Nabo",C1199)),"Investment",IF(ISNUMBER(SEARCH("Paybill Online",C1199)),"Pay Bill",IF(ISNUMBER(SEARCH("Pay Bill",C1199)),"Pay Bill",IF(ISNUMBER(SEARCH("Spotify",C1199)),"Pay Bill",IF(ISNUMBER(SEARCH("M-Shwari",C1199)),"Mshwari",IF(ISNUMBER(SEARCH("Mshwari",C1199)),"Mshwari",IF(ISNUMBER(SEARCH("Withdrawal charge",C1199)),"Fees",IF(ISNUMBER(SEARCH("Customer Withdrawal",C1199)),"Fees",IF(ISNUMBER(SEARCH("charge",C1199)),"Fees","Other")))))))))))))))))))))))))</f>
        <v>Sent to Person</v>
      </c>
      <c r="R1199" s="1" t="str">
        <f aca="false">TEXT(B1199,"MMM YYYY")</f>
        <v>May 2026</v>
      </c>
    </row>
    <row r="1200" customFormat="false" ht="13.8" hidden="false" customHeight="false" outlineLevel="0" collapsed="false">
      <c r="A1200" s="4" t="s">
        <v>2466</v>
      </c>
      <c r="B1200" s="4" t="s">
        <v>2467</v>
      </c>
      <c r="C1200" s="4" t="s">
        <v>29</v>
      </c>
      <c r="D1200" s="4" t="s">
        <v>18</v>
      </c>
      <c r="E1200" s="4"/>
      <c r="F1200" s="4" t="n">
        <v>10</v>
      </c>
      <c r="G1200" s="4" t="n">
        <v>400.78</v>
      </c>
      <c r="L1200" s="1" t="str">
        <f aca="false">IF(ISNUMBER(SEARCH("Bundle",C1200)),"Bundles",IF(ISNUMBER(SEARCH("Airtime",C1200)),"Bundles",IF(ISNUMBER(SEARCH("Merchant",C1200)),"Merchant Payment",IF(ISNUMBER(SEARCH("Offnet C2B",C1200)),"Merchant Payment",IF(ISNUMBER(SEARCH("Offnet B2C",C1200)),"Merchant Payment",IF(ISNUMBER(SEARCH("Customer Payment to Small",C1200)),"Merchant Payment",IF(ISNUMBER(SEARCH("Payment to Small Business",C1200)),"Merchant Payment",IF(ISNUMBER(SEARCH("Sent to",C1200)),"Sent to Person",IF(ISNUMBER(SEARCH("Customer Transfer to",C1200)),"Sent to Person",IF(ISNUMBER(SEARCH("Business Payment",C1200)),"Money In",IF(ISNUMBER(SEARCH("Funds Received",C1200)),"Money In",IF(ISNUMBER(SEARCH("Receive International",C1200)),"Money In",IF(ISNUMBER(SEARCH("Send Money Reversal",C1200)),"Money In",IF(ISNUMBER(SEARCH("Pay Utility Reversal",C1200)),"Money In",IF(ISNUMBER(SEARCH("Customer Transfer",C1200)),"Money In",IF(ISNUMBER(SEARCH("Ziidi",C1200)),"Investment",IF(ISNUMBER(SEARCH("Nabo",C1200)),"Investment",IF(ISNUMBER(SEARCH("Paybill Online",C1200)),"Pay Bill",IF(ISNUMBER(SEARCH("Pay Bill",C1200)),"Pay Bill",IF(ISNUMBER(SEARCH("Spotify",C1200)),"Pay Bill",IF(ISNUMBER(SEARCH("M-Shwari",C1200)),"Mshwari",IF(ISNUMBER(SEARCH("Mshwari",C1200)),"Mshwari",IF(ISNUMBER(SEARCH("Withdrawal charge",C1200)),"Fees",IF(ISNUMBER(SEARCH("Customer Withdrawal",C1200)),"Fees",IF(ISNUMBER(SEARCH("charge",C1200)),"Fees","Other")))))))))))))))))))))))))</f>
        <v>Bundles</v>
      </c>
      <c r="R1200" s="1" t="str">
        <f aca="false">TEXT(B1200,"MMM YYYY")</f>
        <v>May 2026</v>
      </c>
    </row>
    <row r="1201" customFormat="false" ht="13.8" hidden="false" customHeight="false" outlineLevel="0" collapsed="false">
      <c r="A1201" s="4" t="s">
        <v>2468</v>
      </c>
      <c r="B1201" s="4" t="s">
        <v>2469</v>
      </c>
      <c r="C1201" s="4" t="s">
        <v>29</v>
      </c>
      <c r="D1201" s="4" t="s">
        <v>18</v>
      </c>
      <c r="E1201" s="4"/>
      <c r="F1201" s="4" t="n">
        <v>10</v>
      </c>
      <c r="G1201" s="4" t="n">
        <v>390.78</v>
      </c>
      <c r="L1201" s="1" t="str">
        <f aca="false">IF(ISNUMBER(SEARCH("Bundle",C1201)),"Bundles",IF(ISNUMBER(SEARCH("Airtime",C1201)),"Bundles",IF(ISNUMBER(SEARCH("Merchant",C1201)),"Merchant Payment",IF(ISNUMBER(SEARCH("Offnet C2B",C1201)),"Merchant Payment",IF(ISNUMBER(SEARCH("Offnet B2C",C1201)),"Merchant Payment",IF(ISNUMBER(SEARCH("Customer Payment to Small",C1201)),"Merchant Payment",IF(ISNUMBER(SEARCH("Payment to Small Business",C1201)),"Merchant Payment",IF(ISNUMBER(SEARCH("Sent to",C1201)),"Sent to Person",IF(ISNUMBER(SEARCH("Customer Transfer to",C1201)),"Sent to Person",IF(ISNUMBER(SEARCH("Business Payment",C1201)),"Money In",IF(ISNUMBER(SEARCH("Funds Received",C1201)),"Money In",IF(ISNUMBER(SEARCH("Receive International",C1201)),"Money In",IF(ISNUMBER(SEARCH("Send Money Reversal",C1201)),"Money In",IF(ISNUMBER(SEARCH("Pay Utility Reversal",C1201)),"Money In",IF(ISNUMBER(SEARCH("Customer Transfer",C1201)),"Money In",IF(ISNUMBER(SEARCH("Ziidi",C1201)),"Investment",IF(ISNUMBER(SEARCH("Nabo",C1201)),"Investment",IF(ISNUMBER(SEARCH("Paybill Online",C1201)),"Pay Bill",IF(ISNUMBER(SEARCH("Pay Bill",C1201)),"Pay Bill",IF(ISNUMBER(SEARCH("Spotify",C1201)),"Pay Bill",IF(ISNUMBER(SEARCH("M-Shwari",C1201)),"Mshwari",IF(ISNUMBER(SEARCH("Mshwari",C1201)),"Mshwari",IF(ISNUMBER(SEARCH("Withdrawal charge",C1201)),"Fees",IF(ISNUMBER(SEARCH("Customer Withdrawal",C1201)),"Fees",IF(ISNUMBER(SEARCH("charge",C1201)),"Fees","Other")))))))))))))))))))))))))</f>
        <v>Bundles</v>
      </c>
      <c r="R1201" s="1" t="str">
        <f aca="false">TEXT(B1201,"MMM YYYY")</f>
        <v>May 2026</v>
      </c>
    </row>
    <row r="1202" customFormat="false" ht="13.8" hidden="false" customHeight="false" outlineLevel="0" collapsed="false">
      <c r="A1202" s="4" t="s">
        <v>2470</v>
      </c>
      <c r="B1202" s="4" t="s">
        <v>2471</v>
      </c>
      <c r="C1202" s="4" t="s">
        <v>29</v>
      </c>
      <c r="D1202" s="4" t="s">
        <v>18</v>
      </c>
      <c r="E1202" s="4"/>
      <c r="F1202" s="4" t="n">
        <v>10</v>
      </c>
      <c r="G1202" s="4" t="n">
        <v>380.78</v>
      </c>
      <c r="L1202" s="1" t="str">
        <f aca="false">IF(ISNUMBER(SEARCH("Bundle",C1202)),"Bundles",IF(ISNUMBER(SEARCH("Airtime",C1202)),"Bundles",IF(ISNUMBER(SEARCH("Merchant",C1202)),"Merchant Payment",IF(ISNUMBER(SEARCH("Offnet C2B",C1202)),"Merchant Payment",IF(ISNUMBER(SEARCH("Offnet B2C",C1202)),"Merchant Payment",IF(ISNUMBER(SEARCH("Customer Payment to Small",C1202)),"Merchant Payment",IF(ISNUMBER(SEARCH("Payment to Small Business",C1202)),"Merchant Payment",IF(ISNUMBER(SEARCH("Sent to",C1202)),"Sent to Person",IF(ISNUMBER(SEARCH("Customer Transfer to",C1202)),"Sent to Person",IF(ISNUMBER(SEARCH("Business Payment",C1202)),"Money In",IF(ISNUMBER(SEARCH("Funds Received",C1202)),"Money In",IF(ISNUMBER(SEARCH("Receive International",C1202)),"Money In",IF(ISNUMBER(SEARCH("Send Money Reversal",C1202)),"Money In",IF(ISNUMBER(SEARCH("Pay Utility Reversal",C1202)),"Money In",IF(ISNUMBER(SEARCH("Customer Transfer",C1202)),"Money In",IF(ISNUMBER(SEARCH("Ziidi",C1202)),"Investment",IF(ISNUMBER(SEARCH("Nabo",C1202)),"Investment",IF(ISNUMBER(SEARCH("Paybill Online",C1202)),"Pay Bill",IF(ISNUMBER(SEARCH("Pay Bill",C1202)),"Pay Bill",IF(ISNUMBER(SEARCH("Spotify",C1202)),"Pay Bill",IF(ISNUMBER(SEARCH("M-Shwari",C1202)),"Mshwari",IF(ISNUMBER(SEARCH("Mshwari",C1202)),"Mshwari",IF(ISNUMBER(SEARCH("Withdrawal charge",C1202)),"Fees",IF(ISNUMBER(SEARCH("Customer Withdrawal",C1202)),"Fees",IF(ISNUMBER(SEARCH("charge",C1202)),"Fees","Other")))))))))))))))))))))))))</f>
        <v>Bundles</v>
      </c>
      <c r="R1202" s="1" t="str">
        <f aca="false">TEXT(B1202,"MMM YYYY")</f>
        <v>May 2026</v>
      </c>
    </row>
    <row r="1203" customFormat="false" ht="13.8" hidden="false" customHeight="false" outlineLevel="0" collapsed="false">
      <c r="A1203" s="4" t="s">
        <v>2472</v>
      </c>
      <c r="B1203" s="4" t="s">
        <v>2473</v>
      </c>
      <c r="C1203" s="4" t="s">
        <v>29</v>
      </c>
      <c r="D1203" s="4" t="s">
        <v>18</v>
      </c>
      <c r="E1203" s="4"/>
      <c r="F1203" s="4" t="n">
        <v>10</v>
      </c>
      <c r="G1203" s="4" t="n">
        <v>370.78</v>
      </c>
      <c r="L1203" s="1" t="str">
        <f aca="false">IF(ISNUMBER(SEARCH("Bundle",C1203)),"Bundles",IF(ISNUMBER(SEARCH("Airtime",C1203)),"Bundles",IF(ISNUMBER(SEARCH("Merchant",C1203)),"Merchant Payment",IF(ISNUMBER(SEARCH("Offnet C2B",C1203)),"Merchant Payment",IF(ISNUMBER(SEARCH("Offnet B2C",C1203)),"Merchant Payment",IF(ISNUMBER(SEARCH("Customer Payment to Small",C1203)),"Merchant Payment",IF(ISNUMBER(SEARCH("Payment to Small Business",C1203)),"Merchant Payment",IF(ISNUMBER(SEARCH("Sent to",C1203)),"Sent to Person",IF(ISNUMBER(SEARCH("Customer Transfer to",C1203)),"Sent to Person",IF(ISNUMBER(SEARCH("Business Payment",C1203)),"Money In",IF(ISNUMBER(SEARCH("Funds Received",C1203)),"Money In",IF(ISNUMBER(SEARCH("Receive International",C1203)),"Money In",IF(ISNUMBER(SEARCH("Send Money Reversal",C1203)),"Money In",IF(ISNUMBER(SEARCH("Pay Utility Reversal",C1203)),"Money In",IF(ISNUMBER(SEARCH("Customer Transfer",C1203)),"Money In",IF(ISNUMBER(SEARCH("Ziidi",C1203)),"Investment",IF(ISNUMBER(SEARCH("Nabo",C1203)),"Investment",IF(ISNUMBER(SEARCH("Paybill Online",C1203)),"Pay Bill",IF(ISNUMBER(SEARCH("Pay Bill",C1203)),"Pay Bill",IF(ISNUMBER(SEARCH("Spotify",C1203)),"Pay Bill",IF(ISNUMBER(SEARCH("M-Shwari",C1203)),"Mshwari",IF(ISNUMBER(SEARCH("Mshwari",C1203)),"Mshwari",IF(ISNUMBER(SEARCH("Withdrawal charge",C1203)),"Fees",IF(ISNUMBER(SEARCH("Customer Withdrawal",C1203)),"Fees",IF(ISNUMBER(SEARCH("charge",C1203)),"Fees","Other")))))))))))))))))))))))))</f>
        <v>Bundles</v>
      </c>
      <c r="R1203" s="1" t="str">
        <f aca="false">TEXT(B1203,"MMM YYYY")</f>
        <v>May 2026</v>
      </c>
    </row>
    <row r="1204" customFormat="false" ht="13.8" hidden="false" customHeight="false" outlineLevel="0" collapsed="false">
      <c r="A1204" s="4" t="s">
        <v>2474</v>
      </c>
      <c r="B1204" s="4" t="s">
        <v>2475</v>
      </c>
      <c r="C1204" s="4" t="s">
        <v>29</v>
      </c>
      <c r="D1204" s="4" t="s">
        <v>18</v>
      </c>
      <c r="E1204" s="4"/>
      <c r="F1204" s="4" t="n">
        <v>10</v>
      </c>
      <c r="G1204" s="4" t="n">
        <v>360.78</v>
      </c>
      <c r="L1204" s="1" t="str">
        <f aca="false">IF(ISNUMBER(SEARCH("Bundle",C1204)),"Bundles",IF(ISNUMBER(SEARCH("Airtime",C1204)),"Bundles",IF(ISNUMBER(SEARCH("Merchant",C1204)),"Merchant Payment",IF(ISNUMBER(SEARCH("Offnet C2B",C1204)),"Merchant Payment",IF(ISNUMBER(SEARCH("Offnet B2C",C1204)),"Merchant Payment",IF(ISNUMBER(SEARCH("Customer Payment to Small",C1204)),"Merchant Payment",IF(ISNUMBER(SEARCH("Payment to Small Business",C1204)),"Merchant Payment",IF(ISNUMBER(SEARCH("Sent to",C1204)),"Sent to Person",IF(ISNUMBER(SEARCH("Customer Transfer to",C1204)),"Sent to Person",IF(ISNUMBER(SEARCH("Business Payment",C1204)),"Money In",IF(ISNUMBER(SEARCH("Funds Received",C1204)),"Money In",IF(ISNUMBER(SEARCH("Receive International",C1204)),"Money In",IF(ISNUMBER(SEARCH("Send Money Reversal",C1204)),"Money In",IF(ISNUMBER(SEARCH("Pay Utility Reversal",C1204)),"Money In",IF(ISNUMBER(SEARCH("Customer Transfer",C1204)),"Money In",IF(ISNUMBER(SEARCH("Ziidi",C1204)),"Investment",IF(ISNUMBER(SEARCH("Nabo",C1204)),"Investment",IF(ISNUMBER(SEARCH("Paybill Online",C1204)),"Pay Bill",IF(ISNUMBER(SEARCH("Pay Bill",C1204)),"Pay Bill",IF(ISNUMBER(SEARCH("Spotify",C1204)),"Pay Bill",IF(ISNUMBER(SEARCH("M-Shwari",C1204)),"Mshwari",IF(ISNUMBER(SEARCH("Mshwari",C1204)),"Mshwari",IF(ISNUMBER(SEARCH("Withdrawal charge",C1204)),"Fees",IF(ISNUMBER(SEARCH("Customer Withdrawal",C1204)),"Fees",IF(ISNUMBER(SEARCH("charge",C1204)),"Fees","Other")))))))))))))))))))))))))</f>
        <v>Bundles</v>
      </c>
      <c r="R1204" s="1" t="str">
        <f aca="false">TEXT(B1204,"MMM YYYY")</f>
        <v>May 2026</v>
      </c>
    </row>
    <row r="1205" customFormat="false" ht="13.8" hidden="false" customHeight="false" outlineLevel="0" collapsed="false">
      <c r="A1205" s="4" t="s">
        <v>2476</v>
      </c>
      <c r="B1205" s="4" t="s">
        <v>2477</v>
      </c>
      <c r="C1205" s="4" t="s">
        <v>29</v>
      </c>
      <c r="D1205" s="4" t="s">
        <v>18</v>
      </c>
      <c r="E1205" s="4"/>
      <c r="F1205" s="4" t="n">
        <v>10</v>
      </c>
      <c r="G1205" s="4" t="n">
        <v>350.78</v>
      </c>
      <c r="L1205" s="1" t="str">
        <f aca="false">IF(ISNUMBER(SEARCH("Bundle",C1205)),"Bundles",IF(ISNUMBER(SEARCH("Airtime",C1205)),"Bundles",IF(ISNUMBER(SEARCH("Merchant",C1205)),"Merchant Payment",IF(ISNUMBER(SEARCH("Offnet C2B",C1205)),"Merchant Payment",IF(ISNUMBER(SEARCH("Offnet B2C",C1205)),"Merchant Payment",IF(ISNUMBER(SEARCH("Customer Payment to Small",C1205)),"Merchant Payment",IF(ISNUMBER(SEARCH("Payment to Small Business",C1205)),"Merchant Payment",IF(ISNUMBER(SEARCH("Sent to",C1205)),"Sent to Person",IF(ISNUMBER(SEARCH("Customer Transfer to",C1205)),"Sent to Person",IF(ISNUMBER(SEARCH("Business Payment",C1205)),"Money In",IF(ISNUMBER(SEARCH("Funds Received",C1205)),"Money In",IF(ISNUMBER(SEARCH("Receive International",C1205)),"Money In",IF(ISNUMBER(SEARCH("Send Money Reversal",C1205)),"Money In",IF(ISNUMBER(SEARCH("Pay Utility Reversal",C1205)),"Money In",IF(ISNUMBER(SEARCH("Customer Transfer",C1205)),"Money In",IF(ISNUMBER(SEARCH("Ziidi",C1205)),"Investment",IF(ISNUMBER(SEARCH("Nabo",C1205)),"Investment",IF(ISNUMBER(SEARCH("Paybill Online",C1205)),"Pay Bill",IF(ISNUMBER(SEARCH("Pay Bill",C1205)),"Pay Bill",IF(ISNUMBER(SEARCH("Spotify",C1205)),"Pay Bill",IF(ISNUMBER(SEARCH("M-Shwari",C1205)),"Mshwari",IF(ISNUMBER(SEARCH("Mshwari",C1205)),"Mshwari",IF(ISNUMBER(SEARCH("Withdrawal charge",C1205)),"Fees",IF(ISNUMBER(SEARCH("Customer Withdrawal",C1205)),"Fees",IF(ISNUMBER(SEARCH("charge",C1205)),"Fees","Other")))))))))))))))))))))))))</f>
        <v>Bundles</v>
      </c>
      <c r="R1205" s="1" t="str">
        <f aca="false">TEXT(B1205,"MMM YYYY")</f>
        <v>May 2026</v>
      </c>
    </row>
    <row r="1206" customFormat="false" ht="13.8" hidden="false" customHeight="false" outlineLevel="0" collapsed="false">
      <c r="A1206" s="4" t="s">
        <v>2478</v>
      </c>
      <c r="B1206" s="4" t="s">
        <v>2479</v>
      </c>
      <c r="C1206" s="4" t="s">
        <v>29</v>
      </c>
      <c r="D1206" s="4" t="s">
        <v>18</v>
      </c>
      <c r="E1206" s="4"/>
      <c r="F1206" s="4" t="n">
        <v>10</v>
      </c>
      <c r="G1206" s="4" t="n">
        <v>340.78</v>
      </c>
      <c r="L1206" s="1" t="str">
        <f aca="false">IF(ISNUMBER(SEARCH("Bundle",C1206)),"Bundles",IF(ISNUMBER(SEARCH("Airtime",C1206)),"Bundles",IF(ISNUMBER(SEARCH("Merchant",C1206)),"Merchant Payment",IF(ISNUMBER(SEARCH("Offnet C2B",C1206)),"Merchant Payment",IF(ISNUMBER(SEARCH("Offnet B2C",C1206)),"Merchant Payment",IF(ISNUMBER(SEARCH("Customer Payment to Small",C1206)),"Merchant Payment",IF(ISNUMBER(SEARCH("Payment to Small Business",C1206)),"Merchant Payment",IF(ISNUMBER(SEARCH("Sent to",C1206)),"Sent to Person",IF(ISNUMBER(SEARCH("Customer Transfer to",C1206)),"Sent to Person",IF(ISNUMBER(SEARCH("Business Payment",C1206)),"Money In",IF(ISNUMBER(SEARCH("Funds Received",C1206)),"Money In",IF(ISNUMBER(SEARCH("Receive International",C1206)),"Money In",IF(ISNUMBER(SEARCH("Send Money Reversal",C1206)),"Money In",IF(ISNUMBER(SEARCH("Pay Utility Reversal",C1206)),"Money In",IF(ISNUMBER(SEARCH("Customer Transfer",C1206)),"Money In",IF(ISNUMBER(SEARCH("Ziidi",C1206)),"Investment",IF(ISNUMBER(SEARCH("Nabo",C1206)),"Investment",IF(ISNUMBER(SEARCH("Paybill Online",C1206)),"Pay Bill",IF(ISNUMBER(SEARCH("Pay Bill",C1206)),"Pay Bill",IF(ISNUMBER(SEARCH("Spotify",C1206)),"Pay Bill",IF(ISNUMBER(SEARCH("M-Shwari",C1206)),"Mshwari",IF(ISNUMBER(SEARCH("Mshwari",C1206)),"Mshwari",IF(ISNUMBER(SEARCH("Withdrawal charge",C1206)),"Fees",IF(ISNUMBER(SEARCH("Customer Withdrawal",C1206)),"Fees",IF(ISNUMBER(SEARCH("charge",C1206)),"Fees","Other")))))))))))))))))))))))))</f>
        <v>Bundles</v>
      </c>
      <c r="R1206" s="1" t="str">
        <f aca="false">TEXT(B1206,"MMM YYYY")</f>
        <v>May 2026</v>
      </c>
    </row>
    <row r="1207" customFormat="false" ht="13.8" hidden="false" customHeight="false" outlineLevel="0" collapsed="false">
      <c r="A1207" s="4" t="s">
        <v>2480</v>
      </c>
      <c r="B1207" s="4" t="s">
        <v>2481</v>
      </c>
      <c r="C1207" s="4" t="s">
        <v>29</v>
      </c>
      <c r="D1207" s="4" t="s">
        <v>18</v>
      </c>
      <c r="E1207" s="4"/>
      <c r="F1207" s="4" t="n">
        <v>10</v>
      </c>
      <c r="G1207" s="4" t="n">
        <v>330.78</v>
      </c>
      <c r="L1207" s="1" t="str">
        <f aca="false">IF(ISNUMBER(SEARCH("Bundle",C1207)),"Bundles",IF(ISNUMBER(SEARCH("Airtime",C1207)),"Bundles",IF(ISNUMBER(SEARCH("Merchant",C1207)),"Merchant Payment",IF(ISNUMBER(SEARCH("Offnet C2B",C1207)),"Merchant Payment",IF(ISNUMBER(SEARCH("Offnet B2C",C1207)),"Merchant Payment",IF(ISNUMBER(SEARCH("Customer Payment to Small",C1207)),"Merchant Payment",IF(ISNUMBER(SEARCH("Payment to Small Business",C1207)),"Merchant Payment",IF(ISNUMBER(SEARCH("Sent to",C1207)),"Sent to Person",IF(ISNUMBER(SEARCH("Customer Transfer to",C1207)),"Sent to Person",IF(ISNUMBER(SEARCH("Business Payment",C1207)),"Money In",IF(ISNUMBER(SEARCH("Funds Received",C1207)),"Money In",IF(ISNUMBER(SEARCH("Receive International",C1207)),"Money In",IF(ISNUMBER(SEARCH("Send Money Reversal",C1207)),"Money In",IF(ISNUMBER(SEARCH("Pay Utility Reversal",C1207)),"Money In",IF(ISNUMBER(SEARCH("Customer Transfer",C1207)),"Money In",IF(ISNUMBER(SEARCH("Ziidi",C1207)),"Investment",IF(ISNUMBER(SEARCH("Nabo",C1207)),"Investment",IF(ISNUMBER(SEARCH("Paybill Online",C1207)),"Pay Bill",IF(ISNUMBER(SEARCH("Pay Bill",C1207)),"Pay Bill",IF(ISNUMBER(SEARCH("Spotify",C1207)),"Pay Bill",IF(ISNUMBER(SEARCH("M-Shwari",C1207)),"Mshwari",IF(ISNUMBER(SEARCH("Mshwari",C1207)),"Mshwari",IF(ISNUMBER(SEARCH("Withdrawal charge",C1207)),"Fees",IF(ISNUMBER(SEARCH("Customer Withdrawal",C1207)),"Fees",IF(ISNUMBER(SEARCH("charge",C1207)),"Fees","Other")))))))))))))))))))))))))</f>
        <v>Bundles</v>
      </c>
      <c r="R1207" s="1" t="str">
        <f aca="false">TEXT(B1207,"MMM YYYY")</f>
        <v>May 2026</v>
      </c>
    </row>
    <row r="1208" customFormat="false" ht="13.8" hidden="false" customHeight="false" outlineLevel="0" collapsed="false">
      <c r="A1208" s="4" t="s">
        <v>2482</v>
      </c>
      <c r="B1208" s="4" t="s">
        <v>2483</v>
      </c>
      <c r="C1208" s="4" t="s">
        <v>29</v>
      </c>
      <c r="D1208" s="4" t="s">
        <v>18</v>
      </c>
      <c r="E1208" s="4"/>
      <c r="F1208" s="4" t="n">
        <v>10</v>
      </c>
      <c r="G1208" s="4" t="n">
        <v>320.78</v>
      </c>
      <c r="L1208" s="1" t="str">
        <f aca="false">IF(ISNUMBER(SEARCH("Bundle",C1208)),"Bundles",IF(ISNUMBER(SEARCH("Airtime",C1208)),"Bundles",IF(ISNUMBER(SEARCH("Merchant",C1208)),"Merchant Payment",IF(ISNUMBER(SEARCH("Offnet C2B",C1208)),"Merchant Payment",IF(ISNUMBER(SEARCH("Offnet B2C",C1208)),"Merchant Payment",IF(ISNUMBER(SEARCH("Customer Payment to Small",C1208)),"Merchant Payment",IF(ISNUMBER(SEARCH("Payment to Small Business",C1208)),"Merchant Payment",IF(ISNUMBER(SEARCH("Sent to",C1208)),"Sent to Person",IF(ISNUMBER(SEARCH("Customer Transfer to",C1208)),"Sent to Person",IF(ISNUMBER(SEARCH("Business Payment",C1208)),"Money In",IF(ISNUMBER(SEARCH("Funds Received",C1208)),"Money In",IF(ISNUMBER(SEARCH("Receive International",C1208)),"Money In",IF(ISNUMBER(SEARCH("Send Money Reversal",C1208)),"Money In",IF(ISNUMBER(SEARCH("Pay Utility Reversal",C1208)),"Money In",IF(ISNUMBER(SEARCH("Customer Transfer",C1208)),"Money In",IF(ISNUMBER(SEARCH("Ziidi",C1208)),"Investment",IF(ISNUMBER(SEARCH("Nabo",C1208)),"Investment",IF(ISNUMBER(SEARCH("Paybill Online",C1208)),"Pay Bill",IF(ISNUMBER(SEARCH("Pay Bill",C1208)),"Pay Bill",IF(ISNUMBER(SEARCH("Spotify",C1208)),"Pay Bill",IF(ISNUMBER(SEARCH("M-Shwari",C1208)),"Mshwari",IF(ISNUMBER(SEARCH("Mshwari",C1208)),"Mshwari",IF(ISNUMBER(SEARCH("Withdrawal charge",C1208)),"Fees",IF(ISNUMBER(SEARCH("Customer Withdrawal",C1208)),"Fees",IF(ISNUMBER(SEARCH("charge",C1208)),"Fees","Other")))))))))))))))))))))))))</f>
        <v>Bundles</v>
      </c>
      <c r="R1208" s="1" t="str">
        <f aca="false">TEXT(B1208,"MMM YYYY")</f>
        <v>May 2026</v>
      </c>
    </row>
    <row r="1209" customFormat="false" ht="13.8" hidden="false" customHeight="false" outlineLevel="0" collapsed="false">
      <c r="A1209" s="4" t="s">
        <v>2484</v>
      </c>
      <c r="B1209" s="4" t="s">
        <v>2485</v>
      </c>
      <c r="C1209" s="4" t="s">
        <v>29</v>
      </c>
      <c r="D1209" s="4" t="s">
        <v>18</v>
      </c>
      <c r="E1209" s="4"/>
      <c r="F1209" s="4" t="n">
        <v>20</v>
      </c>
      <c r="G1209" s="4" t="n">
        <v>300.78</v>
      </c>
      <c r="L1209" s="1" t="str">
        <f aca="false">IF(ISNUMBER(SEARCH("Bundle",C1209)),"Bundles",IF(ISNUMBER(SEARCH("Airtime",C1209)),"Bundles",IF(ISNUMBER(SEARCH("Merchant",C1209)),"Merchant Payment",IF(ISNUMBER(SEARCH("Offnet C2B",C1209)),"Merchant Payment",IF(ISNUMBER(SEARCH("Offnet B2C",C1209)),"Merchant Payment",IF(ISNUMBER(SEARCH("Customer Payment to Small",C1209)),"Merchant Payment",IF(ISNUMBER(SEARCH("Payment to Small Business",C1209)),"Merchant Payment",IF(ISNUMBER(SEARCH("Sent to",C1209)),"Sent to Person",IF(ISNUMBER(SEARCH("Customer Transfer to",C1209)),"Sent to Person",IF(ISNUMBER(SEARCH("Business Payment",C1209)),"Money In",IF(ISNUMBER(SEARCH("Funds Received",C1209)),"Money In",IF(ISNUMBER(SEARCH("Receive International",C1209)),"Money In",IF(ISNUMBER(SEARCH("Send Money Reversal",C1209)),"Money In",IF(ISNUMBER(SEARCH("Pay Utility Reversal",C1209)),"Money In",IF(ISNUMBER(SEARCH("Customer Transfer",C1209)),"Money In",IF(ISNUMBER(SEARCH("Ziidi",C1209)),"Investment",IF(ISNUMBER(SEARCH("Nabo",C1209)),"Investment",IF(ISNUMBER(SEARCH("Paybill Online",C1209)),"Pay Bill",IF(ISNUMBER(SEARCH("Pay Bill",C1209)),"Pay Bill",IF(ISNUMBER(SEARCH("Spotify",C1209)),"Pay Bill",IF(ISNUMBER(SEARCH("M-Shwari",C1209)),"Mshwari",IF(ISNUMBER(SEARCH("Mshwari",C1209)),"Mshwari",IF(ISNUMBER(SEARCH("Withdrawal charge",C1209)),"Fees",IF(ISNUMBER(SEARCH("Customer Withdrawal",C1209)),"Fees",IF(ISNUMBER(SEARCH("charge",C1209)),"Fees","Other")))))))))))))))))))))))))</f>
        <v>Bundles</v>
      </c>
      <c r="R1209" s="1" t="str">
        <f aca="false">TEXT(B1209,"MMM YYYY")</f>
        <v>May 2026</v>
      </c>
    </row>
    <row r="1210" customFormat="false" ht="13.8" hidden="false" customHeight="false" outlineLevel="0" collapsed="false">
      <c r="A1210" s="4" t="s">
        <v>2486</v>
      </c>
      <c r="B1210" s="4" t="s">
        <v>2487</v>
      </c>
      <c r="C1210" s="4" t="s">
        <v>29</v>
      </c>
      <c r="D1210" s="4" t="s">
        <v>18</v>
      </c>
      <c r="E1210" s="4"/>
      <c r="F1210" s="4" t="n">
        <v>20</v>
      </c>
      <c r="G1210" s="4" t="n">
        <v>280.78</v>
      </c>
      <c r="L1210" s="1" t="str">
        <f aca="false">IF(ISNUMBER(SEARCH("Bundle",C1210)),"Bundles",IF(ISNUMBER(SEARCH("Airtime",C1210)),"Bundles",IF(ISNUMBER(SEARCH("Merchant",C1210)),"Merchant Payment",IF(ISNUMBER(SEARCH("Offnet C2B",C1210)),"Merchant Payment",IF(ISNUMBER(SEARCH("Offnet B2C",C1210)),"Merchant Payment",IF(ISNUMBER(SEARCH("Customer Payment to Small",C1210)),"Merchant Payment",IF(ISNUMBER(SEARCH("Payment to Small Business",C1210)),"Merchant Payment",IF(ISNUMBER(SEARCH("Sent to",C1210)),"Sent to Person",IF(ISNUMBER(SEARCH("Customer Transfer to",C1210)),"Sent to Person",IF(ISNUMBER(SEARCH("Business Payment",C1210)),"Money In",IF(ISNUMBER(SEARCH("Funds Received",C1210)),"Money In",IF(ISNUMBER(SEARCH("Receive International",C1210)),"Money In",IF(ISNUMBER(SEARCH("Send Money Reversal",C1210)),"Money In",IF(ISNUMBER(SEARCH("Pay Utility Reversal",C1210)),"Money In",IF(ISNUMBER(SEARCH("Customer Transfer",C1210)),"Money In",IF(ISNUMBER(SEARCH("Ziidi",C1210)),"Investment",IF(ISNUMBER(SEARCH("Nabo",C1210)),"Investment",IF(ISNUMBER(SEARCH("Paybill Online",C1210)),"Pay Bill",IF(ISNUMBER(SEARCH("Pay Bill",C1210)),"Pay Bill",IF(ISNUMBER(SEARCH("Spotify",C1210)),"Pay Bill",IF(ISNUMBER(SEARCH("M-Shwari",C1210)),"Mshwari",IF(ISNUMBER(SEARCH("Mshwari",C1210)),"Mshwari",IF(ISNUMBER(SEARCH("Withdrawal charge",C1210)),"Fees",IF(ISNUMBER(SEARCH("Customer Withdrawal",C1210)),"Fees",IF(ISNUMBER(SEARCH("charge",C1210)),"Fees","Other")))))))))))))))))))))))))</f>
        <v>Bundles</v>
      </c>
      <c r="R1210" s="1" t="str">
        <f aca="false">TEXT(B1210,"MMM YYYY")</f>
        <v>May 2026</v>
      </c>
    </row>
    <row r="1211" customFormat="false" ht="13.8" hidden="false" customHeight="false" outlineLevel="0" collapsed="false">
      <c r="A1211" s="4" t="s">
        <v>2488</v>
      </c>
      <c r="B1211" s="4" t="s">
        <v>2489</v>
      </c>
      <c r="C1211" s="4" t="s">
        <v>29</v>
      </c>
      <c r="D1211" s="4" t="s">
        <v>18</v>
      </c>
      <c r="E1211" s="4"/>
      <c r="F1211" s="4" t="n">
        <v>10</v>
      </c>
      <c r="G1211" s="4" t="n">
        <v>270.78</v>
      </c>
      <c r="L1211" s="1" t="str">
        <f aca="false">IF(ISNUMBER(SEARCH("Bundle",C1211)),"Bundles",IF(ISNUMBER(SEARCH("Airtime",C1211)),"Bundles",IF(ISNUMBER(SEARCH("Merchant",C1211)),"Merchant Payment",IF(ISNUMBER(SEARCH("Offnet C2B",C1211)),"Merchant Payment",IF(ISNUMBER(SEARCH("Offnet B2C",C1211)),"Merchant Payment",IF(ISNUMBER(SEARCH("Customer Payment to Small",C1211)),"Merchant Payment",IF(ISNUMBER(SEARCH("Payment to Small Business",C1211)),"Merchant Payment",IF(ISNUMBER(SEARCH("Sent to",C1211)),"Sent to Person",IF(ISNUMBER(SEARCH("Customer Transfer to",C1211)),"Sent to Person",IF(ISNUMBER(SEARCH("Business Payment",C1211)),"Money In",IF(ISNUMBER(SEARCH("Funds Received",C1211)),"Money In",IF(ISNUMBER(SEARCH("Receive International",C1211)),"Money In",IF(ISNUMBER(SEARCH("Send Money Reversal",C1211)),"Money In",IF(ISNUMBER(SEARCH("Pay Utility Reversal",C1211)),"Money In",IF(ISNUMBER(SEARCH("Customer Transfer",C1211)),"Money In",IF(ISNUMBER(SEARCH("Ziidi",C1211)),"Investment",IF(ISNUMBER(SEARCH("Nabo",C1211)),"Investment",IF(ISNUMBER(SEARCH("Paybill Online",C1211)),"Pay Bill",IF(ISNUMBER(SEARCH("Pay Bill",C1211)),"Pay Bill",IF(ISNUMBER(SEARCH("Spotify",C1211)),"Pay Bill",IF(ISNUMBER(SEARCH("M-Shwari",C1211)),"Mshwari",IF(ISNUMBER(SEARCH("Mshwari",C1211)),"Mshwari",IF(ISNUMBER(SEARCH("Withdrawal charge",C1211)),"Fees",IF(ISNUMBER(SEARCH("Customer Withdrawal",C1211)),"Fees",IF(ISNUMBER(SEARCH("charge",C1211)),"Fees","Other")))))))))))))))))))))))))</f>
        <v>Bundles</v>
      </c>
      <c r="R1211" s="1" t="str">
        <f aca="false">TEXT(B1211,"MMM YYYY")</f>
        <v>May 2026</v>
      </c>
    </row>
    <row r="1212" customFormat="false" ht="13.8" hidden="false" customHeight="false" outlineLevel="0" collapsed="false">
      <c r="A1212" s="4" t="s">
        <v>2490</v>
      </c>
      <c r="B1212" s="4" t="s">
        <v>2491</v>
      </c>
      <c r="C1212" s="4" t="s">
        <v>29</v>
      </c>
      <c r="D1212" s="4" t="s">
        <v>18</v>
      </c>
      <c r="E1212" s="4"/>
      <c r="F1212" s="4" t="n">
        <v>10</v>
      </c>
      <c r="G1212" s="4" t="n">
        <v>260.78</v>
      </c>
      <c r="L1212" s="1" t="str">
        <f aca="false">IF(ISNUMBER(SEARCH("Bundle",C1212)),"Bundles",IF(ISNUMBER(SEARCH("Airtime",C1212)),"Bundles",IF(ISNUMBER(SEARCH("Merchant",C1212)),"Merchant Payment",IF(ISNUMBER(SEARCH("Offnet C2B",C1212)),"Merchant Payment",IF(ISNUMBER(SEARCH("Offnet B2C",C1212)),"Merchant Payment",IF(ISNUMBER(SEARCH("Customer Payment to Small",C1212)),"Merchant Payment",IF(ISNUMBER(SEARCH("Payment to Small Business",C1212)),"Merchant Payment",IF(ISNUMBER(SEARCH("Sent to",C1212)),"Sent to Person",IF(ISNUMBER(SEARCH("Customer Transfer to",C1212)),"Sent to Person",IF(ISNUMBER(SEARCH("Business Payment",C1212)),"Money In",IF(ISNUMBER(SEARCH("Funds Received",C1212)),"Money In",IF(ISNUMBER(SEARCH("Receive International",C1212)),"Money In",IF(ISNUMBER(SEARCH("Send Money Reversal",C1212)),"Money In",IF(ISNUMBER(SEARCH("Pay Utility Reversal",C1212)),"Money In",IF(ISNUMBER(SEARCH("Customer Transfer",C1212)),"Money In",IF(ISNUMBER(SEARCH("Ziidi",C1212)),"Investment",IF(ISNUMBER(SEARCH("Nabo",C1212)),"Investment",IF(ISNUMBER(SEARCH("Paybill Online",C1212)),"Pay Bill",IF(ISNUMBER(SEARCH("Pay Bill",C1212)),"Pay Bill",IF(ISNUMBER(SEARCH("Spotify",C1212)),"Pay Bill",IF(ISNUMBER(SEARCH("M-Shwari",C1212)),"Mshwari",IF(ISNUMBER(SEARCH("Mshwari",C1212)),"Mshwari",IF(ISNUMBER(SEARCH("Withdrawal charge",C1212)),"Fees",IF(ISNUMBER(SEARCH("Customer Withdrawal",C1212)),"Fees",IF(ISNUMBER(SEARCH("charge",C1212)),"Fees","Other")))))))))))))))))))))))))</f>
        <v>Bundles</v>
      </c>
      <c r="R1212" s="1" t="str">
        <f aca="false">TEXT(B1212,"MMM YYYY")</f>
        <v>May 2026</v>
      </c>
    </row>
    <row r="1213" customFormat="false" ht="13.8" hidden="false" customHeight="false" outlineLevel="0" collapsed="false">
      <c r="A1213" s="4" t="s">
        <v>2492</v>
      </c>
      <c r="B1213" s="4" t="s">
        <v>2493</v>
      </c>
      <c r="C1213" s="4" t="s">
        <v>29</v>
      </c>
      <c r="D1213" s="4" t="s">
        <v>18</v>
      </c>
      <c r="E1213" s="4"/>
      <c r="F1213" s="4" t="n">
        <v>20</v>
      </c>
      <c r="G1213" s="4" t="n">
        <v>240.78</v>
      </c>
      <c r="L1213" s="1" t="str">
        <f aca="false">IF(ISNUMBER(SEARCH("Bundle",C1213)),"Bundles",IF(ISNUMBER(SEARCH("Airtime",C1213)),"Bundles",IF(ISNUMBER(SEARCH("Merchant",C1213)),"Merchant Payment",IF(ISNUMBER(SEARCH("Offnet C2B",C1213)),"Merchant Payment",IF(ISNUMBER(SEARCH("Offnet B2C",C1213)),"Merchant Payment",IF(ISNUMBER(SEARCH("Customer Payment to Small",C1213)),"Merchant Payment",IF(ISNUMBER(SEARCH("Payment to Small Business",C1213)),"Merchant Payment",IF(ISNUMBER(SEARCH("Sent to",C1213)),"Sent to Person",IF(ISNUMBER(SEARCH("Customer Transfer to",C1213)),"Sent to Person",IF(ISNUMBER(SEARCH("Business Payment",C1213)),"Money In",IF(ISNUMBER(SEARCH("Funds Received",C1213)),"Money In",IF(ISNUMBER(SEARCH("Receive International",C1213)),"Money In",IF(ISNUMBER(SEARCH("Send Money Reversal",C1213)),"Money In",IF(ISNUMBER(SEARCH("Pay Utility Reversal",C1213)),"Money In",IF(ISNUMBER(SEARCH("Customer Transfer",C1213)),"Money In",IF(ISNUMBER(SEARCH("Ziidi",C1213)),"Investment",IF(ISNUMBER(SEARCH("Nabo",C1213)),"Investment",IF(ISNUMBER(SEARCH("Paybill Online",C1213)),"Pay Bill",IF(ISNUMBER(SEARCH("Pay Bill",C1213)),"Pay Bill",IF(ISNUMBER(SEARCH("Spotify",C1213)),"Pay Bill",IF(ISNUMBER(SEARCH("M-Shwari",C1213)),"Mshwari",IF(ISNUMBER(SEARCH("Mshwari",C1213)),"Mshwari",IF(ISNUMBER(SEARCH("Withdrawal charge",C1213)),"Fees",IF(ISNUMBER(SEARCH("Customer Withdrawal",C1213)),"Fees",IF(ISNUMBER(SEARCH("charge",C1213)),"Fees","Other")))))))))))))))))))))))))</f>
        <v>Bundles</v>
      </c>
      <c r="R1213" s="1" t="str">
        <f aca="false">TEXT(B1213,"MMM YYYY")</f>
        <v>May 2026</v>
      </c>
    </row>
    <row r="1214" customFormat="false" ht="13.8" hidden="false" customHeight="false" outlineLevel="0" collapsed="false">
      <c r="A1214" s="4" t="s">
        <v>2494</v>
      </c>
      <c r="B1214" s="4" t="s">
        <v>2495</v>
      </c>
      <c r="C1214" s="4" t="s">
        <v>29</v>
      </c>
      <c r="D1214" s="4" t="s">
        <v>18</v>
      </c>
      <c r="E1214" s="4"/>
      <c r="F1214" s="4" t="n">
        <v>20</v>
      </c>
      <c r="G1214" s="4" t="n">
        <v>220.78</v>
      </c>
      <c r="L1214" s="1" t="str">
        <f aca="false">IF(ISNUMBER(SEARCH("Bundle",C1214)),"Bundles",IF(ISNUMBER(SEARCH("Airtime",C1214)),"Bundles",IF(ISNUMBER(SEARCH("Merchant",C1214)),"Merchant Payment",IF(ISNUMBER(SEARCH("Offnet C2B",C1214)),"Merchant Payment",IF(ISNUMBER(SEARCH("Offnet B2C",C1214)),"Merchant Payment",IF(ISNUMBER(SEARCH("Customer Payment to Small",C1214)),"Merchant Payment",IF(ISNUMBER(SEARCH("Payment to Small Business",C1214)),"Merchant Payment",IF(ISNUMBER(SEARCH("Sent to",C1214)),"Sent to Person",IF(ISNUMBER(SEARCH("Customer Transfer to",C1214)),"Sent to Person",IF(ISNUMBER(SEARCH("Business Payment",C1214)),"Money In",IF(ISNUMBER(SEARCH("Funds Received",C1214)),"Money In",IF(ISNUMBER(SEARCH("Receive International",C1214)),"Money In",IF(ISNUMBER(SEARCH("Send Money Reversal",C1214)),"Money In",IF(ISNUMBER(SEARCH("Pay Utility Reversal",C1214)),"Money In",IF(ISNUMBER(SEARCH("Customer Transfer",C1214)),"Money In",IF(ISNUMBER(SEARCH("Ziidi",C1214)),"Investment",IF(ISNUMBER(SEARCH("Nabo",C1214)),"Investment",IF(ISNUMBER(SEARCH("Paybill Online",C1214)),"Pay Bill",IF(ISNUMBER(SEARCH("Pay Bill",C1214)),"Pay Bill",IF(ISNUMBER(SEARCH("Spotify",C1214)),"Pay Bill",IF(ISNUMBER(SEARCH("M-Shwari",C1214)),"Mshwari",IF(ISNUMBER(SEARCH("Mshwari",C1214)),"Mshwari",IF(ISNUMBER(SEARCH("Withdrawal charge",C1214)),"Fees",IF(ISNUMBER(SEARCH("Customer Withdrawal",C1214)),"Fees",IF(ISNUMBER(SEARCH("charge",C1214)),"Fees","Other")))))))))))))))))))))))))</f>
        <v>Bundles</v>
      </c>
      <c r="R1214" s="1" t="str">
        <f aca="false">TEXT(B1214,"MMM YYYY")</f>
        <v>May 2026</v>
      </c>
    </row>
    <row r="1215" customFormat="false" ht="13.8" hidden="false" customHeight="false" outlineLevel="0" collapsed="false">
      <c r="A1215" s="4" t="s">
        <v>2496</v>
      </c>
      <c r="B1215" s="4" t="s">
        <v>2497</v>
      </c>
      <c r="C1215" s="4" t="s">
        <v>29</v>
      </c>
      <c r="D1215" s="4" t="s">
        <v>18</v>
      </c>
      <c r="E1215" s="4"/>
      <c r="F1215" s="4" t="n">
        <v>10</v>
      </c>
      <c r="G1215" s="4" t="n">
        <v>210.78</v>
      </c>
      <c r="L1215" s="1" t="str">
        <f aca="false">IF(ISNUMBER(SEARCH("Bundle",C1215)),"Bundles",IF(ISNUMBER(SEARCH("Airtime",C1215)),"Bundles",IF(ISNUMBER(SEARCH("Merchant",C1215)),"Merchant Payment",IF(ISNUMBER(SEARCH("Offnet C2B",C1215)),"Merchant Payment",IF(ISNUMBER(SEARCH("Offnet B2C",C1215)),"Merchant Payment",IF(ISNUMBER(SEARCH("Customer Payment to Small",C1215)),"Merchant Payment",IF(ISNUMBER(SEARCH("Payment to Small Business",C1215)),"Merchant Payment",IF(ISNUMBER(SEARCH("Sent to",C1215)),"Sent to Person",IF(ISNUMBER(SEARCH("Customer Transfer to",C1215)),"Sent to Person",IF(ISNUMBER(SEARCH("Business Payment",C1215)),"Money In",IF(ISNUMBER(SEARCH("Funds Received",C1215)),"Money In",IF(ISNUMBER(SEARCH("Receive International",C1215)),"Money In",IF(ISNUMBER(SEARCH("Send Money Reversal",C1215)),"Money In",IF(ISNUMBER(SEARCH("Pay Utility Reversal",C1215)),"Money In",IF(ISNUMBER(SEARCH("Customer Transfer",C1215)),"Money In",IF(ISNUMBER(SEARCH("Ziidi",C1215)),"Investment",IF(ISNUMBER(SEARCH("Nabo",C1215)),"Investment",IF(ISNUMBER(SEARCH("Paybill Online",C1215)),"Pay Bill",IF(ISNUMBER(SEARCH("Pay Bill",C1215)),"Pay Bill",IF(ISNUMBER(SEARCH("Spotify",C1215)),"Pay Bill",IF(ISNUMBER(SEARCH("M-Shwari",C1215)),"Mshwari",IF(ISNUMBER(SEARCH("Mshwari",C1215)),"Mshwari",IF(ISNUMBER(SEARCH("Withdrawal charge",C1215)),"Fees",IF(ISNUMBER(SEARCH("Customer Withdrawal",C1215)),"Fees",IF(ISNUMBER(SEARCH("charge",C1215)),"Fees","Other")))))))))))))))))))))))))</f>
        <v>Bundles</v>
      </c>
      <c r="R1215" s="1" t="str">
        <f aca="false">TEXT(B1215,"MMM YYYY")</f>
        <v>May 2026</v>
      </c>
    </row>
    <row r="1216" customFormat="false" ht="13.8" hidden="false" customHeight="false" outlineLevel="0" collapsed="false">
      <c r="A1216" s="4" t="s">
        <v>2498</v>
      </c>
      <c r="B1216" s="4" t="s">
        <v>2499</v>
      </c>
      <c r="C1216" s="4" t="s">
        <v>29</v>
      </c>
      <c r="D1216" s="4" t="s">
        <v>18</v>
      </c>
      <c r="E1216" s="4"/>
      <c r="F1216" s="4" t="n">
        <v>20</v>
      </c>
      <c r="G1216" s="4" t="n">
        <v>190.78</v>
      </c>
      <c r="L1216" s="1" t="str">
        <f aca="false">IF(ISNUMBER(SEARCH("Bundle",C1216)),"Bundles",IF(ISNUMBER(SEARCH("Airtime",C1216)),"Bundles",IF(ISNUMBER(SEARCH("Merchant",C1216)),"Merchant Payment",IF(ISNUMBER(SEARCH("Offnet C2B",C1216)),"Merchant Payment",IF(ISNUMBER(SEARCH("Offnet B2C",C1216)),"Merchant Payment",IF(ISNUMBER(SEARCH("Customer Payment to Small",C1216)),"Merchant Payment",IF(ISNUMBER(SEARCH("Payment to Small Business",C1216)),"Merchant Payment",IF(ISNUMBER(SEARCH("Sent to",C1216)),"Sent to Person",IF(ISNUMBER(SEARCH("Customer Transfer to",C1216)),"Sent to Person",IF(ISNUMBER(SEARCH("Business Payment",C1216)),"Money In",IF(ISNUMBER(SEARCH("Funds Received",C1216)),"Money In",IF(ISNUMBER(SEARCH("Receive International",C1216)),"Money In",IF(ISNUMBER(SEARCH("Send Money Reversal",C1216)),"Money In",IF(ISNUMBER(SEARCH("Pay Utility Reversal",C1216)),"Money In",IF(ISNUMBER(SEARCH("Customer Transfer",C1216)),"Money In",IF(ISNUMBER(SEARCH("Ziidi",C1216)),"Investment",IF(ISNUMBER(SEARCH("Nabo",C1216)),"Investment",IF(ISNUMBER(SEARCH("Paybill Online",C1216)),"Pay Bill",IF(ISNUMBER(SEARCH("Pay Bill",C1216)),"Pay Bill",IF(ISNUMBER(SEARCH("Spotify",C1216)),"Pay Bill",IF(ISNUMBER(SEARCH("M-Shwari",C1216)),"Mshwari",IF(ISNUMBER(SEARCH("Mshwari",C1216)),"Mshwari",IF(ISNUMBER(SEARCH("Withdrawal charge",C1216)),"Fees",IF(ISNUMBER(SEARCH("Customer Withdrawal",C1216)),"Fees",IF(ISNUMBER(SEARCH("charge",C1216)),"Fees","Other")))))))))))))))))))))))))</f>
        <v>Bundles</v>
      </c>
      <c r="R1216" s="1" t="str">
        <f aca="false">TEXT(B1216,"MMM YYYY")</f>
        <v>May 2026</v>
      </c>
    </row>
    <row r="1217" customFormat="false" ht="13.8" hidden="false" customHeight="false" outlineLevel="0" collapsed="false">
      <c r="A1217" s="4" t="s">
        <v>2500</v>
      </c>
      <c r="B1217" s="4" t="s">
        <v>2501</v>
      </c>
      <c r="C1217" s="4" t="s">
        <v>29</v>
      </c>
      <c r="D1217" s="4" t="s">
        <v>18</v>
      </c>
      <c r="E1217" s="4"/>
      <c r="F1217" s="4" t="n">
        <v>10</v>
      </c>
      <c r="G1217" s="4" t="n">
        <v>180.78</v>
      </c>
      <c r="L1217" s="1" t="str">
        <f aca="false">IF(ISNUMBER(SEARCH("Bundle",C1217)),"Bundles",IF(ISNUMBER(SEARCH("Airtime",C1217)),"Bundles",IF(ISNUMBER(SEARCH("Merchant",C1217)),"Merchant Payment",IF(ISNUMBER(SEARCH("Offnet C2B",C1217)),"Merchant Payment",IF(ISNUMBER(SEARCH("Offnet B2C",C1217)),"Merchant Payment",IF(ISNUMBER(SEARCH("Customer Payment to Small",C1217)),"Merchant Payment",IF(ISNUMBER(SEARCH("Payment to Small Business",C1217)),"Merchant Payment",IF(ISNUMBER(SEARCH("Sent to",C1217)),"Sent to Person",IF(ISNUMBER(SEARCH("Customer Transfer to",C1217)),"Sent to Person",IF(ISNUMBER(SEARCH("Business Payment",C1217)),"Money In",IF(ISNUMBER(SEARCH("Funds Received",C1217)),"Money In",IF(ISNUMBER(SEARCH("Receive International",C1217)),"Money In",IF(ISNUMBER(SEARCH("Send Money Reversal",C1217)),"Money In",IF(ISNUMBER(SEARCH("Pay Utility Reversal",C1217)),"Money In",IF(ISNUMBER(SEARCH("Customer Transfer",C1217)),"Money In",IF(ISNUMBER(SEARCH("Ziidi",C1217)),"Investment",IF(ISNUMBER(SEARCH("Nabo",C1217)),"Investment",IF(ISNUMBER(SEARCH("Paybill Online",C1217)),"Pay Bill",IF(ISNUMBER(SEARCH("Pay Bill",C1217)),"Pay Bill",IF(ISNUMBER(SEARCH("Spotify",C1217)),"Pay Bill",IF(ISNUMBER(SEARCH("M-Shwari",C1217)),"Mshwari",IF(ISNUMBER(SEARCH("Mshwari",C1217)),"Mshwari",IF(ISNUMBER(SEARCH("Withdrawal charge",C1217)),"Fees",IF(ISNUMBER(SEARCH("Customer Withdrawal",C1217)),"Fees",IF(ISNUMBER(SEARCH("charge",C1217)),"Fees","Other")))))))))))))))))))))))))</f>
        <v>Bundles</v>
      </c>
      <c r="R1217" s="1" t="str">
        <f aca="false">TEXT(B1217,"MMM YYYY")</f>
        <v>May 2026</v>
      </c>
    </row>
    <row r="1218" customFormat="false" ht="13.8" hidden="false" customHeight="false" outlineLevel="0" collapsed="false">
      <c r="A1218" s="4" t="s">
        <v>2502</v>
      </c>
      <c r="B1218" s="4" t="s">
        <v>2503</v>
      </c>
      <c r="C1218" s="4" t="s">
        <v>29</v>
      </c>
      <c r="D1218" s="4" t="s">
        <v>18</v>
      </c>
      <c r="E1218" s="4"/>
      <c r="F1218" s="4" t="n">
        <v>10</v>
      </c>
      <c r="G1218" s="4" t="n">
        <v>170.78</v>
      </c>
      <c r="L1218" s="1" t="str">
        <f aca="false">IF(ISNUMBER(SEARCH("Bundle",C1218)),"Bundles",IF(ISNUMBER(SEARCH("Airtime",C1218)),"Bundles",IF(ISNUMBER(SEARCH("Merchant",C1218)),"Merchant Payment",IF(ISNUMBER(SEARCH("Offnet C2B",C1218)),"Merchant Payment",IF(ISNUMBER(SEARCH("Offnet B2C",C1218)),"Merchant Payment",IF(ISNUMBER(SEARCH("Customer Payment to Small",C1218)),"Merchant Payment",IF(ISNUMBER(SEARCH("Payment to Small Business",C1218)),"Merchant Payment",IF(ISNUMBER(SEARCH("Sent to",C1218)),"Sent to Person",IF(ISNUMBER(SEARCH("Customer Transfer to",C1218)),"Sent to Person",IF(ISNUMBER(SEARCH("Business Payment",C1218)),"Money In",IF(ISNUMBER(SEARCH("Funds Received",C1218)),"Money In",IF(ISNUMBER(SEARCH("Receive International",C1218)),"Money In",IF(ISNUMBER(SEARCH("Send Money Reversal",C1218)),"Money In",IF(ISNUMBER(SEARCH("Pay Utility Reversal",C1218)),"Money In",IF(ISNUMBER(SEARCH("Customer Transfer",C1218)),"Money In",IF(ISNUMBER(SEARCH("Ziidi",C1218)),"Investment",IF(ISNUMBER(SEARCH("Nabo",C1218)),"Investment",IF(ISNUMBER(SEARCH("Paybill Online",C1218)),"Pay Bill",IF(ISNUMBER(SEARCH("Pay Bill",C1218)),"Pay Bill",IF(ISNUMBER(SEARCH("Spotify",C1218)),"Pay Bill",IF(ISNUMBER(SEARCH("M-Shwari",C1218)),"Mshwari",IF(ISNUMBER(SEARCH("Mshwari",C1218)),"Mshwari",IF(ISNUMBER(SEARCH("Withdrawal charge",C1218)),"Fees",IF(ISNUMBER(SEARCH("Customer Withdrawal",C1218)),"Fees",IF(ISNUMBER(SEARCH("charge",C1218)),"Fees","Other")))))))))))))))))))))))))</f>
        <v>Bundles</v>
      </c>
      <c r="R1218" s="1" t="str">
        <f aca="false">TEXT(B1218,"MMM YYYY")</f>
        <v>May 2026</v>
      </c>
    </row>
    <row r="1219" customFormat="false" ht="13.8" hidden="false" customHeight="false" outlineLevel="0" collapsed="false">
      <c r="A1219" s="4" t="s">
        <v>2504</v>
      </c>
      <c r="B1219" s="4" t="s">
        <v>2505</v>
      </c>
      <c r="C1219" s="4" t="s">
        <v>29</v>
      </c>
      <c r="D1219" s="4" t="s">
        <v>18</v>
      </c>
      <c r="E1219" s="4"/>
      <c r="F1219" s="4" t="n">
        <v>10</v>
      </c>
      <c r="G1219" s="4" t="n">
        <v>160.78</v>
      </c>
      <c r="L1219" s="1" t="str">
        <f aca="false">IF(ISNUMBER(SEARCH("Bundle",C1219)),"Bundles",IF(ISNUMBER(SEARCH("Airtime",C1219)),"Bundles",IF(ISNUMBER(SEARCH("Merchant",C1219)),"Merchant Payment",IF(ISNUMBER(SEARCH("Offnet C2B",C1219)),"Merchant Payment",IF(ISNUMBER(SEARCH("Offnet B2C",C1219)),"Merchant Payment",IF(ISNUMBER(SEARCH("Customer Payment to Small",C1219)),"Merchant Payment",IF(ISNUMBER(SEARCH("Payment to Small Business",C1219)),"Merchant Payment",IF(ISNUMBER(SEARCH("Sent to",C1219)),"Sent to Person",IF(ISNUMBER(SEARCH("Customer Transfer to",C1219)),"Sent to Person",IF(ISNUMBER(SEARCH("Business Payment",C1219)),"Money In",IF(ISNUMBER(SEARCH("Funds Received",C1219)),"Money In",IF(ISNUMBER(SEARCH("Receive International",C1219)),"Money In",IF(ISNUMBER(SEARCH("Send Money Reversal",C1219)),"Money In",IF(ISNUMBER(SEARCH("Pay Utility Reversal",C1219)),"Money In",IF(ISNUMBER(SEARCH("Customer Transfer",C1219)),"Money In",IF(ISNUMBER(SEARCH("Ziidi",C1219)),"Investment",IF(ISNUMBER(SEARCH("Nabo",C1219)),"Investment",IF(ISNUMBER(SEARCH("Paybill Online",C1219)),"Pay Bill",IF(ISNUMBER(SEARCH("Pay Bill",C1219)),"Pay Bill",IF(ISNUMBER(SEARCH("Spotify",C1219)),"Pay Bill",IF(ISNUMBER(SEARCH("M-Shwari",C1219)),"Mshwari",IF(ISNUMBER(SEARCH("Mshwari",C1219)),"Mshwari",IF(ISNUMBER(SEARCH("Withdrawal charge",C1219)),"Fees",IF(ISNUMBER(SEARCH("Customer Withdrawal",C1219)),"Fees",IF(ISNUMBER(SEARCH("charge",C1219)),"Fees","Other")))))))))))))))))))))))))</f>
        <v>Bundles</v>
      </c>
      <c r="R1219" s="1" t="str">
        <f aca="false">TEXT(B1219,"MMM YYYY")</f>
        <v>May 2026</v>
      </c>
    </row>
    <row r="1220" customFormat="false" ht="13.8" hidden="false" customHeight="false" outlineLevel="0" collapsed="false">
      <c r="A1220" s="4" t="s">
        <v>2506</v>
      </c>
      <c r="B1220" s="4" t="s">
        <v>2507</v>
      </c>
      <c r="C1220" s="4" t="s">
        <v>29</v>
      </c>
      <c r="D1220" s="4" t="s">
        <v>18</v>
      </c>
      <c r="E1220" s="4"/>
      <c r="F1220" s="4" t="n">
        <v>20</v>
      </c>
      <c r="G1220" s="4" t="n">
        <v>140.78</v>
      </c>
      <c r="L1220" s="1" t="str">
        <f aca="false">IF(ISNUMBER(SEARCH("Bundle",C1220)),"Bundles",IF(ISNUMBER(SEARCH("Airtime",C1220)),"Bundles",IF(ISNUMBER(SEARCH("Merchant",C1220)),"Merchant Payment",IF(ISNUMBER(SEARCH("Offnet C2B",C1220)),"Merchant Payment",IF(ISNUMBER(SEARCH("Offnet B2C",C1220)),"Merchant Payment",IF(ISNUMBER(SEARCH("Customer Payment to Small",C1220)),"Merchant Payment",IF(ISNUMBER(SEARCH("Payment to Small Business",C1220)),"Merchant Payment",IF(ISNUMBER(SEARCH("Sent to",C1220)),"Sent to Person",IF(ISNUMBER(SEARCH("Customer Transfer to",C1220)),"Sent to Person",IF(ISNUMBER(SEARCH("Business Payment",C1220)),"Money In",IF(ISNUMBER(SEARCH("Funds Received",C1220)),"Money In",IF(ISNUMBER(SEARCH("Receive International",C1220)),"Money In",IF(ISNUMBER(SEARCH("Send Money Reversal",C1220)),"Money In",IF(ISNUMBER(SEARCH("Pay Utility Reversal",C1220)),"Money In",IF(ISNUMBER(SEARCH("Customer Transfer",C1220)),"Money In",IF(ISNUMBER(SEARCH("Ziidi",C1220)),"Investment",IF(ISNUMBER(SEARCH("Nabo",C1220)),"Investment",IF(ISNUMBER(SEARCH("Paybill Online",C1220)),"Pay Bill",IF(ISNUMBER(SEARCH("Pay Bill",C1220)),"Pay Bill",IF(ISNUMBER(SEARCH("Spotify",C1220)),"Pay Bill",IF(ISNUMBER(SEARCH("M-Shwari",C1220)),"Mshwari",IF(ISNUMBER(SEARCH("Mshwari",C1220)),"Mshwari",IF(ISNUMBER(SEARCH("Withdrawal charge",C1220)),"Fees",IF(ISNUMBER(SEARCH("Customer Withdrawal",C1220)),"Fees",IF(ISNUMBER(SEARCH("charge",C1220)),"Fees","Other")))))))))))))))))))))))))</f>
        <v>Bundles</v>
      </c>
      <c r="R1220" s="1" t="str">
        <f aca="false">TEXT(B1220,"MMM YYYY")</f>
        <v>May 2026</v>
      </c>
    </row>
    <row r="1221" customFormat="false" ht="13.8" hidden="false" customHeight="false" outlineLevel="0" collapsed="false">
      <c r="A1221" s="4" t="s">
        <v>2508</v>
      </c>
      <c r="B1221" s="4" t="s">
        <v>2509</v>
      </c>
      <c r="C1221" s="4" t="s">
        <v>29</v>
      </c>
      <c r="D1221" s="4" t="s">
        <v>18</v>
      </c>
      <c r="E1221" s="4"/>
      <c r="F1221" s="4" t="n">
        <v>10</v>
      </c>
      <c r="G1221" s="4" t="n">
        <v>130.78</v>
      </c>
      <c r="L1221" s="1" t="str">
        <f aca="false">IF(ISNUMBER(SEARCH("Bundle",C1221)),"Bundles",IF(ISNUMBER(SEARCH("Airtime",C1221)),"Bundles",IF(ISNUMBER(SEARCH("Merchant",C1221)),"Merchant Payment",IF(ISNUMBER(SEARCH("Offnet C2B",C1221)),"Merchant Payment",IF(ISNUMBER(SEARCH("Offnet B2C",C1221)),"Merchant Payment",IF(ISNUMBER(SEARCH("Customer Payment to Small",C1221)),"Merchant Payment",IF(ISNUMBER(SEARCH("Payment to Small Business",C1221)),"Merchant Payment",IF(ISNUMBER(SEARCH("Sent to",C1221)),"Sent to Person",IF(ISNUMBER(SEARCH("Customer Transfer to",C1221)),"Sent to Person",IF(ISNUMBER(SEARCH("Business Payment",C1221)),"Money In",IF(ISNUMBER(SEARCH("Funds Received",C1221)),"Money In",IF(ISNUMBER(SEARCH("Receive International",C1221)),"Money In",IF(ISNUMBER(SEARCH("Send Money Reversal",C1221)),"Money In",IF(ISNUMBER(SEARCH("Pay Utility Reversal",C1221)),"Money In",IF(ISNUMBER(SEARCH("Customer Transfer",C1221)),"Money In",IF(ISNUMBER(SEARCH("Ziidi",C1221)),"Investment",IF(ISNUMBER(SEARCH("Nabo",C1221)),"Investment",IF(ISNUMBER(SEARCH("Paybill Online",C1221)),"Pay Bill",IF(ISNUMBER(SEARCH("Pay Bill",C1221)),"Pay Bill",IF(ISNUMBER(SEARCH("Spotify",C1221)),"Pay Bill",IF(ISNUMBER(SEARCH("M-Shwari",C1221)),"Mshwari",IF(ISNUMBER(SEARCH("Mshwari",C1221)),"Mshwari",IF(ISNUMBER(SEARCH("Withdrawal charge",C1221)),"Fees",IF(ISNUMBER(SEARCH("Customer Withdrawal",C1221)),"Fees",IF(ISNUMBER(SEARCH("charge",C1221)),"Fees","Other")))))))))))))))))))))))))</f>
        <v>Bundles</v>
      </c>
      <c r="R1221" s="1" t="str">
        <f aca="false">TEXT(B1221,"MMM YYYY")</f>
        <v>May 2026</v>
      </c>
    </row>
    <row r="1222" customFormat="false" ht="13.8" hidden="false" customHeight="false" outlineLevel="0" collapsed="false">
      <c r="A1222" s="4" t="s">
        <v>2510</v>
      </c>
      <c r="B1222" s="4" t="s">
        <v>2511</v>
      </c>
      <c r="C1222" s="4" t="s">
        <v>29</v>
      </c>
      <c r="D1222" s="4" t="s">
        <v>18</v>
      </c>
      <c r="E1222" s="4"/>
      <c r="F1222" s="4" t="n">
        <v>10</v>
      </c>
      <c r="G1222" s="4" t="n">
        <v>120.78</v>
      </c>
      <c r="L1222" s="1" t="str">
        <f aca="false">IF(ISNUMBER(SEARCH("Bundle",C1222)),"Bundles",IF(ISNUMBER(SEARCH("Airtime",C1222)),"Bundles",IF(ISNUMBER(SEARCH("Merchant",C1222)),"Merchant Payment",IF(ISNUMBER(SEARCH("Offnet C2B",C1222)),"Merchant Payment",IF(ISNUMBER(SEARCH("Offnet B2C",C1222)),"Merchant Payment",IF(ISNUMBER(SEARCH("Customer Payment to Small",C1222)),"Merchant Payment",IF(ISNUMBER(SEARCH("Payment to Small Business",C1222)),"Merchant Payment",IF(ISNUMBER(SEARCH("Sent to",C1222)),"Sent to Person",IF(ISNUMBER(SEARCH("Customer Transfer to",C1222)),"Sent to Person",IF(ISNUMBER(SEARCH("Business Payment",C1222)),"Money In",IF(ISNUMBER(SEARCH("Funds Received",C1222)),"Money In",IF(ISNUMBER(SEARCH("Receive International",C1222)),"Money In",IF(ISNUMBER(SEARCH("Send Money Reversal",C1222)),"Money In",IF(ISNUMBER(SEARCH("Pay Utility Reversal",C1222)),"Money In",IF(ISNUMBER(SEARCH("Customer Transfer",C1222)),"Money In",IF(ISNUMBER(SEARCH("Ziidi",C1222)),"Investment",IF(ISNUMBER(SEARCH("Nabo",C1222)),"Investment",IF(ISNUMBER(SEARCH("Paybill Online",C1222)),"Pay Bill",IF(ISNUMBER(SEARCH("Pay Bill",C1222)),"Pay Bill",IF(ISNUMBER(SEARCH("Spotify",C1222)),"Pay Bill",IF(ISNUMBER(SEARCH("M-Shwari",C1222)),"Mshwari",IF(ISNUMBER(SEARCH("Mshwari",C1222)),"Mshwari",IF(ISNUMBER(SEARCH("Withdrawal charge",C1222)),"Fees",IF(ISNUMBER(SEARCH("Customer Withdrawal",C1222)),"Fees",IF(ISNUMBER(SEARCH("charge",C1222)),"Fees","Other")))))))))))))))))))))))))</f>
        <v>Bundles</v>
      </c>
      <c r="R1222" s="1" t="str">
        <f aca="false">TEXT(B1222,"MMM YYYY")</f>
        <v>May 2026</v>
      </c>
    </row>
    <row r="1223" customFormat="false" ht="13.8" hidden="false" customHeight="false" outlineLevel="0" collapsed="false">
      <c r="A1223" s="4" t="s">
        <v>2512</v>
      </c>
      <c r="B1223" s="4" t="s">
        <v>2513</v>
      </c>
      <c r="C1223" s="4" t="s">
        <v>29</v>
      </c>
      <c r="D1223" s="4" t="s">
        <v>18</v>
      </c>
      <c r="E1223" s="4"/>
      <c r="F1223" s="4" t="n">
        <v>10</v>
      </c>
      <c r="G1223" s="4" t="n">
        <v>110.78</v>
      </c>
      <c r="L1223" s="1" t="str">
        <f aca="false">IF(ISNUMBER(SEARCH("Bundle",C1223)),"Bundles",IF(ISNUMBER(SEARCH("Airtime",C1223)),"Bundles",IF(ISNUMBER(SEARCH("Merchant",C1223)),"Merchant Payment",IF(ISNUMBER(SEARCH("Offnet C2B",C1223)),"Merchant Payment",IF(ISNUMBER(SEARCH("Offnet B2C",C1223)),"Merchant Payment",IF(ISNUMBER(SEARCH("Customer Payment to Small",C1223)),"Merchant Payment",IF(ISNUMBER(SEARCH("Payment to Small Business",C1223)),"Merchant Payment",IF(ISNUMBER(SEARCH("Sent to",C1223)),"Sent to Person",IF(ISNUMBER(SEARCH("Customer Transfer to",C1223)),"Sent to Person",IF(ISNUMBER(SEARCH("Business Payment",C1223)),"Money In",IF(ISNUMBER(SEARCH("Funds Received",C1223)),"Money In",IF(ISNUMBER(SEARCH("Receive International",C1223)),"Money In",IF(ISNUMBER(SEARCH("Send Money Reversal",C1223)),"Money In",IF(ISNUMBER(SEARCH("Pay Utility Reversal",C1223)),"Money In",IF(ISNUMBER(SEARCH("Customer Transfer",C1223)),"Money In",IF(ISNUMBER(SEARCH("Ziidi",C1223)),"Investment",IF(ISNUMBER(SEARCH("Nabo",C1223)),"Investment",IF(ISNUMBER(SEARCH("Paybill Online",C1223)),"Pay Bill",IF(ISNUMBER(SEARCH("Pay Bill",C1223)),"Pay Bill",IF(ISNUMBER(SEARCH("Spotify",C1223)),"Pay Bill",IF(ISNUMBER(SEARCH("M-Shwari",C1223)),"Mshwari",IF(ISNUMBER(SEARCH("Mshwari",C1223)),"Mshwari",IF(ISNUMBER(SEARCH("Withdrawal charge",C1223)),"Fees",IF(ISNUMBER(SEARCH("Customer Withdrawal",C1223)),"Fees",IF(ISNUMBER(SEARCH("charge",C1223)),"Fees","Other")))))))))))))))))))))))))</f>
        <v>Bundles</v>
      </c>
      <c r="R1223" s="1" t="str">
        <f aca="false">TEXT(B1223,"MMM YYYY")</f>
        <v>May 2026</v>
      </c>
    </row>
    <row r="1224" customFormat="false" ht="13.8" hidden="false" customHeight="false" outlineLevel="0" collapsed="false">
      <c r="A1224" s="4" t="s">
        <v>2514</v>
      </c>
      <c r="B1224" s="4" t="s">
        <v>2515</v>
      </c>
      <c r="C1224" s="4" t="s">
        <v>2516</v>
      </c>
      <c r="D1224" s="4" t="s">
        <v>18</v>
      </c>
      <c r="E1224" s="4"/>
      <c r="F1224" s="4" t="n">
        <v>100</v>
      </c>
      <c r="G1224" s="4" t="n">
        <v>10.78</v>
      </c>
      <c r="L1224" s="1" t="str">
        <f aca="false">IF(ISNUMBER(SEARCH("Bundle",C1224)),"Bundles",IF(ISNUMBER(SEARCH("Airtime",C1224)),"Bundles",IF(ISNUMBER(SEARCH("Merchant",C1224)),"Merchant Payment",IF(ISNUMBER(SEARCH("Offnet C2B",C1224)),"Merchant Payment",IF(ISNUMBER(SEARCH("Offnet B2C",C1224)),"Merchant Payment",IF(ISNUMBER(SEARCH("Customer Payment to Small",C1224)),"Merchant Payment",IF(ISNUMBER(SEARCH("Payment to Small Business",C1224)),"Merchant Payment",IF(ISNUMBER(SEARCH("Sent to",C1224)),"Sent to Person",IF(ISNUMBER(SEARCH("Customer Transfer to",C1224)),"Sent to Person",IF(ISNUMBER(SEARCH("Business Payment",C1224)),"Money In",IF(ISNUMBER(SEARCH("Funds Received",C1224)),"Money In",IF(ISNUMBER(SEARCH("Receive International",C1224)),"Money In",IF(ISNUMBER(SEARCH("Send Money Reversal",C1224)),"Money In",IF(ISNUMBER(SEARCH("Pay Utility Reversal",C1224)),"Money In",IF(ISNUMBER(SEARCH("Customer Transfer",C1224)),"Money In",IF(ISNUMBER(SEARCH("Ziidi",C1224)),"Investment",IF(ISNUMBER(SEARCH("Nabo",C1224)),"Investment",IF(ISNUMBER(SEARCH("Paybill Online",C1224)),"Pay Bill",IF(ISNUMBER(SEARCH("Pay Bill",C1224)),"Pay Bill",IF(ISNUMBER(SEARCH("Spotify",C1224)),"Pay Bill",IF(ISNUMBER(SEARCH("M-Shwari",C1224)),"Mshwari",IF(ISNUMBER(SEARCH("Mshwari",C1224)),"Mshwari",IF(ISNUMBER(SEARCH("Withdrawal charge",C1224)),"Fees",IF(ISNUMBER(SEARCH("Customer Withdrawal",C1224)),"Fees",IF(ISNUMBER(SEARCH("charge",C1224)),"Fees","Other")))))))))))))))))))))))))</f>
        <v>Sent to Person</v>
      </c>
      <c r="R1224" s="1" t="str">
        <f aca="false">TEXT(B1224,"MMM YYYY")</f>
        <v>May 2026</v>
      </c>
    </row>
    <row r="1225" customFormat="false" ht="13.8" hidden="false" customHeight="false" outlineLevel="0" collapsed="false">
      <c r="A1225" s="4" t="s">
        <v>2517</v>
      </c>
      <c r="B1225" s="4" t="s">
        <v>2518</v>
      </c>
      <c r="C1225" s="4" t="s">
        <v>29</v>
      </c>
      <c r="D1225" s="4" t="s">
        <v>18</v>
      </c>
      <c r="E1225" s="4"/>
      <c r="F1225" s="4" t="n">
        <v>10</v>
      </c>
      <c r="G1225" s="4" t="n">
        <v>0.78</v>
      </c>
      <c r="L1225" s="1" t="str">
        <f aca="false">IF(ISNUMBER(SEARCH("Bundle",C1225)),"Bundles",IF(ISNUMBER(SEARCH("Airtime",C1225)),"Bundles",IF(ISNUMBER(SEARCH("Merchant",C1225)),"Merchant Payment",IF(ISNUMBER(SEARCH("Offnet C2B",C1225)),"Merchant Payment",IF(ISNUMBER(SEARCH("Offnet B2C",C1225)),"Merchant Payment",IF(ISNUMBER(SEARCH("Customer Payment to Small",C1225)),"Merchant Payment",IF(ISNUMBER(SEARCH("Payment to Small Business",C1225)),"Merchant Payment",IF(ISNUMBER(SEARCH("Sent to",C1225)),"Sent to Person",IF(ISNUMBER(SEARCH("Customer Transfer to",C1225)),"Sent to Person",IF(ISNUMBER(SEARCH("Business Payment",C1225)),"Money In",IF(ISNUMBER(SEARCH("Funds Received",C1225)),"Money In",IF(ISNUMBER(SEARCH("Receive International",C1225)),"Money In",IF(ISNUMBER(SEARCH("Send Money Reversal",C1225)),"Money In",IF(ISNUMBER(SEARCH("Pay Utility Reversal",C1225)),"Money In",IF(ISNUMBER(SEARCH("Customer Transfer",C1225)),"Money In",IF(ISNUMBER(SEARCH("Ziidi",C1225)),"Investment",IF(ISNUMBER(SEARCH("Nabo",C1225)),"Investment",IF(ISNUMBER(SEARCH("Paybill Online",C1225)),"Pay Bill",IF(ISNUMBER(SEARCH("Pay Bill",C1225)),"Pay Bill",IF(ISNUMBER(SEARCH("Spotify",C1225)),"Pay Bill",IF(ISNUMBER(SEARCH("M-Shwari",C1225)),"Mshwari",IF(ISNUMBER(SEARCH("Mshwari",C1225)),"Mshwari",IF(ISNUMBER(SEARCH("Withdrawal charge",C1225)),"Fees",IF(ISNUMBER(SEARCH("Customer Withdrawal",C1225)),"Fees",IF(ISNUMBER(SEARCH("charge",C1225)),"Fees","Other")))))))))))))))))))))))))</f>
        <v>Bundles</v>
      </c>
      <c r="R1225" s="1" t="str">
        <f aca="false">TEXT(B1225,"MMM YYYY")</f>
        <v>May 2026</v>
      </c>
    </row>
    <row r="1226" customFormat="false" ht="13.8" hidden="false" customHeight="false" outlineLevel="0" collapsed="false">
      <c r="A1226" s="4" t="s">
        <v>2519</v>
      </c>
      <c r="B1226" s="4" t="s">
        <v>2520</v>
      </c>
      <c r="C1226" s="4" t="s">
        <v>192</v>
      </c>
      <c r="D1226" s="4" t="s">
        <v>18</v>
      </c>
      <c r="E1226" s="4" t="n">
        <v>500</v>
      </c>
      <c r="F1226" s="4"/>
      <c r="G1226" s="4" t="n">
        <v>500.78</v>
      </c>
      <c r="L1226" s="1" t="str">
        <f aca="false">IF(ISNUMBER(SEARCH("Bundle",C1226)),"Bundles",IF(ISNUMBER(SEARCH("Airtime",C1226)),"Bundles",IF(ISNUMBER(SEARCH("Merchant",C1226)),"Merchant Payment",IF(ISNUMBER(SEARCH("Offnet C2B",C1226)),"Merchant Payment",IF(ISNUMBER(SEARCH("Offnet B2C",C1226)),"Merchant Payment",IF(ISNUMBER(SEARCH("Customer Payment to Small",C1226)),"Merchant Payment",IF(ISNUMBER(SEARCH("Payment to Small Business",C1226)),"Merchant Payment",IF(ISNUMBER(SEARCH("Sent to",C1226)),"Sent to Person",IF(ISNUMBER(SEARCH("Customer Transfer to",C1226)),"Sent to Person",IF(ISNUMBER(SEARCH("Business Payment",C1226)),"Money In",IF(ISNUMBER(SEARCH("Funds Received",C1226)),"Money In",IF(ISNUMBER(SEARCH("Receive International",C1226)),"Money In",IF(ISNUMBER(SEARCH("Send Money Reversal",C1226)),"Money In",IF(ISNUMBER(SEARCH("Pay Utility Reversal",C1226)),"Money In",IF(ISNUMBER(SEARCH("Customer Transfer",C1226)),"Money In",IF(ISNUMBER(SEARCH("Ziidi",C1226)),"Investment",IF(ISNUMBER(SEARCH("Nabo",C1226)),"Investment",IF(ISNUMBER(SEARCH("Paybill Online",C1226)),"Pay Bill",IF(ISNUMBER(SEARCH("Pay Bill",C1226)),"Pay Bill",IF(ISNUMBER(SEARCH("Spotify",C1226)),"Pay Bill",IF(ISNUMBER(SEARCH("M-Shwari",C1226)),"Mshwari",IF(ISNUMBER(SEARCH("Mshwari",C1226)),"Mshwari",IF(ISNUMBER(SEARCH("Withdrawal charge",C1226)),"Fees",IF(ISNUMBER(SEARCH("Customer Withdrawal",C1226)),"Fees",IF(ISNUMBER(SEARCH("charge",C1226)),"Fees","Other")))))))))))))))))))))))))</f>
        <v>Mshwari</v>
      </c>
      <c r="R1226" s="1" t="str">
        <f aca="false">TEXT(B1226,"MMM YYYY")</f>
        <v>May 2026</v>
      </c>
    </row>
    <row r="1227" customFormat="false" ht="13.8" hidden="false" customHeight="false" outlineLevel="0" collapsed="false">
      <c r="A1227" s="4" t="s">
        <v>2521</v>
      </c>
      <c r="B1227" s="4" t="s">
        <v>2522</v>
      </c>
      <c r="C1227" s="4" t="s">
        <v>2516</v>
      </c>
      <c r="D1227" s="4" t="s">
        <v>18</v>
      </c>
      <c r="E1227" s="4"/>
      <c r="F1227" s="4" t="n">
        <v>100</v>
      </c>
      <c r="G1227" s="4" t="n">
        <v>400.78</v>
      </c>
      <c r="L1227" s="1" t="str">
        <f aca="false">IF(ISNUMBER(SEARCH("Bundle",C1227)),"Bundles",IF(ISNUMBER(SEARCH("Airtime",C1227)),"Bundles",IF(ISNUMBER(SEARCH("Merchant",C1227)),"Merchant Payment",IF(ISNUMBER(SEARCH("Offnet C2B",C1227)),"Merchant Payment",IF(ISNUMBER(SEARCH("Offnet B2C",C1227)),"Merchant Payment",IF(ISNUMBER(SEARCH("Customer Payment to Small",C1227)),"Merchant Payment",IF(ISNUMBER(SEARCH("Payment to Small Business",C1227)),"Merchant Payment",IF(ISNUMBER(SEARCH("Sent to",C1227)),"Sent to Person",IF(ISNUMBER(SEARCH("Customer Transfer to",C1227)),"Sent to Person",IF(ISNUMBER(SEARCH("Business Payment",C1227)),"Money In",IF(ISNUMBER(SEARCH("Funds Received",C1227)),"Money In",IF(ISNUMBER(SEARCH("Receive International",C1227)),"Money In",IF(ISNUMBER(SEARCH("Send Money Reversal",C1227)),"Money In",IF(ISNUMBER(SEARCH("Pay Utility Reversal",C1227)),"Money In",IF(ISNUMBER(SEARCH("Customer Transfer",C1227)),"Money In",IF(ISNUMBER(SEARCH("Ziidi",C1227)),"Investment",IF(ISNUMBER(SEARCH("Nabo",C1227)),"Investment",IF(ISNUMBER(SEARCH("Paybill Online",C1227)),"Pay Bill",IF(ISNUMBER(SEARCH("Pay Bill",C1227)),"Pay Bill",IF(ISNUMBER(SEARCH("Spotify",C1227)),"Pay Bill",IF(ISNUMBER(SEARCH("M-Shwari",C1227)),"Mshwari",IF(ISNUMBER(SEARCH("Mshwari",C1227)),"Mshwari",IF(ISNUMBER(SEARCH("Withdrawal charge",C1227)),"Fees",IF(ISNUMBER(SEARCH("Customer Withdrawal",C1227)),"Fees",IF(ISNUMBER(SEARCH("charge",C1227)),"Fees","Other")))))))))))))))))))))))))</f>
        <v>Sent to Person</v>
      </c>
      <c r="R1227" s="1" t="str">
        <f aca="false">TEXT(B1227,"MMM YYYY")</f>
        <v>May 2026</v>
      </c>
    </row>
    <row r="1228" customFormat="false" ht="13.8" hidden="false" customHeight="false" outlineLevel="0" collapsed="false">
      <c r="A1228" s="4" t="s">
        <v>2523</v>
      </c>
      <c r="B1228" s="4" t="s">
        <v>2524</v>
      </c>
      <c r="C1228" s="4" t="s">
        <v>29</v>
      </c>
      <c r="D1228" s="4" t="s">
        <v>18</v>
      </c>
      <c r="E1228" s="4"/>
      <c r="F1228" s="4" t="n">
        <v>20</v>
      </c>
      <c r="G1228" s="4" t="n">
        <v>380.78</v>
      </c>
      <c r="L1228" s="1" t="str">
        <f aca="false">IF(ISNUMBER(SEARCH("Bundle",C1228)),"Bundles",IF(ISNUMBER(SEARCH("Airtime",C1228)),"Bundles",IF(ISNUMBER(SEARCH("Merchant",C1228)),"Merchant Payment",IF(ISNUMBER(SEARCH("Offnet C2B",C1228)),"Merchant Payment",IF(ISNUMBER(SEARCH("Offnet B2C",C1228)),"Merchant Payment",IF(ISNUMBER(SEARCH("Customer Payment to Small",C1228)),"Merchant Payment",IF(ISNUMBER(SEARCH("Payment to Small Business",C1228)),"Merchant Payment",IF(ISNUMBER(SEARCH("Sent to",C1228)),"Sent to Person",IF(ISNUMBER(SEARCH("Customer Transfer to",C1228)),"Sent to Person",IF(ISNUMBER(SEARCH("Business Payment",C1228)),"Money In",IF(ISNUMBER(SEARCH("Funds Received",C1228)),"Money In",IF(ISNUMBER(SEARCH("Receive International",C1228)),"Money In",IF(ISNUMBER(SEARCH("Send Money Reversal",C1228)),"Money In",IF(ISNUMBER(SEARCH("Pay Utility Reversal",C1228)),"Money In",IF(ISNUMBER(SEARCH("Customer Transfer",C1228)),"Money In",IF(ISNUMBER(SEARCH("Ziidi",C1228)),"Investment",IF(ISNUMBER(SEARCH("Nabo",C1228)),"Investment",IF(ISNUMBER(SEARCH("Paybill Online",C1228)),"Pay Bill",IF(ISNUMBER(SEARCH("Pay Bill",C1228)),"Pay Bill",IF(ISNUMBER(SEARCH("Spotify",C1228)),"Pay Bill",IF(ISNUMBER(SEARCH("M-Shwari",C1228)),"Mshwari",IF(ISNUMBER(SEARCH("Mshwari",C1228)),"Mshwari",IF(ISNUMBER(SEARCH("Withdrawal charge",C1228)),"Fees",IF(ISNUMBER(SEARCH("Customer Withdrawal",C1228)),"Fees",IF(ISNUMBER(SEARCH("charge",C1228)),"Fees","Other")))))))))))))))))))))))))</f>
        <v>Bundles</v>
      </c>
      <c r="R1228" s="1" t="str">
        <f aca="false">TEXT(B1228,"MMM YYYY")</f>
        <v>May 2026</v>
      </c>
    </row>
    <row r="1229" customFormat="false" ht="13.8" hidden="false" customHeight="false" outlineLevel="0" collapsed="false">
      <c r="A1229" s="4" t="s">
        <v>2525</v>
      </c>
      <c r="B1229" s="4" t="s">
        <v>2526</v>
      </c>
      <c r="C1229" s="4" t="s">
        <v>29</v>
      </c>
      <c r="D1229" s="4" t="s">
        <v>18</v>
      </c>
      <c r="E1229" s="4"/>
      <c r="F1229" s="4" t="n">
        <v>10</v>
      </c>
      <c r="G1229" s="4" t="n">
        <v>370.78</v>
      </c>
      <c r="L1229" s="1" t="str">
        <f aca="false">IF(ISNUMBER(SEARCH("Bundle",C1229)),"Bundles",IF(ISNUMBER(SEARCH("Airtime",C1229)),"Bundles",IF(ISNUMBER(SEARCH("Merchant",C1229)),"Merchant Payment",IF(ISNUMBER(SEARCH("Offnet C2B",C1229)),"Merchant Payment",IF(ISNUMBER(SEARCH("Offnet B2C",C1229)),"Merchant Payment",IF(ISNUMBER(SEARCH("Customer Payment to Small",C1229)),"Merchant Payment",IF(ISNUMBER(SEARCH("Payment to Small Business",C1229)),"Merchant Payment",IF(ISNUMBER(SEARCH("Sent to",C1229)),"Sent to Person",IF(ISNUMBER(SEARCH("Customer Transfer to",C1229)),"Sent to Person",IF(ISNUMBER(SEARCH("Business Payment",C1229)),"Money In",IF(ISNUMBER(SEARCH("Funds Received",C1229)),"Money In",IF(ISNUMBER(SEARCH("Receive International",C1229)),"Money In",IF(ISNUMBER(SEARCH("Send Money Reversal",C1229)),"Money In",IF(ISNUMBER(SEARCH("Pay Utility Reversal",C1229)),"Money In",IF(ISNUMBER(SEARCH("Customer Transfer",C1229)),"Money In",IF(ISNUMBER(SEARCH("Ziidi",C1229)),"Investment",IF(ISNUMBER(SEARCH("Nabo",C1229)),"Investment",IF(ISNUMBER(SEARCH("Paybill Online",C1229)),"Pay Bill",IF(ISNUMBER(SEARCH("Pay Bill",C1229)),"Pay Bill",IF(ISNUMBER(SEARCH("Spotify",C1229)),"Pay Bill",IF(ISNUMBER(SEARCH("M-Shwari",C1229)),"Mshwari",IF(ISNUMBER(SEARCH("Mshwari",C1229)),"Mshwari",IF(ISNUMBER(SEARCH("Withdrawal charge",C1229)),"Fees",IF(ISNUMBER(SEARCH("Customer Withdrawal",C1229)),"Fees",IF(ISNUMBER(SEARCH("charge",C1229)),"Fees","Other")))))))))))))))))))))))))</f>
        <v>Bundles</v>
      </c>
      <c r="R1229" s="1" t="str">
        <f aca="false">TEXT(B1229,"MMM YYYY")</f>
        <v>May 2026</v>
      </c>
    </row>
    <row r="1230" customFormat="false" ht="13.8" hidden="false" customHeight="false" outlineLevel="0" collapsed="false">
      <c r="A1230" s="4" t="s">
        <v>2527</v>
      </c>
      <c r="B1230" s="4" t="s">
        <v>2528</v>
      </c>
      <c r="C1230" s="4" t="s">
        <v>29</v>
      </c>
      <c r="D1230" s="4" t="s">
        <v>18</v>
      </c>
      <c r="E1230" s="4"/>
      <c r="F1230" s="4" t="n">
        <v>10</v>
      </c>
      <c r="G1230" s="4" t="n">
        <v>360.78</v>
      </c>
      <c r="L1230" s="1" t="str">
        <f aca="false">IF(ISNUMBER(SEARCH("Bundle",C1230)),"Bundles",IF(ISNUMBER(SEARCH("Airtime",C1230)),"Bundles",IF(ISNUMBER(SEARCH("Merchant",C1230)),"Merchant Payment",IF(ISNUMBER(SEARCH("Offnet C2B",C1230)),"Merchant Payment",IF(ISNUMBER(SEARCH("Offnet B2C",C1230)),"Merchant Payment",IF(ISNUMBER(SEARCH("Customer Payment to Small",C1230)),"Merchant Payment",IF(ISNUMBER(SEARCH("Payment to Small Business",C1230)),"Merchant Payment",IF(ISNUMBER(SEARCH("Sent to",C1230)),"Sent to Person",IF(ISNUMBER(SEARCH("Customer Transfer to",C1230)),"Sent to Person",IF(ISNUMBER(SEARCH("Business Payment",C1230)),"Money In",IF(ISNUMBER(SEARCH("Funds Received",C1230)),"Money In",IF(ISNUMBER(SEARCH("Receive International",C1230)),"Money In",IF(ISNUMBER(SEARCH("Send Money Reversal",C1230)),"Money In",IF(ISNUMBER(SEARCH("Pay Utility Reversal",C1230)),"Money In",IF(ISNUMBER(SEARCH("Customer Transfer",C1230)),"Money In",IF(ISNUMBER(SEARCH("Ziidi",C1230)),"Investment",IF(ISNUMBER(SEARCH("Nabo",C1230)),"Investment",IF(ISNUMBER(SEARCH("Paybill Online",C1230)),"Pay Bill",IF(ISNUMBER(SEARCH("Pay Bill",C1230)),"Pay Bill",IF(ISNUMBER(SEARCH("Spotify",C1230)),"Pay Bill",IF(ISNUMBER(SEARCH("M-Shwari",C1230)),"Mshwari",IF(ISNUMBER(SEARCH("Mshwari",C1230)),"Mshwari",IF(ISNUMBER(SEARCH("Withdrawal charge",C1230)),"Fees",IF(ISNUMBER(SEARCH("Customer Withdrawal",C1230)),"Fees",IF(ISNUMBER(SEARCH("charge",C1230)),"Fees","Other")))))))))))))))))))))))))</f>
        <v>Bundles</v>
      </c>
      <c r="R1230" s="1" t="str">
        <f aca="false">TEXT(B1230,"MMM YYYY")</f>
        <v>May 2026</v>
      </c>
    </row>
    <row r="1231" customFormat="false" ht="13.8" hidden="false" customHeight="false" outlineLevel="0" collapsed="false">
      <c r="A1231" s="4" t="s">
        <v>2529</v>
      </c>
      <c r="B1231" s="4" t="s">
        <v>2530</v>
      </c>
      <c r="C1231" s="4" t="s">
        <v>29</v>
      </c>
      <c r="D1231" s="4" t="s">
        <v>18</v>
      </c>
      <c r="E1231" s="4"/>
      <c r="F1231" s="4" t="n">
        <v>10</v>
      </c>
      <c r="G1231" s="4" t="n">
        <v>350.78</v>
      </c>
      <c r="L1231" s="1" t="str">
        <f aca="false">IF(ISNUMBER(SEARCH("Bundle",C1231)),"Bundles",IF(ISNUMBER(SEARCH("Airtime",C1231)),"Bundles",IF(ISNUMBER(SEARCH("Merchant",C1231)),"Merchant Payment",IF(ISNUMBER(SEARCH("Offnet C2B",C1231)),"Merchant Payment",IF(ISNUMBER(SEARCH("Offnet B2C",C1231)),"Merchant Payment",IF(ISNUMBER(SEARCH("Customer Payment to Small",C1231)),"Merchant Payment",IF(ISNUMBER(SEARCH("Payment to Small Business",C1231)),"Merchant Payment",IF(ISNUMBER(SEARCH("Sent to",C1231)),"Sent to Person",IF(ISNUMBER(SEARCH("Customer Transfer to",C1231)),"Sent to Person",IF(ISNUMBER(SEARCH("Business Payment",C1231)),"Money In",IF(ISNUMBER(SEARCH("Funds Received",C1231)),"Money In",IF(ISNUMBER(SEARCH("Receive International",C1231)),"Money In",IF(ISNUMBER(SEARCH("Send Money Reversal",C1231)),"Money In",IF(ISNUMBER(SEARCH("Pay Utility Reversal",C1231)),"Money In",IF(ISNUMBER(SEARCH("Customer Transfer",C1231)),"Money In",IF(ISNUMBER(SEARCH("Ziidi",C1231)),"Investment",IF(ISNUMBER(SEARCH("Nabo",C1231)),"Investment",IF(ISNUMBER(SEARCH("Paybill Online",C1231)),"Pay Bill",IF(ISNUMBER(SEARCH("Pay Bill",C1231)),"Pay Bill",IF(ISNUMBER(SEARCH("Spotify",C1231)),"Pay Bill",IF(ISNUMBER(SEARCH("M-Shwari",C1231)),"Mshwari",IF(ISNUMBER(SEARCH("Mshwari",C1231)),"Mshwari",IF(ISNUMBER(SEARCH("Withdrawal charge",C1231)),"Fees",IF(ISNUMBER(SEARCH("Customer Withdrawal",C1231)),"Fees",IF(ISNUMBER(SEARCH("charge",C1231)),"Fees","Other")))))))))))))))))))))))))</f>
        <v>Bundles</v>
      </c>
      <c r="R1231" s="1" t="str">
        <f aca="false">TEXT(B1231,"MMM YYYY")</f>
        <v>May 2026</v>
      </c>
    </row>
    <row r="1232" customFormat="false" ht="13.8" hidden="false" customHeight="false" outlineLevel="0" collapsed="false">
      <c r="A1232" s="4" t="s">
        <v>2531</v>
      </c>
      <c r="B1232" s="4" t="s">
        <v>2532</v>
      </c>
      <c r="C1232" s="4" t="s">
        <v>29</v>
      </c>
      <c r="D1232" s="4" t="s">
        <v>18</v>
      </c>
      <c r="E1232" s="4"/>
      <c r="F1232" s="4" t="n">
        <v>10</v>
      </c>
      <c r="G1232" s="4" t="n">
        <v>340.78</v>
      </c>
      <c r="L1232" s="1" t="str">
        <f aca="false">IF(ISNUMBER(SEARCH("Bundle",C1232)),"Bundles",IF(ISNUMBER(SEARCH("Airtime",C1232)),"Bundles",IF(ISNUMBER(SEARCH("Merchant",C1232)),"Merchant Payment",IF(ISNUMBER(SEARCH("Offnet C2B",C1232)),"Merchant Payment",IF(ISNUMBER(SEARCH("Offnet B2C",C1232)),"Merchant Payment",IF(ISNUMBER(SEARCH("Customer Payment to Small",C1232)),"Merchant Payment",IF(ISNUMBER(SEARCH("Payment to Small Business",C1232)),"Merchant Payment",IF(ISNUMBER(SEARCH("Sent to",C1232)),"Sent to Person",IF(ISNUMBER(SEARCH("Customer Transfer to",C1232)),"Sent to Person",IF(ISNUMBER(SEARCH("Business Payment",C1232)),"Money In",IF(ISNUMBER(SEARCH("Funds Received",C1232)),"Money In",IF(ISNUMBER(SEARCH("Receive International",C1232)),"Money In",IF(ISNUMBER(SEARCH("Send Money Reversal",C1232)),"Money In",IF(ISNUMBER(SEARCH("Pay Utility Reversal",C1232)),"Money In",IF(ISNUMBER(SEARCH("Customer Transfer",C1232)),"Money In",IF(ISNUMBER(SEARCH("Ziidi",C1232)),"Investment",IF(ISNUMBER(SEARCH("Nabo",C1232)),"Investment",IF(ISNUMBER(SEARCH("Paybill Online",C1232)),"Pay Bill",IF(ISNUMBER(SEARCH("Pay Bill",C1232)),"Pay Bill",IF(ISNUMBER(SEARCH("Spotify",C1232)),"Pay Bill",IF(ISNUMBER(SEARCH("M-Shwari",C1232)),"Mshwari",IF(ISNUMBER(SEARCH("Mshwari",C1232)),"Mshwari",IF(ISNUMBER(SEARCH("Withdrawal charge",C1232)),"Fees",IF(ISNUMBER(SEARCH("Customer Withdrawal",C1232)),"Fees",IF(ISNUMBER(SEARCH("charge",C1232)),"Fees","Other")))))))))))))))))))))))))</f>
        <v>Bundles</v>
      </c>
      <c r="R1232" s="1" t="str">
        <f aca="false">TEXT(B1232,"MMM YYYY")</f>
        <v>May 2026</v>
      </c>
    </row>
    <row r="1233" customFormat="false" ht="13.8" hidden="false" customHeight="false" outlineLevel="0" collapsed="false">
      <c r="A1233" s="4" t="s">
        <v>2533</v>
      </c>
      <c r="B1233" s="4" t="s">
        <v>2534</v>
      </c>
      <c r="C1233" s="4" t="s">
        <v>29</v>
      </c>
      <c r="D1233" s="4" t="s">
        <v>18</v>
      </c>
      <c r="E1233" s="4"/>
      <c r="F1233" s="4" t="n">
        <v>20</v>
      </c>
      <c r="G1233" s="4" t="n">
        <v>320.78</v>
      </c>
      <c r="L1233" s="1" t="str">
        <f aca="false">IF(ISNUMBER(SEARCH("Bundle",C1233)),"Bundles",IF(ISNUMBER(SEARCH("Airtime",C1233)),"Bundles",IF(ISNUMBER(SEARCH("Merchant",C1233)),"Merchant Payment",IF(ISNUMBER(SEARCH("Offnet C2B",C1233)),"Merchant Payment",IF(ISNUMBER(SEARCH("Offnet B2C",C1233)),"Merchant Payment",IF(ISNUMBER(SEARCH("Customer Payment to Small",C1233)),"Merchant Payment",IF(ISNUMBER(SEARCH("Payment to Small Business",C1233)),"Merchant Payment",IF(ISNUMBER(SEARCH("Sent to",C1233)),"Sent to Person",IF(ISNUMBER(SEARCH("Customer Transfer to",C1233)),"Sent to Person",IF(ISNUMBER(SEARCH("Business Payment",C1233)),"Money In",IF(ISNUMBER(SEARCH("Funds Received",C1233)),"Money In",IF(ISNUMBER(SEARCH("Receive International",C1233)),"Money In",IF(ISNUMBER(SEARCH("Send Money Reversal",C1233)),"Money In",IF(ISNUMBER(SEARCH("Pay Utility Reversal",C1233)),"Money In",IF(ISNUMBER(SEARCH("Customer Transfer",C1233)),"Money In",IF(ISNUMBER(SEARCH("Ziidi",C1233)),"Investment",IF(ISNUMBER(SEARCH("Nabo",C1233)),"Investment",IF(ISNUMBER(SEARCH("Paybill Online",C1233)),"Pay Bill",IF(ISNUMBER(SEARCH("Pay Bill",C1233)),"Pay Bill",IF(ISNUMBER(SEARCH("Spotify",C1233)),"Pay Bill",IF(ISNUMBER(SEARCH("M-Shwari",C1233)),"Mshwari",IF(ISNUMBER(SEARCH("Mshwari",C1233)),"Mshwari",IF(ISNUMBER(SEARCH("Withdrawal charge",C1233)),"Fees",IF(ISNUMBER(SEARCH("Customer Withdrawal",C1233)),"Fees",IF(ISNUMBER(SEARCH("charge",C1233)),"Fees","Other")))))))))))))))))))))))))</f>
        <v>Bundles</v>
      </c>
      <c r="R1233" s="1" t="str">
        <f aca="false">TEXT(B1233,"MMM YYYY")</f>
        <v>May 2026</v>
      </c>
    </row>
    <row r="1234" customFormat="false" ht="13.8" hidden="false" customHeight="false" outlineLevel="0" collapsed="false">
      <c r="A1234" s="4" t="s">
        <v>2535</v>
      </c>
      <c r="B1234" s="4" t="s">
        <v>2536</v>
      </c>
      <c r="C1234" s="4" t="s">
        <v>90</v>
      </c>
      <c r="D1234" s="4" t="s">
        <v>18</v>
      </c>
      <c r="E1234" s="4"/>
      <c r="F1234" s="4" t="n">
        <v>10</v>
      </c>
      <c r="G1234" s="4" t="n">
        <v>100.78</v>
      </c>
      <c r="L1234" s="1" t="str">
        <f aca="false">IF(ISNUMBER(SEARCH("Bundle",C1234)),"Bundles",IF(ISNUMBER(SEARCH("Airtime",C1234)),"Bundles",IF(ISNUMBER(SEARCH("Merchant",C1234)),"Merchant Payment",IF(ISNUMBER(SEARCH("Offnet C2B",C1234)),"Merchant Payment",IF(ISNUMBER(SEARCH("Offnet B2C",C1234)),"Merchant Payment",IF(ISNUMBER(SEARCH("Customer Payment to Small",C1234)),"Merchant Payment",IF(ISNUMBER(SEARCH("Payment to Small Business",C1234)),"Merchant Payment",IF(ISNUMBER(SEARCH("Sent to",C1234)),"Sent to Person",IF(ISNUMBER(SEARCH("Customer Transfer to",C1234)),"Sent to Person",IF(ISNUMBER(SEARCH("Business Payment",C1234)),"Money In",IF(ISNUMBER(SEARCH("Funds Received",C1234)),"Money In",IF(ISNUMBER(SEARCH("Receive International",C1234)),"Money In",IF(ISNUMBER(SEARCH("Send Money Reversal",C1234)),"Money In",IF(ISNUMBER(SEARCH("Pay Utility Reversal",C1234)),"Money In",IF(ISNUMBER(SEARCH("Customer Transfer",C1234)),"Money In",IF(ISNUMBER(SEARCH("Ziidi",C1234)),"Investment",IF(ISNUMBER(SEARCH("Nabo",C1234)),"Investment",IF(ISNUMBER(SEARCH("Paybill Online",C1234)),"Pay Bill",IF(ISNUMBER(SEARCH("Pay Bill",C1234)),"Pay Bill",IF(ISNUMBER(SEARCH("Spotify",C1234)),"Pay Bill",IF(ISNUMBER(SEARCH("M-Shwari",C1234)),"Mshwari",IF(ISNUMBER(SEARCH("Mshwari",C1234)),"Mshwari",IF(ISNUMBER(SEARCH("Withdrawal charge",C1234)),"Fees",IF(ISNUMBER(SEARCH("Customer Withdrawal",C1234)),"Fees",IF(ISNUMBER(SEARCH("charge",C1234)),"Fees","Other")))))))))))))))))))))))))</f>
        <v>Bundles</v>
      </c>
      <c r="R1234" s="1" t="str">
        <f aca="false">TEXT(B1234,"MMM YYYY")</f>
        <v>May 2026</v>
      </c>
    </row>
    <row r="1235" customFormat="false" ht="13.8" hidden="false" customHeight="false" outlineLevel="0" collapsed="false">
      <c r="A1235" s="4" t="s">
        <v>2537</v>
      </c>
      <c r="B1235" s="4" t="s">
        <v>2538</v>
      </c>
      <c r="C1235" s="4" t="s">
        <v>90</v>
      </c>
      <c r="D1235" s="4" t="s">
        <v>18</v>
      </c>
      <c r="E1235" s="4"/>
      <c r="F1235" s="4" t="n">
        <v>10</v>
      </c>
      <c r="G1235" s="4" t="n">
        <v>90.78</v>
      </c>
      <c r="L1235" s="1" t="str">
        <f aca="false">IF(ISNUMBER(SEARCH("Bundle",C1235)),"Bundles",IF(ISNUMBER(SEARCH("Airtime",C1235)),"Bundles",IF(ISNUMBER(SEARCH("Merchant",C1235)),"Merchant Payment",IF(ISNUMBER(SEARCH("Offnet C2B",C1235)),"Merchant Payment",IF(ISNUMBER(SEARCH("Offnet B2C",C1235)),"Merchant Payment",IF(ISNUMBER(SEARCH("Customer Payment to Small",C1235)),"Merchant Payment",IF(ISNUMBER(SEARCH("Payment to Small Business",C1235)),"Merchant Payment",IF(ISNUMBER(SEARCH("Sent to",C1235)),"Sent to Person",IF(ISNUMBER(SEARCH("Customer Transfer to",C1235)),"Sent to Person",IF(ISNUMBER(SEARCH("Business Payment",C1235)),"Money In",IF(ISNUMBER(SEARCH("Funds Received",C1235)),"Money In",IF(ISNUMBER(SEARCH("Receive International",C1235)),"Money In",IF(ISNUMBER(SEARCH("Send Money Reversal",C1235)),"Money In",IF(ISNUMBER(SEARCH("Pay Utility Reversal",C1235)),"Money In",IF(ISNUMBER(SEARCH("Customer Transfer",C1235)),"Money In",IF(ISNUMBER(SEARCH("Ziidi",C1235)),"Investment",IF(ISNUMBER(SEARCH("Nabo",C1235)),"Investment",IF(ISNUMBER(SEARCH("Paybill Online",C1235)),"Pay Bill",IF(ISNUMBER(SEARCH("Pay Bill",C1235)),"Pay Bill",IF(ISNUMBER(SEARCH("Spotify",C1235)),"Pay Bill",IF(ISNUMBER(SEARCH("M-Shwari",C1235)),"Mshwari",IF(ISNUMBER(SEARCH("Mshwari",C1235)),"Mshwari",IF(ISNUMBER(SEARCH("Withdrawal charge",C1235)),"Fees",IF(ISNUMBER(SEARCH("Customer Withdrawal",C1235)),"Fees",IF(ISNUMBER(SEARCH("charge",C1235)),"Fees","Other")))))))))))))))))))))))))</f>
        <v>Bundles</v>
      </c>
      <c r="R1235" s="1" t="str">
        <f aca="false">TEXT(B1235,"MMM YYYY")</f>
        <v>May 2026</v>
      </c>
    </row>
    <row r="1236" customFormat="false" ht="13.8" hidden="false" customHeight="false" outlineLevel="0" collapsed="false">
      <c r="A1236" s="4" t="s">
        <v>2539</v>
      </c>
      <c r="B1236" s="4" t="s">
        <v>2540</v>
      </c>
      <c r="C1236" s="4" t="s">
        <v>90</v>
      </c>
      <c r="D1236" s="4" t="s">
        <v>18</v>
      </c>
      <c r="E1236" s="4"/>
      <c r="F1236" s="4" t="n">
        <v>10</v>
      </c>
      <c r="G1236" s="4" t="n">
        <v>80.78</v>
      </c>
      <c r="L1236" s="1" t="str">
        <f aca="false">IF(ISNUMBER(SEARCH("Bundle",C1236)),"Bundles",IF(ISNUMBER(SEARCH("Airtime",C1236)),"Bundles",IF(ISNUMBER(SEARCH("Merchant",C1236)),"Merchant Payment",IF(ISNUMBER(SEARCH("Offnet C2B",C1236)),"Merchant Payment",IF(ISNUMBER(SEARCH("Offnet B2C",C1236)),"Merchant Payment",IF(ISNUMBER(SEARCH("Customer Payment to Small",C1236)),"Merchant Payment",IF(ISNUMBER(SEARCH("Payment to Small Business",C1236)),"Merchant Payment",IF(ISNUMBER(SEARCH("Sent to",C1236)),"Sent to Person",IF(ISNUMBER(SEARCH("Customer Transfer to",C1236)),"Sent to Person",IF(ISNUMBER(SEARCH("Business Payment",C1236)),"Money In",IF(ISNUMBER(SEARCH("Funds Received",C1236)),"Money In",IF(ISNUMBER(SEARCH("Receive International",C1236)),"Money In",IF(ISNUMBER(SEARCH("Send Money Reversal",C1236)),"Money In",IF(ISNUMBER(SEARCH("Pay Utility Reversal",C1236)),"Money In",IF(ISNUMBER(SEARCH("Customer Transfer",C1236)),"Money In",IF(ISNUMBER(SEARCH("Ziidi",C1236)),"Investment",IF(ISNUMBER(SEARCH("Nabo",C1236)),"Investment",IF(ISNUMBER(SEARCH("Paybill Online",C1236)),"Pay Bill",IF(ISNUMBER(SEARCH("Pay Bill",C1236)),"Pay Bill",IF(ISNUMBER(SEARCH("Spotify",C1236)),"Pay Bill",IF(ISNUMBER(SEARCH("M-Shwari",C1236)),"Mshwari",IF(ISNUMBER(SEARCH("Mshwari",C1236)),"Mshwari",IF(ISNUMBER(SEARCH("Withdrawal charge",C1236)),"Fees",IF(ISNUMBER(SEARCH("Customer Withdrawal",C1236)),"Fees",IF(ISNUMBER(SEARCH("charge",C1236)),"Fees","Other")))))))))))))))))))))))))</f>
        <v>Bundles</v>
      </c>
      <c r="R1236" s="1" t="str">
        <f aca="false">TEXT(B1236,"MMM YYYY")</f>
        <v>May 2026</v>
      </c>
    </row>
    <row r="1237" customFormat="false" ht="13.8" hidden="false" customHeight="false" outlineLevel="0" collapsed="false">
      <c r="A1237" s="4" t="s">
        <v>2541</v>
      </c>
      <c r="B1237" s="4" t="s">
        <v>2542</v>
      </c>
      <c r="C1237" s="4" t="s">
        <v>90</v>
      </c>
      <c r="D1237" s="4" t="s">
        <v>18</v>
      </c>
      <c r="E1237" s="4"/>
      <c r="F1237" s="4" t="n">
        <v>10</v>
      </c>
      <c r="G1237" s="4" t="n">
        <v>70.78</v>
      </c>
      <c r="L1237" s="1" t="str">
        <f aca="false">IF(ISNUMBER(SEARCH("Bundle",C1237)),"Bundles",IF(ISNUMBER(SEARCH("Airtime",C1237)),"Bundles",IF(ISNUMBER(SEARCH("Merchant",C1237)),"Merchant Payment",IF(ISNUMBER(SEARCH("Offnet C2B",C1237)),"Merchant Payment",IF(ISNUMBER(SEARCH("Offnet B2C",C1237)),"Merchant Payment",IF(ISNUMBER(SEARCH("Customer Payment to Small",C1237)),"Merchant Payment",IF(ISNUMBER(SEARCH("Payment to Small Business",C1237)),"Merchant Payment",IF(ISNUMBER(SEARCH("Sent to",C1237)),"Sent to Person",IF(ISNUMBER(SEARCH("Customer Transfer to",C1237)),"Sent to Person",IF(ISNUMBER(SEARCH("Business Payment",C1237)),"Money In",IF(ISNUMBER(SEARCH("Funds Received",C1237)),"Money In",IF(ISNUMBER(SEARCH("Receive International",C1237)),"Money In",IF(ISNUMBER(SEARCH("Send Money Reversal",C1237)),"Money In",IF(ISNUMBER(SEARCH("Pay Utility Reversal",C1237)),"Money In",IF(ISNUMBER(SEARCH("Customer Transfer",C1237)),"Money In",IF(ISNUMBER(SEARCH("Ziidi",C1237)),"Investment",IF(ISNUMBER(SEARCH("Nabo",C1237)),"Investment",IF(ISNUMBER(SEARCH("Paybill Online",C1237)),"Pay Bill",IF(ISNUMBER(SEARCH("Pay Bill",C1237)),"Pay Bill",IF(ISNUMBER(SEARCH("Spotify",C1237)),"Pay Bill",IF(ISNUMBER(SEARCH("M-Shwari",C1237)),"Mshwari",IF(ISNUMBER(SEARCH("Mshwari",C1237)),"Mshwari",IF(ISNUMBER(SEARCH("Withdrawal charge",C1237)),"Fees",IF(ISNUMBER(SEARCH("Customer Withdrawal",C1237)),"Fees",IF(ISNUMBER(SEARCH("charge",C1237)),"Fees","Other")))))))))))))))))))))))))</f>
        <v>Bundles</v>
      </c>
      <c r="R1237" s="1" t="str">
        <f aca="false">TEXT(B1237,"MMM YYYY")</f>
        <v>May 2026</v>
      </c>
    </row>
    <row r="1238" customFormat="false" ht="13.8" hidden="false" customHeight="false" outlineLevel="0" collapsed="false">
      <c r="A1238" s="4" t="s">
        <v>2543</v>
      </c>
      <c r="B1238" s="4" t="s">
        <v>2544</v>
      </c>
      <c r="C1238" s="4" t="s">
        <v>90</v>
      </c>
      <c r="D1238" s="4" t="s">
        <v>18</v>
      </c>
      <c r="E1238" s="4"/>
      <c r="F1238" s="4" t="n">
        <v>10</v>
      </c>
      <c r="G1238" s="4" t="n">
        <v>60.78</v>
      </c>
      <c r="L1238" s="1" t="str">
        <f aca="false">IF(ISNUMBER(SEARCH("Bundle",C1238)),"Bundles",IF(ISNUMBER(SEARCH("Airtime",C1238)),"Bundles",IF(ISNUMBER(SEARCH("Merchant",C1238)),"Merchant Payment",IF(ISNUMBER(SEARCH("Offnet C2B",C1238)),"Merchant Payment",IF(ISNUMBER(SEARCH("Offnet B2C",C1238)),"Merchant Payment",IF(ISNUMBER(SEARCH("Customer Payment to Small",C1238)),"Merchant Payment",IF(ISNUMBER(SEARCH("Payment to Small Business",C1238)),"Merchant Payment",IF(ISNUMBER(SEARCH("Sent to",C1238)),"Sent to Person",IF(ISNUMBER(SEARCH("Customer Transfer to",C1238)),"Sent to Person",IF(ISNUMBER(SEARCH("Business Payment",C1238)),"Money In",IF(ISNUMBER(SEARCH("Funds Received",C1238)),"Money In",IF(ISNUMBER(SEARCH("Receive International",C1238)),"Money In",IF(ISNUMBER(SEARCH("Send Money Reversal",C1238)),"Money In",IF(ISNUMBER(SEARCH("Pay Utility Reversal",C1238)),"Money In",IF(ISNUMBER(SEARCH("Customer Transfer",C1238)),"Money In",IF(ISNUMBER(SEARCH("Ziidi",C1238)),"Investment",IF(ISNUMBER(SEARCH("Nabo",C1238)),"Investment",IF(ISNUMBER(SEARCH("Paybill Online",C1238)),"Pay Bill",IF(ISNUMBER(SEARCH("Pay Bill",C1238)),"Pay Bill",IF(ISNUMBER(SEARCH("Spotify",C1238)),"Pay Bill",IF(ISNUMBER(SEARCH("M-Shwari",C1238)),"Mshwari",IF(ISNUMBER(SEARCH("Mshwari",C1238)),"Mshwari",IF(ISNUMBER(SEARCH("Withdrawal charge",C1238)),"Fees",IF(ISNUMBER(SEARCH("Customer Withdrawal",C1238)),"Fees",IF(ISNUMBER(SEARCH("charge",C1238)),"Fees","Other")))))))))))))))))))))))))</f>
        <v>Bundles</v>
      </c>
      <c r="R1238" s="1" t="str">
        <f aca="false">TEXT(B1238,"MMM YYYY")</f>
        <v>May 2026</v>
      </c>
    </row>
    <row r="1239" customFormat="false" ht="13.8" hidden="false" customHeight="false" outlineLevel="0" collapsed="false">
      <c r="A1239" s="4" t="s">
        <v>2545</v>
      </c>
      <c r="B1239" s="4" t="s">
        <v>2546</v>
      </c>
      <c r="C1239" s="4" t="s">
        <v>90</v>
      </c>
      <c r="D1239" s="4" t="s">
        <v>18</v>
      </c>
      <c r="E1239" s="4"/>
      <c r="F1239" s="4" t="n">
        <v>10</v>
      </c>
      <c r="G1239" s="4" t="n">
        <v>50.78</v>
      </c>
      <c r="L1239" s="1" t="str">
        <f aca="false">IF(ISNUMBER(SEARCH("Bundle",C1239)),"Bundles",IF(ISNUMBER(SEARCH("Airtime",C1239)),"Bundles",IF(ISNUMBER(SEARCH("Merchant",C1239)),"Merchant Payment",IF(ISNUMBER(SEARCH("Offnet C2B",C1239)),"Merchant Payment",IF(ISNUMBER(SEARCH("Offnet B2C",C1239)),"Merchant Payment",IF(ISNUMBER(SEARCH("Customer Payment to Small",C1239)),"Merchant Payment",IF(ISNUMBER(SEARCH("Payment to Small Business",C1239)),"Merchant Payment",IF(ISNUMBER(SEARCH("Sent to",C1239)),"Sent to Person",IF(ISNUMBER(SEARCH("Customer Transfer to",C1239)),"Sent to Person",IF(ISNUMBER(SEARCH("Business Payment",C1239)),"Money In",IF(ISNUMBER(SEARCH("Funds Received",C1239)),"Money In",IF(ISNUMBER(SEARCH("Receive International",C1239)),"Money In",IF(ISNUMBER(SEARCH("Send Money Reversal",C1239)),"Money In",IF(ISNUMBER(SEARCH("Pay Utility Reversal",C1239)),"Money In",IF(ISNUMBER(SEARCH("Customer Transfer",C1239)),"Money In",IF(ISNUMBER(SEARCH("Ziidi",C1239)),"Investment",IF(ISNUMBER(SEARCH("Nabo",C1239)),"Investment",IF(ISNUMBER(SEARCH("Paybill Online",C1239)),"Pay Bill",IF(ISNUMBER(SEARCH("Pay Bill",C1239)),"Pay Bill",IF(ISNUMBER(SEARCH("Spotify",C1239)),"Pay Bill",IF(ISNUMBER(SEARCH("M-Shwari",C1239)),"Mshwari",IF(ISNUMBER(SEARCH("Mshwari",C1239)),"Mshwari",IF(ISNUMBER(SEARCH("Withdrawal charge",C1239)),"Fees",IF(ISNUMBER(SEARCH("Customer Withdrawal",C1239)),"Fees",IF(ISNUMBER(SEARCH("charge",C1239)),"Fees","Other")))))))))))))))))))))))))</f>
        <v>Bundles</v>
      </c>
      <c r="R1239" s="1" t="str">
        <f aca="false">TEXT(B1239,"MMM YYYY")</f>
        <v>May 2026</v>
      </c>
    </row>
    <row r="1240" customFormat="false" ht="13.8" hidden="false" customHeight="false" outlineLevel="0" collapsed="false">
      <c r="A1240" s="4" t="s">
        <v>2547</v>
      </c>
      <c r="B1240" s="4" t="s">
        <v>2548</v>
      </c>
      <c r="C1240" s="4" t="s">
        <v>90</v>
      </c>
      <c r="D1240" s="4" t="s">
        <v>18</v>
      </c>
      <c r="E1240" s="4"/>
      <c r="F1240" s="4" t="n">
        <v>10</v>
      </c>
      <c r="G1240" s="4" t="n">
        <v>40.78</v>
      </c>
      <c r="L1240" s="1" t="str">
        <f aca="false">IF(ISNUMBER(SEARCH("Bundle",C1240)),"Bundles",IF(ISNUMBER(SEARCH("Airtime",C1240)),"Bundles",IF(ISNUMBER(SEARCH("Merchant",C1240)),"Merchant Payment",IF(ISNUMBER(SEARCH("Offnet C2B",C1240)),"Merchant Payment",IF(ISNUMBER(SEARCH("Offnet B2C",C1240)),"Merchant Payment",IF(ISNUMBER(SEARCH("Customer Payment to Small",C1240)),"Merchant Payment",IF(ISNUMBER(SEARCH("Payment to Small Business",C1240)),"Merchant Payment",IF(ISNUMBER(SEARCH("Sent to",C1240)),"Sent to Person",IF(ISNUMBER(SEARCH("Customer Transfer to",C1240)),"Sent to Person",IF(ISNUMBER(SEARCH("Business Payment",C1240)),"Money In",IF(ISNUMBER(SEARCH("Funds Received",C1240)),"Money In",IF(ISNUMBER(SEARCH("Receive International",C1240)),"Money In",IF(ISNUMBER(SEARCH("Send Money Reversal",C1240)),"Money In",IF(ISNUMBER(SEARCH("Pay Utility Reversal",C1240)),"Money In",IF(ISNUMBER(SEARCH("Customer Transfer",C1240)),"Money In",IF(ISNUMBER(SEARCH("Ziidi",C1240)),"Investment",IF(ISNUMBER(SEARCH("Nabo",C1240)),"Investment",IF(ISNUMBER(SEARCH("Paybill Online",C1240)),"Pay Bill",IF(ISNUMBER(SEARCH("Pay Bill",C1240)),"Pay Bill",IF(ISNUMBER(SEARCH("Spotify",C1240)),"Pay Bill",IF(ISNUMBER(SEARCH("M-Shwari",C1240)),"Mshwari",IF(ISNUMBER(SEARCH("Mshwari",C1240)),"Mshwari",IF(ISNUMBER(SEARCH("Withdrawal charge",C1240)),"Fees",IF(ISNUMBER(SEARCH("Customer Withdrawal",C1240)),"Fees",IF(ISNUMBER(SEARCH("charge",C1240)),"Fees","Other")))))))))))))))))))))))))</f>
        <v>Bundles</v>
      </c>
      <c r="R1240" s="1" t="str">
        <f aca="false">TEXT(B1240,"MMM YYYY")</f>
        <v>May 2026</v>
      </c>
    </row>
    <row r="1241" customFormat="false" ht="13.8" hidden="false" customHeight="false" outlineLevel="0" collapsed="false">
      <c r="A1241" s="4" t="s">
        <v>2549</v>
      </c>
      <c r="B1241" s="4" t="s">
        <v>2550</v>
      </c>
      <c r="C1241" s="4" t="s">
        <v>90</v>
      </c>
      <c r="D1241" s="4" t="s">
        <v>18</v>
      </c>
      <c r="E1241" s="4"/>
      <c r="F1241" s="4" t="n">
        <v>20</v>
      </c>
      <c r="G1241" s="4" t="n">
        <v>20.78</v>
      </c>
      <c r="L1241" s="1" t="str">
        <f aca="false">IF(ISNUMBER(SEARCH("Bundle",C1241)),"Bundles",IF(ISNUMBER(SEARCH("Airtime",C1241)),"Bundles",IF(ISNUMBER(SEARCH("Merchant",C1241)),"Merchant Payment",IF(ISNUMBER(SEARCH("Offnet C2B",C1241)),"Merchant Payment",IF(ISNUMBER(SEARCH("Offnet B2C",C1241)),"Merchant Payment",IF(ISNUMBER(SEARCH("Customer Payment to Small",C1241)),"Merchant Payment",IF(ISNUMBER(SEARCH("Payment to Small Business",C1241)),"Merchant Payment",IF(ISNUMBER(SEARCH("Sent to",C1241)),"Sent to Person",IF(ISNUMBER(SEARCH("Customer Transfer to",C1241)),"Sent to Person",IF(ISNUMBER(SEARCH("Business Payment",C1241)),"Money In",IF(ISNUMBER(SEARCH("Funds Received",C1241)),"Money In",IF(ISNUMBER(SEARCH("Receive International",C1241)),"Money In",IF(ISNUMBER(SEARCH("Send Money Reversal",C1241)),"Money In",IF(ISNUMBER(SEARCH("Pay Utility Reversal",C1241)),"Money In",IF(ISNUMBER(SEARCH("Customer Transfer",C1241)),"Money In",IF(ISNUMBER(SEARCH("Ziidi",C1241)),"Investment",IF(ISNUMBER(SEARCH("Nabo",C1241)),"Investment",IF(ISNUMBER(SEARCH("Paybill Online",C1241)),"Pay Bill",IF(ISNUMBER(SEARCH("Pay Bill",C1241)),"Pay Bill",IF(ISNUMBER(SEARCH("Spotify",C1241)),"Pay Bill",IF(ISNUMBER(SEARCH("M-Shwari",C1241)),"Mshwari",IF(ISNUMBER(SEARCH("Mshwari",C1241)),"Mshwari",IF(ISNUMBER(SEARCH("Withdrawal charge",C1241)),"Fees",IF(ISNUMBER(SEARCH("Customer Withdrawal",C1241)),"Fees",IF(ISNUMBER(SEARCH("charge",C1241)),"Fees","Other")))))))))))))))))))))))))</f>
        <v>Bundles</v>
      </c>
      <c r="R1241" s="1" t="str">
        <f aca="false">TEXT(B1241,"MMM YYYY")</f>
        <v>May 2026</v>
      </c>
    </row>
    <row r="1242" customFormat="false" ht="13.8" hidden="false" customHeight="false" outlineLevel="0" collapsed="false">
      <c r="A1242" s="4" t="s">
        <v>2551</v>
      </c>
      <c r="B1242" s="4" t="s">
        <v>2552</v>
      </c>
      <c r="C1242" s="4" t="s">
        <v>90</v>
      </c>
      <c r="D1242" s="4" t="s">
        <v>18</v>
      </c>
      <c r="E1242" s="4"/>
      <c r="F1242" s="4" t="n">
        <v>10</v>
      </c>
      <c r="G1242" s="4" t="n">
        <v>10.78</v>
      </c>
      <c r="L1242" s="1" t="str">
        <f aca="false">IF(ISNUMBER(SEARCH("Bundle",C1242)),"Bundles",IF(ISNUMBER(SEARCH("Airtime",C1242)),"Bundles",IF(ISNUMBER(SEARCH("Merchant",C1242)),"Merchant Payment",IF(ISNUMBER(SEARCH("Offnet C2B",C1242)),"Merchant Payment",IF(ISNUMBER(SEARCH("Offnet B2C",C1242)),"Merchant Payment",IF(ISNUMBER(SEARCH("Customer Payment to Small",C1242)),"Merchant Payment",IF(ISNUMBER(SEARCH("Payment to Small Business",C1242)),"Merchant Payment",IF(ISNUMBER(SEARCH("Sent to",C1242)),"Sent to Person",IF(ISNUMBER(SEARCH("Customer Transfer to",C1242)),"Sent to Person",IF(ISNUMBER(SEARCH("Business Payment",C1242)),"Money In",IF(ISNUMBER(SEARCH("Funds Received",C1242)),"Money In",IF(ISNUMBER(SEARCH("Receive International",C1242)),"Money In",IF(ISNUMBER(SEARCH("Send Money Reversal",C1242)),"Money In",IF(ISNUMBER(SEARCH("Pay Utility Reversal",C1242)),"Money In",IF(ISNUMBER(SEARCH("Customer Transfer",C1242)),"Money In",IF(ISNUMBER(SEARCH("Ziidi",C1242)),"Investment",IF(ISNUMBER(SEARCH("Nabo",C1242)),"Investment",IF(ISNUMBER(SEARCH("Paybill Online",C1242)),"Pay Bill",IF(ISNUMBER(SEARCH("Pay Bill",C1242)),"Pay Bill",IF(ISNUMBER(SEARCH("Spotify",C1242)),"Pay Bill",IF(ISNUMBER(SEARCH("M-Shwari",C1242)),"Mshwari",IF(ISNUMBER(SEARCH("Mshwari",C1242)),"Mshwari",IF(ISNUMBER(SEARCH("Withdrawal charge",C1242)),"Fees",IF(ISNUMBER(SEARCH("Customer Withdrawal",C1242)),"Fees",IF(ISNUMBER(SEARCH("charge",C1242)),"Fees","Other")))))))))))))))))))))))))</f>
        <v>Bundles</v>
      </c>
      <c r="R1242" s="1" t="str">
        <f aca="false">TEXT(B1242,"MMM YYYY")</f>
        <v>May 2026</v>
      </c>
    </row>
    <row r="1243" customFormat="false" ht="13.8" hidden="false" customHeight="false" outlineLevel="0" collapsed="false">
      <c r="A1243" s="4" t="s">
        <v>2553</v>
      </c>
      <c r="B1243" s="4" t="s">
        <v>2554</v>
      </c>
      <c r="C1243" s="4" t="s">
        <v>29</v>
      </c>
      <c r="D1243" s="4" t="s">
        <v>18</v>
      </c>
      <c r="E1243" s="4"/>
      <c r="F1243" s="4" t="n">
        <v>10</v>
      </c>
      <c r="G1243" s="4" t="n">
        <v>0.78</v>
      </c>
      <c r="L1243" s="1" t="str">
        <f aca="false">IF(ISNUMBER(SEARCH("Bundle",C1243)),"Bundles",IF(ISNUMBER(SEARCH("Airtime",C1243)),"Bundles",IF(ISNUMBER(SEARCH("Merchant",C1243)),"Merchant Payment",IF(ISNUMBER(SEARCH("Offnet C2B",C1243)),"Merchant Payment",IF(ISNUMBER(SEARCH("Offnet B2C",C1243)),"Merchant Payment",IF(ISNUMBER(SEARCH("Customer Payment to Small",C1243)),"Merchant Payment",IF(ISNUMBER(SEARCH("Payment to Small Business",C1243)),"Merchant Payment",IF(ISNUMBER(SEARCH("Sent to",C1243)),"Sent to Person",IF(ISNUMBER(SEARCH("Customer Transfer to",C1243)),"Sent to Person",IF(ISNUMBER(SEARCH("Business Payment",C1243)),"Money In",IF(ISNUMBER(SEARCH("Funds Received",C1243)),"Money In",IF(ISNUMBER(SEARCH("Receive International",C1243)),"Money In",IF(ISNUMBER(SEARCH("Send Money Reversal",C1243)),"Money In",IF(ISNUMBER(SEARCH("Pay Utility Reversal",C1243)),"Money In",IF(ISNUMBER(SEARCH("Customer Transfer",C1243)),"Money In",IF(ISNUMBER(SEARCH("Ziidi",C1243)),"Investment",IF(ISNUMBER(SEARCH("Nabo",C1243)),"Investment",IF(ISNUMBER(SEARCH("Paybill Online",C1243)),"Pay Bill",IF(ISNUMBER(SEARCH("Pay Bill",C1243)),"Pay Bill",IF(ISNUMBER(SEARCH("Spotify",C1243)),"Pay Bill",IF(ISNUMBER(SEARCH("M-Shwari",C1243)),"Mshwari",IF(ISNUMBER(SEARCH("Mshwari",C1243)),"Mshwari",IF(ISNUMBER(SEARCH("Withdrawal charge",C1243)),"Fees",IF(ISNUMBER(SEARCH("Customer Withdrawal",C1243)),"Fees",IF(ISNUMBER(SEARCH("charge",C1243)),"Fees","Other")))))))))))))))))))))))))</f>
        <v>Bundles</v>
      </c>
      <c r="R1243" s="1" t="str">
        <f aca="false">TEXT(B1243,"MMM YYYY")</f>
        <v>May 2026</v>
      </c>
    </row>
    <row r="1244" customFormat="false" ht="13.8" hidden="false" customHeight="false" outlineLevel="0" collapsed="false">
      <c r="A1244" s="4" t="s">
        <v>2555</v>
      </c>
      <c r="B1244" s="4" t="s">
        <v>2556</v>
      </c>
      <c r="C1244" s="4" t="s">
        <v>192</v>
      </c>
      <c r="D1244" s="4" t="s">
        <v>18</v>
      </c>
      <c r="E1244" s="4" t="n">
        <v>500</v>
      </c>
      <c r="F1244" s="4"/>
      <c r="G1244" s="4" t="n">
        <v>500.78</v>
      </c>
      <c r="L1244" s="1" t="str">
        <f aca="false">IF(ISNUMBER(SEARCH("Bundle",C1244)),"Bundles",IF(ISNUMBER(SEARCH("Airtime",C1244)),"Bundles",IF(ISNUMBER(SEARCH("Merchant",C1244)),"Merchant Payment",IF(ISNUMBER(SEARCH("Offnet C2B",C1244)),"Merchant Payment",IF(ISNUMBER(SEARCH("Offnet B2C",C1244)),"Merchant Payment",IF(ISNUMBER(SEARCH("Customer Payment to Small",C1244)),"Merchant Payment",IF(ISNUMBER(SEARCH("Payment to Small Business",C1244)),"Merchant Payment",IF(ISNUMBER(SEARCH("Sent to",C1244)),"Sent to Person",IF(ISNUMBER(SEARCH("Customer Transfer to",C1244)),"Sent to Person",IF(ISNUMBER(SEARCH("Business Payment",C1244)),"Money In",IF(ISNUMBER(SEARCH("Funds Received",C1244)),"Money In",IF(ISNUMBER(SEARCH("Receive International",C1244)),"Money In",IF(ISNUMBER(SEARCH("Send Money Reversal",C1244)),"Money In",IF(ISNUMBER(SEARCH("Pay Utility Reversal",C1244)),"Money In",IF(ISNUMBER(SEARCH("Customer Transfer",C1244)),"Money In",IF(ISNUMBER(SEARCH("Ziidi",C1244)),"Investment",IF(ISNUMBER(SEARCH("Nabo",C1244)),"Investment",IF(ISNUMBER(SEARCH("Paybill Online",C1244)),"Pay Bill",IF(ISNUMBER(SEARCH("Pay Bill",C1244)),"Pay Bill",IF(ISNUMBER(SEARCH("Spotify",C1244)),"Pay Bill",IF(ISNUMBER(SEARCH("M-Shwari",C1244)),"Mshwari",IF(ISNUMBER(SEARCH("Mshwari",C1244)),"Mshwari",IF(ISNUMBER(SEARCH("Withdrawal charge",C1244)),"Fees",IF(ISNUMBER(SEARCH("Customer Withdrawal",C1244)),"Fees",IF(ISNUMBER(SEARCH("charge",C1244)),"Fees","Other")))))))))))))))))))))))))</f>
        <v>Mshwari</v>
      </c>
      <c r="R1244" s="1" t="str">
        <f aca="false">TEXT(B1244,"MMM YYYY")</f>
        <v>May 2026</v>
      </c>
    </row>
    <row r="1245" customFormat="false" ht="13.8" hidden="false" customHeight="false" outlineLevel="0" collapsed="false">
      <c r="A1245" s="4" t="s">
        <v>2557</v>
      </c>
      <c r="B1245" s="4" t="s">
        <v>2558</v>
      </c>
      <c r="C1245" s="4" t="s">
        <v>29</v>
      </c>
      <c r="D1245" s="4" t="s">
        <v>18</v>
      </c>
      <c r="E1245" s="4"/>
      <c r="F1245" s="4" t="n">
        <v>10</v>
      </c>
      <c r="G1245" s="4" t="n">
        <v>490.78</v>
      </c>
      <c r="L1245" s="1" t="str">
        <f aca="false">IF(ISNUMBER(SEARCH("Bundle",C1245)),"Bundles",IF(ISNUMBER(SEARCH("Airtime",C1245)),"Bundles",IF(ISNUMBER(SEARCH("Merchant",C1245)),"Merchant Payment",IF(ISNUMBER(SEARCH("Offnet C2B",C1245)),"Merchant Payment",IF(ISNUMBER(SEARCH("Offnet B2C",C1245)),"Merchant Payment",IF(ISNUMBER(SEARCH("Customer Payment to Small",C1245)),"Merchant Payment",IF(ISNUMBER(SEARCH("Payment to Small Business",C1245)),"Merchant Payment",IF(ISNUMBER(SEARCH("Sent to",C1245)),"Sent to Person",IF(ISNUMBER(SEARCH("Customer Transfer to",C1245)),"Sent to Person",IF(ISNUMBER(SEARCH("Business Payment",C1245)),"Money In",IF(ISNUMBER(SEARCH("Funds Received",C1245)),"Money In",IF(ISNUMBER(SEARCH("Receive International",C1245)),"Money In",IF(ISNUMBER(SEARCH("Send Money Reversal",C1245)),"Money In",IF(ISNUMBER(SEARCH("Pay Utility Reversal",C1245)),"Money In",IF(ISNUMBER(SEARCH("Customer Transfer",C1245)),"Money In",IF(ISNUMBER(SEARCH("Ziidi",C1245)),"Investment",IF(ISNUMBER(SEARCH("Nabo",C1245)),"Investment",IF(ISNUMBER(SEARCH("Paybill Online",C1245)),"Pay Bill",IF(ISNUMBER(SEARCH("Pay Bill",C1245)),"Pay Bill",IF(ISNUMBER(SEARCH("Spotify",C1245)),"Pay Bill",IF(ISNUMBER(SEARCH("M-Shwari",C1245)),"Mshwari",IF(ISNUMBER(SEARCH("Mshwari",C1245)),"Mshwari",IF(ISNUMBER(SEARCH("Withdrawal charge",C1245)),"Fees",IF(ISNUMBER(SEARCH("Customer Withdrawal",C1245)),"Fees",IF(ISNUMBER(SEARCH("charge",C1245)),"Fees","Other")))))))))))))))))))))))))</f>
        <v>Bundles</v>
      </c>
      <c r="R1245" s="1" t="str">
        <f aca="false">TEXT(B1245,"MMM YYYY")</f>
        <v>May 2026</v>
      </c>
    </row>
    <row r="1246" customFormat="false" ht="13.8" hidden="false" customHeight="false" outlineLevel="0" collapsed="false">
      <c r="A1246" s="4" t="s">
        <v>2559</v>
      </c>
      <c r="B1246" s="4" t="s">
        <v>2560</v>
      </c>
      <c r="C1246" s="4" t="s">
        <v>29</v>
      </c>
      <c r="D1246" s="4" t="s">
        <v>18</v>
      </c>
      <c r="E1246" s="4"/>
      <c r="F1246" s="4" t="n">
        <v>10</v>
      </c>
      <c r="G1246" s="4" t="n">
        <v>480.78</v>
      </c>
      <c r="L1246" s="1" t="str">
        <f aca="false">IF(ISNUMBER(SEARCH("Bundle",C1246)),"Bundles",IF(ISNUMBER(SEARCH("Airtime",C1246)),"Bundles",IF(ISNUMBER(SEARCH("Merchant",C1246)),"Merchant Payment",IF(ISNUMBER(SEARCH("Offnet C2B",C1246)),"Merchant Payment",IF(ISNUMBER(SEARCH("Offnet B2C",C1246)),"Merchant Payment",IF(ISNUMBER(SEARCH("Customer Payment to Small",C1246)),"Merchant Payment",IF(ISNUMBER(SEARCH("Payment to Small Business",C1246)),"Merchant Payment",IF(ISNUMBER(SEARCH("Sent to",C1246)),"Sent to Person",IF(ISNUMBER(SEARCH("Customer Transfer to",C1246)),"Sent to Person",IF(ISNUMBER(SEARCH("Business Payment",C1246)),"Money In",IF(ISNUMBER(SEARCH("Funds Received",C1246)),"Money In",IF(ISNUMBER(SEARCH("Receive International",C1246)),"Money In",IF(ISNUMBER(SEARCH("Send Money Reversal",C1246)),"Money In",IF(ISNUMBER(SEARCH("Pay Utility Reversal",C1246)),"Money In",IF(ISNUMBER(SEARCH("Customer Transfer",C1246)),"Money In",IF(ISNUMBER(SEARCH("Ziidi",C1246)),"Investment",IF(ISNUMBER(SEARCH("Nabo",C1246)),"Investment",IF(ISNUMBER(SEARCH("Paybill Online",C1246)),"Pay Bill",IF(ISNUMBER(SEARCH("Pay Bill",C1246)),"Pay Bill",IF(ISNUMBER(SEARCH("Spotify",C1246)),"Pay Bill",IF(ISNUMBER(SEARCH("M-Shwari",C1246)),"Mshwari",IF(ISNUMBER(SEARCH("Mshwari",C1246)),"Mshwari",IF(ISNUMBER(SEARCH("Withdrawal charge",C1246)),"Fees",IF(ISNUMBER(SEARCH("Customer Withdrawal",C1246)),"Fees",IF(ISNUMBER(SEARCH("charge",C1246)),"Fees","Other")))))))))))))))))))))))))</f>
        <v>Bundles</v>
      </c>
      <c r="R1246" s="1" t="str">
        <f aca="false">TEXT(B1246,"MMM YYYY")</f>
        <v>May 2026</v>
      </c>
    </row>
    <row r="1247" customFormat="false" ht="13.8" hidden="false" customHeight="false" outlineLevel="0" collapsed="false">
      <c r="A1247" s="4" t="s">
        <v>2561</v>
      </c>
      <c r="B1247" s="4" t="s">
        <v>2562</v>
      </c>
      <c r="C1247" s="4" t="s">
        <v>29</v>
      </c>
      <c r="D1247" s="4" t="s">
        <v>18</v>
      </c>
      <c r="E1247" s="4"/>
      <c r="F1247" s="4" t="n">
        <v>10</v>
      </c>
      <c r="G1247" s="4" t="n">
        <v>470.78</v>
      </c>
      <c r="L1247" s="1" t="str">
        <f aca="false">IF(ISNUMBER(SEARCH("Bundle",C1247)),"Bundles",IF(ISNUMBER(SEARCH("Airtime",C1247)),"Bundles",IF(ISNUMBER(SEARCH("Merchant",C1247)),"Merchant Payment",IF(ISNUMBER(SEARCH("Offnet C2B",C1247)),"Merchant Payment",IF(ISNUMBER(SEARCH("Offnet B2C",C1247)),"Merchant Payment",IF(ISNUMBER(SEARCH("Customer Payment to Small",C1247)),"Merchant Payment",IF(ISNUMBER(SEARCH("Payment to Small Business",C1247)),"Merchant Payment",IF(ISNUMBER(SEARCH("Sent to",C1247)),"Sent to Person",IF(ISNUMBER(SEARCH("Customer Transfer to",C1247)),"Sent to Person",IF(ISNUMBER(SEARCH("Business Payment",C1247)),"Money In",IF(ISNUMBER(SEARCH("Funds Received",C1247)),"Money In",IF(ISNUMBER(SEARCH("Receive International",C1247)),"Money In",IF(ISNUMBER(SEARCH("Send Money Reversal",C1247)),"Money In",IF(ISNUMBER(SEARCH("Pay Utility Reversal",C1247)),"Money In",IF(ISNUMBER(SEARCH("Customer Transfer",C1247)),"Money In",IF(ISNUMBER(SEARCH("Ziidi",C1247)),"Investment",IF(ISNUMBER(SEARCH("Nabo",C1247)),"Investment",IF(ISNUMBER(SEARCH("Paybill Online",C1247)),"Pay Bill",IF(ISNUMBER(SEARCH("Pay Bill",C1247)),"Pay Bill",IF(ISNUMBER(SEARCH("Spotify",C1247)),"Pay Bill",IF(ISNUMBER(SEARCH("M-Shwari",C1247)),"Mshwari",IF(ISNUMBER(SEARCH("Mshwari",C1247)),"Mshwari",IF(ISNUMBER(SEARCH("Withdrawal charge",C1247)),"Fees",IF(ISNUMBER(SEARCH("Customer Withdrawal",C1247)),"Fees",IF(ISNUMBER(SEARCH("charge",C1247)),"Fees","Other")))))))))))))))))))))))))</f>
        <v>Bundles</v>
      </c>
      <c r="R1247" s="1" t="str">
        <f aca="false">TEXT(B1247,"MMM YYYY")</f>
        <v>May 2026</v>
      </c>
    </row>
    <row r="1248" customFormat="false" ht="13.8" hidden="false" customHeight="false" outlineLevel="0" collapsed="false">
      <c r="A1248" s="4" t="s">
        <v>2563</v>
      </c>
      <c r="B1248" s="4" t="s">
        <v>2564</v>
      </c>
      <c r="C1248" s="4" t="s">
        <v>29</v>
      </c>
      <c r="D1248" s="4" t="s">
        <v>18</v>
      </c>
      <c r="E1248" s="4"/>
      <c r="F1248" s="4" t="n">
        <v>10</v>
      </c>
      <c r="G1248" s="4" t="n">
        <v>460.78</v>
      </c>
      <c r="L1248" s="1" t="str">
        <f aca="false">IF(ISNUMBER(SEARCH("Bundle",C1248)),"Bundles",IF(ISNUMBER(SEARCH("Airtime",C1248)),"Bundles",IF(ISNUMBER(SEARCH("Merchant",C1248)),"Merchant Payment",IF(ISNUMBER(SEARCH("Offnet C2B",C1248)),"Merchant Payment",IF(ISNUMBER(SEARCH("Offnet B2C",C1248)),"Merchant Payment",IF(ISNUMBER(SEARCH("Customer Payment to Small",C1248)),"Merchant Payment",IF(ISNUMBER(SEARCH("Payment to Small Business",C1248)),"Merchant Payment",IF(ISNUMBER(SEARCH("Sent to",C1248)),"Sent to Person",IF(ISNUMBER(SEARCH("Customer Transfer to",C1248)),"Sent to Person",IF(ISNUMBER(SEARCH("Business Payment",C1248)),"Money In",IF(ISNUMBER(SEARCH("Funds Received",C1248)),"Money In",IF(ISNUMBER(SEARCH("Receive International",C1248)),"Money In",IF(ISNUMBER(SEARCH("Send Money Reversal",C1248)),"Money In",IF(ISNUMBER(SEARCH("Pay Utility Reversal",C1248)),"Money In",IF(ISNUMBER(SEARCH("Customer Transfer",C1248)),"Money In",IF(ISNUMBER(SEARCH("Ziidi",C1248)),"Investment",IF(ISNUMBER(SEARCH("Nabo",C1248)),"Investment",IF(ISNUMBER(SEARCH("Paybill Online",C1248)),"Pay Bill",IF(ISNUMBER(SEARCH("Pay Bill",C1248)),"Pay Bill",IF(ISNUMBER(SEARCH("Spotify",C1248)),"Pay Bill",IF(ISNUMBER(SEARCH("M-Shwari",C1248)),"Mshwari",IF(ISNUMBER(SEARCH("Mshwari",C1248)),"Mshwari",IF(ISNUMBER(SEARCH("Withdrawal charge",C1248)),"Fees",IF(ISNUMBER(SEARCH("Customer Withdrawal",C1248)),"Fees",IF(ISNUMBER(SEARCH("charge",C1248)),"Fees","Other")))))))))))))))))))))))))</f>
        <v>Bundles</v>
      </c>
      <c r="R1248" s="1" t="str">
        <f aca="false">TEXT(B1248,"MMM YYYY")</f>
        <v>May 2026</v>
      </c>
    </row>
    <row r="1249" customFormat="false" ht="13.8" hidden="false" customHeight="false" outlineLevel="0" collapsed="false">
      <c r="A1249" s="4" t="s">
        <v>2565</v>
      </c>
      <c r="B1249" s="4" t="s">
        <v>2566</v>
      </c>
      <c r="C1249" s="4" t="s">
        <v>29</v>
      </c>
      <c r="D1249" s="4" t="s">
        <v>18</v>
      </c>
      <c r="E1249" s="4"/>
      <c r="F1249" s="4" t="n">
        <v>5</v>
      </c>
      <c r="G1249" s="4" t="n">
        <v>455.78</v>
      </c>
      <c r="L1249" s="1" t="str">
        <f aca="false">IF(ISNUMBER(SEARCH("Bundle",C1249)),"Bundles",IF(ISNUMBER(SEARCH("Airtime",C1249)),"Bundles",IF(ISNUMBER(SEARCH("Merchant",C1249)),"Merchant Payment",IF(ISNUMBER(SEARCH("Offnet C2B",C1249)),"Merchant Payment",IF(ISNUMBER(SEARCH("Offnet B2C",C1249)),"Merchant Payment",IF(ISNUMBER(SEARCH("Customer Payment to Small",C1249)),"Merchant Payment",IF(ISNUMBER(SEARCH("Payment to Small Business",C1249)),"Merchant Payment",IF(ISNUMBER(SEARCH("Sent to",C1249)),"Sent to Person",IF(ISNUMBER(SEARCH("Customer Transfer to",C1249)),"Sent to Person",IF(ISNUMBER(SEARCH("Business Payment",C1249)),"Money In",IF(ISNUMBER(SEARCH("Funds Received",C1249)),"Money In",IF(ISNUMBER(SEARCH("Receive International",C1249)),"Money In",IF(ISNUMBER(SEARCH("Send Money Reversal",C1249)),"Money In",IF(ISNUMBER(SEARCH("Pay Utility Reversal",C1249)),"Money In",IF(ISNUMBER(SEARCH("Customer Transfer",C1249)),"Money In",IF(ISNUMBER(SEARCH("Ziidi",C1249)),"Investment",IF(ISNUMBER(SEARCH("Nabo",C1249)),"Investment",IF(ISNUMBER(SEARCH("Paybill Online",C1249)),"Pay Bill",IF(ISNUMBER(SEARCH("Pay Bill",C1249)),"Pay Bill",IF(ISNUMBER(SEARCH("Spotify",C1249)),"Pay Bill",IF(ISNUMBER(SEARCH("M-Shwari",C1249)),"Mshwari",IF(ISNUMBER(SEARCH("Mshwari",C1249)),"Mshwari",IF(ISNUMBER(SEARCH("Withdrawal charge",C1249)),"Fees",IF(ISNUMBER(SEARCH("Customer Withdrawal",C1249)),"Fees",IF(ISNUMBER(SEARCH("charge",C1249)),"Fees","Other")))))))))))))))))))))))))</f>
        <v>Bundles</v>
      </c>
      <c r="R1249" s="1" t="str">
        <f aca="false">TEXT(B1249,"MMM YYYY")</f>
        <v>May 2026</v>
      </c>
    </row>
    <row r="1250" customFormat="false" ht="13.8" hidden="false" customHeight="false" outlineLevel="0" collapsed="false">
      <c r="A1250" s="4" t="s">
        <v>2567</v>
      </c>
      <c r="B1250" s="4" t="s">
        <v>2568</v>
      </c>
      <c r="C1250" s="4" t="s">
        <v>29</v>
      </c>
      <c r="D1250" s="4" t="s">
        <v>18</v>
      </c>
      <c r="E1250" s="4"/>
      <c r="F1250" s="4" t="n">
        <v>20</v>
      </c>
      <c r="G1250" s="4" t="n">
        <v>435.78</v>
      </c>
      <c r="L1250" s="1" t="str">
        <f aca="false">IF(ISNUMBER(SEARCH("Bundle",C1250)),"Bundles",IF(ISNUMBER(SEARCH("Airtime",C1250)),"Bundles",IF(ISNUMBER(SEARCH("Merchant",C1250)),"Merchant Payment",IF(ISNUMBER(SEARCH("Offnet C2B",C1250)),"Merchant Payment",IF(ISNUMBER(SEARCH("Offnet B2C",C1250)),"Merchant Payment",IF(ISNUMBER(SEARCH("Customer Payment to Small",C1250)),"Merchant Payment",IF(ISNUMBER(SEARCH("Payment to Small Business",C1250)),"Merchant Payment",IF(ISNUMBER(SEARCH("Sent to",C1250)),"Sent to Person",IF(ISNUMBER(SEARCH("Customer Transfer to",C1250)),"Sent to Person",IF(ISNUMBER(SEARCH("Business Payment",C1250)),"Money In",IF(ISNUMBER(SEARCH("Funds Received",C1250)),"Money In",IF(ISNUMBER(SEARCH("Receive International",C1250)),"Money In",IF(ISNUMBER(SEARCH("Send Money Reversal",C1250)),"Money In",IF(ISNUMBER(SEARCH("Pay Utility Reversal",C1250)),"Money In",IF(ISNUMBER(SEARCH("Customer Transfer",C1250)),"Money In",IF(ISNUMBER(SEARCH("Ziidi",C1250)),"Investment",IF(ISNUMBER(SEARCH("Nabo",C1250)),"Investment",IF(ISNUMBER(SEARCH("Paybill Online",C1250)),"Pay Bill",IF(ISNUMBER(SEARCH("Pay Bill",C1250)),"Pay Bill",IF(ISNUMBER(SEARCH("Spotify",C1250)),"Pay Bill",IF(ISNUMBER(SEARCH("M-Shwari",C1250)),"Mshwari",IF(ISNUMBER(SEARCH("Mshwari",C1250)),"Mshwari",IF(ISNUMBER(SEARCH("Withdrawal charge",C1250)),"Fees",IF(ISNUMBER(SEARCH("Customer Withdrawal",C1250)),"Fees",IF(ISNUMBER(SEARCH("charge",C1250)),"Fees","Other")))))))))))))))))))))))))</f>
        <v>Bundles</v>
      </c>
      <c r="R1250" s="1" t="str">
        <f aca="false">TEXT(B1250,"MMM YYYY")</f>
        <v>May 2026</v>
      </c>
    </row>
    <row r="1251" customFormat="false" ht="13.8" hidden="false" customHeight="false" outlineLevel="0" collapsed="false">
      <c r="A1251" s="4" t="s">
        <v>2569</v>
      </c>
      <c r="B1251" s="4" t="s">
        <v>2570</v>
      </c>
      <c r="C1251" s="4" t="s">
        <v>29</v>
      </c>
      <c r="D1251" s="4" t="s">
        <v>18</v>
      </c>
      <c r="E1251" s="4"/>
      <c r="F1251" s="4" t="n">
        <v>10</v>
      </c>
      <c r="G1251" s="4" t="n">
        <v>425.78</v>
      </c>
      <c r="L1251" s="1" t="str">
        <f aca="false">IF(ISNUMBER(SEARCH("Bundle",C1251)),"Bundles",IF(ISNUMBER(SEARCH("Airtime",C1251)),"Bundles",IF(ISNUMBER(SEARCH("Merchant",C1251)),"Merchant Payment",IF(ISNUMBER(SEARCH("Offnet C2B",C1251)),"Merchant Payment",IF(ISNUMBER(SEARCH("Offnet B2C",C1251)),"Merchant Payment",IF(ISNUMBER(SEARCH("Customer Payment to Small",C1251)),"Merchant Payment",IF(ISNUMBER(SEARCH("Payment to Small Business",C1251)),"Merchant Payment",IF(ISNUMBER(SEARCH("Sent to",C1251)),"Sent to Person",IF(ISNUMBER(SEARCH("Customer Transfer to",C1251)),"Sent to Person",IF(ISNUMBER(SEARCH("Business Payment",C1251)),"Money In",IF(ISNUMBER(SEARCH("Funds Received",C1251)),"Money In",IF(ISNUMBER(SEARCH("Receive International",C1251)),"Money In",IF(ISNUMBER(SEARCH("Send Money Reversal",C1251)),"Money In",IF(ISNUMBER(SEARCH("Pay Utility Reversal",C1251)),"Money In",IF(ISNUMBER(SEARCH("Customer Transfer",C1251)),"Money In",IF(ISNUMBER(SEARCH("Ziidi",C1251)),"Investment",IF(ISNUMBER(SEARCH("Nabo",C1251)),"Investment",IF(ISNUMBER(SEARCH("Paybill Online",C1251)),"Pay Bill",IF(ISNUMBER(SEARCH("Pay Bill",C1251)),"Pay Bill",IF(ISNUMBER(SEARCH("Spotify",C1251)),"Pay Bill",IF(ISNUMBER(SEARCH("M-Shwari",C1251)),"Mshwari",IF(ISNUMBER(SEARCH("Mshwari",C1251)),"Mshwari",IF(ISNUMBER(SEARCH("Withdrawal charge",C1251)),"Fees",IF(ISNUMBER(SEARCH("Customer Withdrawal",C1251)),"Fees",IF(ISNUMBER(SEARCH("charge",C1251)),"Fees","Other")))))))))))))))))))))))))</f>
        <v>Bundles</v>
      </c>
      <c r="R1251" s="1" t="str">
        <f aca="false">TEXT(B1251,"MMM YYYY")</f>
        <v>May 2026</v>
      </c>
    </row>
    <row r="1252" customFormat="false" ht="13.8" hidden="false" customHeight="false" outlineLevel="0" collapsed="false">
      <c r="A1252" s="4" t="s">
        <v>2571</v>
      </c>
      <c r="B1252" s="4" t="s">
        <v>2572</v>
      </c>
      <c r="C1252" s="4" t="s">
        <v>29</v>
      </c>
      <c r="D1252" s="4" t="s">
        <v>18</v>
      </c>
      <c r="E1252" s="4"/>
      <c r="F1252" s="4" t="n">
        <v>10</v>
      </c>
      <c r="G1252" s="4" t="n">
        <v>415.78</v>
      </c>
      <c r="L1252" s="1" t="str">
        <f aca="false">IF(ISNUMBER(SEARCH("Bundle",C1252)),"Bundles",IF(ISNUMBER(SEARCH("Airtime",C1252)),"Bundles",IF(ISNUMBER(SEARCH("Merchant",C1252)),"Merchant Payment",IF(ISNUMBER(SEARCH("Offnet C2B",C1252)),"Merchant Payment",IF(ISNUMBER(SEARCH("Offnet B2C",C1252)),"Merchant Payment",IF(ISNUMBER(SEARCH("Customer Payment to Small",C1252)),"Merchant Payment",IF(ISNUMBER(SEARCH("Payment to Small Business",C1252)),"Merchant Payment",IF(ISNUMBER(SEARCH("Sent to",C1252)),"Sent to Person",IF(ISNUMBER(SEARCH("Customer Transfer to",C1252)),"Sent to Person",IF(ISNUMBER(SEARCH("Business Payment",C1252)),"Money In",IF(ISNUMBER(SEARCH("Funds Received",C1252)),"Money In",IF(ISNUMBER(SEARCH("Receive International",C1252)),"Money In",IF(ISNUMBER(SEARCH("Send Money Reversal",C1252)),"Money In",IF(ISNUMBER(SEARCH("Pay Utility Reversal",C1252)),"Money In",IF(ISNUMBER(SEARCH("Customer Transfer",C1252)),"Money In",IF(ISNUMBER(SEARCH("Ziidi",C1252)),"Investment",IF(ISNUMBER(SEARCH("Nabo",C1252)),"Investment",IF(ISNUMBER(SEARCH("Paybill Online",C1252)),"Pay Bill",IF(ISNUMBER(SEARCH("Pay Bill",C1252)),"Pay Bill",IF(ISNUMBER(SEARCH("Spotify",C1252)),"Pay Bill",IF(ISNUMBER(SEARCH("M-Shwari",C1252)),"Mshwari",IF(ISNUMBER(SEARCH("Mshwari",C1252)),"Mshwari",IF(ISNUMBER(SEARCH("Withdrawal charge",C1252)),"Fees",IF(ISNUMBER(SEARCH("Customer Withdrawal",C1252)),"Fees",IF(ISNUMBER(SEARCH("charge",C1252)),"Fees","Other")))))))))))))))))))))))))</f>
        <v>Bundles</v>
      </c>
      <c r="R1252" s="1" t="str">
        <f aca="false">TEXT(B1252,"MMM YYYY")</f>
        <v>May 2026</v>
      </c>
    </row>
    <row r="1253" customFormat="false" ht="13.8" hidden="false" customHeight="false" outlineLevel="0" collapsed="false">
      <c r="A1253" s="4" t="s">
        <v>2573</v>
      </c>
      <c r="B1253" s="4" t="s">
        <v>2574</v>
      </c>
      <c r="C1253" s="4" t="s">
        <v>29</v>
      </c>
      <c r="D1253" s="4" t="s">
        <v>18</v>
      </c>
      <c r="E1253" s="4"/>
      <c r="F1253" s="4" t="n">
        <v>10</v>
      </c>
      <c r="G1253" s="4" t="n">
        <v>405.78</v>
      </c>
      <c r="L1253" s="1" t="str">
        <f aca="false">IF(ISNUMBER(SEARCH("Bundle",C1253)),"Bundles",IF(ISNUMBER(SEARCH("Airtime",C1253)),"Bundles",IF(ISNUMBER(SEARCH("Merchant",C1253)),"Merchant Payment",IF(ISNUMBER(SEARCH("Offnet C2B",C1253)),"Merchant Payment",IF(ISNUMBER(SEARCH("Offnet B2C",C1253)),"Merchant Payment",IF(ISNUMBER(SEARCH("Customer Payment to Small",C1253)),"Merchant Payment",IF(ISNUMBER(SEARCH("Payment to Small Business",C1253)),"Merchant Payment",IF(ISNUMBER(SEARCH("Sent to",C1253)),"Sent to Person",IF(ISNUMBER(SEARCH("Customer Transfer to",C1253)),"Sent to Person",IF(ISNUMBER(SEARCH("Business Payment",C1253)),"Money In",IF(ISNUMBER(SEARCH("Funds Received",C1253)),"Money In",IF(ISNUMBER(SEARCH("Receive International",C1253)),"Money In",IF(ISNUMBER(SEARCH("Send Money Reversal",C1253)),"Money In",IF(ISNUMBER(SEARCH("Pay Utility Reversal",C1253)),"Money In",IF(ISNUMBER(SEARCH("Customer Transfer",C1253)),"Money In",IF(ISNUMBER(SEARCH("Ziidi",C1253)),"Investment",IF(ISNUMBER(SEARCH("Nabo",C1253)),"Investment",IF(ISNUMBER(SEARCH("Paybill Online",C1253)),"Pay Bill",IF(ISNUMBER(SEARCH("Pay Bill",C1253)),"Pay Bill",IF(ISNUMBER(SEARCH("Spotify",C1253)),"Pay Bill",IF(ISNUMBER(SEARCH("M-Shwari",C1253)),"Mshwari",IF(ISNUMBER(SEARCH("Mshwari",C1253)),"Mshwari",IF(ISNUMBER(SEARCH("Withdrawal charge",C1253)),"Fees",IF(ISNUMBER(SEARCH("Customer Withdrawal",C1253)),"Fees",IF(ISNUMBER(SEARCH("charge",C1253)),"Fees","Other")))))))))))))))))))))))))</f>
        <v>Bundles</v>
      </c>
      <c r="R1253" s="1" t="str">
        <f aca="false">TEXT(B1253,"MMM YYYY")</f>
        <v>May 2026</v>
      </c>
    </row>
    <row r="1254" customFormat="false" ht="13.8" hidden="false" customHeight="false" outlineLevel="0" collapsed="false">
      <c r="A1254" s="4" t="s">
        <v>2575</v>
      </c>
      <c r="B1254" s="4" t="s">
        <v>2576</v>
      </c>
      <c r="C1254" s="4" t="s">
        <v>29</v>
      </c>
      <c r="D1254" s="4" t="s">
        <v>18</v>
      </c>
      <c r="E1254" s="4"/>
      <c r="F1254" s="4" t="n">
        <v>10</v>
      </c>
      <c r="G1254" s="4" t="n">
        <v>395.78</v>
      </c>
      <c r="L1254" s="1" t="str">
        <f aca="false">IF(ISNUMBER(SEARCH("Bundle",C1254)),"Bundles",IF(ISNUMBER(SEARCH("Airtime",C1254)),"Bundles",IF(ISNUMBER(SEARCH("Merchant",C1254)),"Merchant Payment",IF(ISNUMBER(SEARCH("Offnet C2B",C1254)),"Merchant Payment",IF(ISNUMBER(SEARCH("Offnet B2C",C1254)),"Merchant Payment",IF(ISNUMBER(SEARCH("Customer Payment to Small",C1254)),"Merchant Payment",IF(ISNUMBER(SEARCH("Payment to Small Business",C1254)),"Merchant Payment",IF(ISNUMBER(SEARCH("Sent to",C1254)),"Sent to Person",IF(ISNUMBER(SEARCH("Customer Transfer to",C1254)),"Sent to Person",IF(ISNUMBER(SEARCH("Business Payment",C1254)),"Money In",IF(ISNUMBER(SEARCH("Funds Received",C1254)),"Money In",IF(ISNUMBER(SEARCH("Receive International",C1254)),"Money In",IF(ISNUMBER(SEARCH("Send Money Reversal",C1254)),"Money In",IF(ISNUMBER(SEARCH("Pay Utility Reversal",C1254)),"Money In",IF(ISNUMBER(SEARCH("Customer Transfer",C1254)),"Money In",IF(ISNUMBER(SEARCH("Ziidi",C1254)),"Investment",IF(ISNUMBER(SEARCH("Nabo",C1254)),"Investment",IF(ISNUMBER(SEARCH("Paybill Online",C1254)),"Pay Bill",IF(ISNUMBER(SEARCH("Pay Bill",C1254)),"Pay Bill",IF(ISNUMBER(SEARCH("Spotify",C1254)),"Pay Bill",IF(ISNUMBER(SEARCH("M-Shwari",C1254)),"Mshwari",IF(ISNUMBER(SEARCH("Mshwari",C1254)),"Mshwari",IF(ISNUMBER(SEARCH("Withdrawal charge",C1254)),"Fees",IF(ISNUMBER(SEARCH("Customer Withdrawal",C1254)),"Fees",IF(ISNUMBER(SEARCH("charge",C1254)),"Fees","Other")))))))))))))))))))))))))</f>
        <v>Bundles</v>
      </c>
      <c r="R1254" s="1" t="str">
        <f aca="false">TEXT(B1254,"MMM YYYY")</f>
        <v>May 2026</v>
      </c>
    </row>
    <row r="1255" customFormat="false" ht="13.8" hidden="false" customHeight="false" outlineLevel="0" collapsed="false">
      <c r="A1255" s="4" t="s">
        <v>2577</v>
      </c>
      <c r="B1255" s="4" t="s">
        <v>2578</v>
      </c>
      <c r="C1255" s="4" t="s">
        <v>29</v>
      </c>
      <c r="D1255" s="4" t="s">
        <v>18</v>
      </c>
      <c r="E1255" s="4"/>
      <c r="F1255" s="4" t="n">
        <v>10</v>
      </c>
      <c r="G1255" s="4" t="n">
        <v>385.78</v>
      </c>
      <c r="L1255" s="1" t="str">
        <f aca="false">IF(ISNUMBER(SEARCH("Bundle",C1255)),"Bundles",IF(ISNUMBER(SEARCH("Airtime",C1255)),"Bundles",IF(ISNUMBER(SEARCH("Merchant",C1255)),"Merchant Payment",IF(ISNUMBER(SEARCH("Offnet C2B",C1255)),"Merchant Payment",IF(ISNUMBER(SEARCH("Offnet B2C",C1255)),"Merchant Payment",IF(ISNUMBER(SEARCH("Customer Payment to Small",C1255)),"Merchant Payment",IF(ISNUMBER(SEARCH("Payment to Small Business",C1255)),"Merchant Payment",IF(ISNUMBER(SEARCH("Sent to",C1255)),"Sent to Person",IF(ISNUMBER(SEARCH("Customer Transfer to",C1255)),"Sent to Person",IF(ISNUMBER(SEARCH("Business Payment",C1255)),"Money In",IF(ISNUMBER(SEARCH("Funds Received",C1255)),"Money In",IF(ISNUMBER(SEARCH("Receive International",C1255)),"Money In",IF(ISNUMBER(SEARCH("Send Money Reversal",C1255)),"Money In",IF(ISNUMBER(SEARCH("Pay Utility Reversal",C1255)),"Money In",IF(ISNUMBER(SEARCH("Customer Transfer",C1255)),"Money In",IF(ISNUMBER(SEARCH("Ziidi",C1255)),"Investment",IF(ISNUMBER(SEARCH("Nabo",C1255)),"Investment",IF(ISNUMBER(SEARCH("Paybill Online",C1255)),"Pay Bill",IF(ISNUMBER(SEARCH("Pay Bill",C1255)),"Pay Bill",IF(ISNUMBER(SEARCH("Spotify",C1255)),"Pay Bill",IF(ISNUMBER(SEARCH("M-Shwari",C1255)),"Mshwari",IF(ISNUMBER(SEARCH("Mshwari",C1255)),"Mshwari",IF(ISNUMBER(SEARCH("Withdrawal charge",C1255)),"Fees",IF(ISNUMBER(SEARCH("Customer Withdrawal",C1255)),"Fees",IF(ISNUMBER(SEARCH("charge",C1255)),"Fees","Other")))))))))))))))))))))))))</f>
        <v>Bundles</v>
      </c>
      <c r="R1255" s="1" t="str">
        <f aca="false">TEXT(B1255,"MMM YYYY")</f>
        <v>May 2026</v>
      </c>
    </row>
    <row r="1256" customFormat="false" ht="13.8" hidden="false" customHeight="false" outlineLevel="0" collapsed="false">
      <c r="A1256" s="4" t="s">
        <v>2579</v>
      </c>
      <c r="B1256" s="4" t="s">
        <v>2580</v>
      </c>
      <c r="C1256" s="4" t="s">
        <v>29</v>
      </c>
      <c r="D1256" s="4" t="s">
        <v>18</v>
      </c>
      <c r="E1256" s="4"/>
      <c r="F1256" s="4" t="n">
        <v>20</v>
      </c>
      <c r="G1256" s="4" t="n">
        <v>365.78</v>
      </c>
      <c r="L1256" s="1" t="str">
        <f aca="false">IF(ISNUMBER(SEARCH("Bundle",C1256)),"Bundles",IF(ISNUMBER(SEARCH("Airtime",C1256)),"Bundles",IF(ISNUMBER(SEARCH("Merchant",C1256)),"Merchant Payment",IF(ISNUMBER(SEARCH("Offnet C2B",C1256)),"Merchant Payment",IF(ISNUMBER(SEARCH("Offnet B2C",C1256)),"Merchant Payment",IF(ISNUMBER(SEARCH("Customer Payment to Small",C1256)),"Merchant Payment",IF(ISNUMBER(SEARCH("Payment to Small Business",C1256)),"Merchant Payment",IF(ISNUMBER(SEARCH("Sent to",C1256)),"Sent to Person",IF(ISNUMBER(SEARCH("Customer Transfer to",C1256)),"Sent to Person",IF(ISNUMBER(SEARCH("Business Payment",C1256)),"Money In",IF(ISNUMBER(SEARCH("Funds Received",C1256)),"Money In",IF(ISNUMBER(SEARCH("Receive International",C1256)),"Money In",IF(ISNUMBER(SEARCH("Send Money Reversal",C1256)),"Money In",IF(ISNUMBER(SEARCH("Pay Utility Reversal",C1256)),"Money In",IF(ISNUMBER(SEARCH("Customer Transfer",C1256)),"Money In",IF(ISNUMBER(SEARCH("Ziidi",C1256)),"Investment",IF(ISNUMBER(SEARCH("Nabo",C1256)),"Investment",IF(ISNUMBER(SEARCH("Paybill Online",C1256)),"Pay Bill",IF(ISNUMBER(SEARCH("Pay Bill",C1256)),"Pay Bill",IF(ISNUMBER(SEARCH("Spotify",C1256)),"Pay Bill",IF(ISNUMBER(SEARCH("M-Shwari",C1256)),"Mshwari",IF(ISNUMBER(SEARCH("Mshwari",C1256)),"Mshwari",IF(ISNUMBER(SEARCH("Withdrawal charge",C1256)),"Fees",IF(ISNUMBER(SEARCH("Customer Withdrawal",C1256)),"Fees",IF(ISNUMBER(SEARCH("charge",C1256)),"Fees","Other")))))))))))))))))))))))))</f>
        <v>Bundles</v>
      </c>
      <c r="R1256" s="1" t="str">
        <f aca="false">TEXT(B1256,"MMM YYYY")</f>
        <v>May 2026</v>
      </c>
    </row>
    <row r="1257" customFormat="false" ht="13.8" hidden="false" customHeight="false" outlineLevel="0" collapsed="false">
      <c r="A1257" s="4" t="s">
        <v>2581</v>
      </c>
      <c r="B1257" s="4" t="s">
        <v>2582</v>
      </c>
      <c r="C1257" s="4" t="s">
        <v>29</v>
      </c>
      <c r="D1257" s="4" t="s">
        <v>18</v>
      </c>
      <c r="E1257" s="4"/>
      <c r="F1257" s="4" t="n">
        <v>10</v>
      </c>
      <c r="G1257" s="4" t="n">
        <v>355.78</v>
      </c>
      <c r="L1257" s="1" t="str">
        <f aca="false">IF(ISNUMBER(SEARCH("Bundle",C1257)),"Bundles",IF(ISNUMBER(SEARCH("Airtime",C1257)),"Bundles",IF(ISNUMBER(SEARCH("Merchant",C1257)),"Merchant Payment",IF(ISNUMBER(SEARCH("Offnet C2B",C1257)),"Merchant Payment",IF(ISNUMBER(SEARCH("Offnet B2C",C1257)),"Merchant Payment",IF(ISNUMBER(SEARCH("Customer Payment to Small",C1257)),"Merchant Payment",IF(ISNUMBER(SEARCH("Payment to Small Business",C1257)),"Merchant Payment",IF(ISNUMBER(SEARCH("Sent to",C1257)),"Sent to Person",IF(ISNUMBER(SEARCH("Customer Transfer to",C1257)),"Sent to Person",IF(ISNUMBER(SEARCH("Business Payment",C1257)),"Money In",IF(ISNUMBER(SEARCH("Funds Received",C1257)),"Money In",IF(ISNUMBER(SEARCH("Receive International",C1257)),"Money In",IF(ISNUMBER(SEARCH("Send Money Reversal",C1257)),"Money In",IF(ISNUMBER(SEARCH("Pay Utility Reversal",C1257)),"Money In",IF(ISNUMBER(SEARCH("Customer Transfer",C1257)),"Money In",IF(ISNUMBER(SEARCH("Ziidi",C1257)),"Investment",IF(ISNUMBER(SEARCH("Nabo",C1257)),"Investment",IF(ISNUMBER(SEARCH("Paybill Online",C1257)),"Pay Bill",IF(ISNUMBER(SEARCH("Pay Bill",C1257)),"Pay Bill",IF(ISNUMBER(SEARCH("Spotify",C1257)),"Pay Bill",IF(ISNUMBER(SEARCH("M-Shwari",C1257)),"Mshwari",IF(ISNUMBER(SEARCH("Mshwari",C1257)),"Mshwari",IF(ISNUMBER(SEARCH("Withdrawal charge",C1257)),"Fees",IF(ISNUMBER(SEARCH("Customer Withdrawal",C1257)),"Fees",IF(ISNUMBER(SEARCH("charge",C1257)),"Fees","Other")))))))))))))))))))))))))</f>
        <v>Bundles</v>
      </c>
      <c r="R1257" s="1" t="str">
        <f aca="false">TEXT(B1257,"MMM YYYY")</f>
        <v>May 2026</v>
      </c>
    </row>
    <row r="1258" customFormat="false" ht="13.8" hidden="false" customHeight="false" outlineLevel="0" collapsed="false">
      <c r="A1258" s="4" t="s">
        <v>2583</v>
      </c>
      <c r="B1258" s="4" t="s">
        <v>2584</v>
      </c>
      <c r="C1258" s="4" t="s">
        <v>192</v>
      </c>
      <c r="D1258" s="4" t="s">
        <v>18</v>
      </c>
      <c r="E1258" s="4" t="n">
        <v>500</v>
      </c>
      <c r="F1258" s="4"/>
      <c r="G1258" s="4" t="n">
        <v>855.78</v>
      </c>
      <c r="L1258" s="1" t="str">
        <f aca="false">IF(ISNUMBER(SEARCH("Bundle",C1258)),"Bundles",IF(ISNUMBER(SEARCH("Airtime",C1258)),"Bundles",IF(ISNUMBER(SEARCH("Merchant",C1258)),"Merchant Payment",IF(ISNUMBER(SEARCH("Offnet C2B",C1258)),"Merchant Payment",IF(ISNUMBER(SEARCH("Offnet B2C",C1258)),"Merchant Payment",IF(ISNUMBER(SEARCH("Customer Payment to Small",C1258)),"Merchant Payment",IF(ISNUMBER(SEARCH("Payment to Small Business",C1258)),"Merchant Payment",IF(ISNUMBER(SEARCH("Sent to",C1258)),"Sent to Person",IF(ISNUMBER(SEARCH("Customer Transfer to",C1258)),"Sent to Person",IF(ISNUMBER(SEARCH("Business Payment",C1258)),"Money In",IF(ISNUMBER(SEARCH("Funds Received",C1258)),"Money In",IF(ISNUMBER(SEARCH("Receive International",C1258)),"Money In",IF(ISNUMBER(SEARCH("Send Money Reversal",C1258)),"Money In",IF(ISNUMBER(SEARCH("Pay Utility Reversal",C1258)),"Money In",IF(ISNUMBER(SEARCH("Customer Transfer",C1258)),"Money In",IF(ISNUMBER(SEARCH("Ziidi",C1258)),"Investment",IF(ISNUMBER(SEARCH("Nabo",C1258)),"Investment",IF(ISNUMBER(SEARCH("Paybill Online",C1258)),"Pay Bill",IF(ISNUMBER(SEARCH("Pay Bill",C1258)),"Pay Bill",IF(ISNUMBER(SEARCH("Spotify",C1258)),"Pay Bill",IF(ISNUMBER(SEARCH("M-Shwari",C1258)),"Mshwari",IF(ISNUMBER(SEARCH("Mshwari",C1258)),"Mshwari",IF(ISNUMBER(SEARCH("Withdrawal charge",C1258)),"Fees",IF(ISNUMBER(SEARCH("Customer Withdrawal",C1258)),"Fees",IF(ISNUMBER(SEARCH("charge",C1258)),"Fees","Other")))))))))))))))))))))))))</f>
        <v>Mshwari</v>
      </c>
      <c r="R1258" s="1" t="str">
        <f aca="false">TEXT(B1258,"MMM YYYY")</f>
        <v>May 2026</v>
      </c>
    </row>
    <row r="1259" customFormat="false" ht="13.8" hidden="false" customHeight="false" outlineLevel="0" collapsed="false">
      <c r="A1259" s="4" t="s">
        <v>2585</v>
      </c>
      <c r="B1259" s="4" t="s">
        <v>2586</v>
      </c>
      <c r="C1259" s="4" t="s">
        <v>2324</v>
      </c>
      <c r="D1259" s="4" t="s">
        <v>18</v>
      </c>
      <c r="E1259" s="4"/>
      <c r="F1259" s="4" t="n">
        <v>390</v>
      </c>
      <c r="G1259" s="4" t="n">
        <v>465.78</v>
      </c>
      <c r="L1259" s="1" t="str">
        <f aca="false">IF(ISNUMBER(SEARCH("Bundle",C1259)),"Bundles",IF(ISNUMBER(SEARCH("Airtime",C1259)),"Bundles",IF(ISNUMBER(SEARCH("Merchant",C1259)),"Merchant Payment",IF(ISNUMBER(SEARCH("Offnet C2B",C1259)),"Merchant Payment",IF(ISNUMBER(SEARCH("Offnet B2C",C1259)),"Merchant Payment",IF(ISNUMBER(SEARCH("Customer Payment to Small",C1259)),"Merchant Payment",IF(ISNUMBER(SEARCH("Payment to Small Business",C1259)),"Merchant Payment",IF(ISNUMBER(SEARCH("Sent to",C1259)),"Sent to Person",IF(ISNUMBER(SEARCH("Customer Transfer to",C1259)),"Sent to Person",IF(ISNUMBER(SEARCH("Business Payment",C1259)),"Money In",IF(ISNUMBER(SEARCH("Funds Received",C1259)),"Money In",IF(ISNUMBER(SEARCH("Receive International",C1259)),"Money In",IF(ISNUMBER(SEARCH("Send Money Reversal",C1259)),"Money In",IF(ISNUMBER(SEARCH("Pay Utility Reversal",C1259)),"Money In",IF(ISNUMBER(SEARCH("Customer Transfer",C1259)),"Money In",IF(ISNUMBER(SEARCH("Ziidi",C1259)),"Investment",IF(ISNUMBER(SEARCH("Nabo",C1259)),"Investment",IF(ISNUMBER(SEARCH("Paybill Online",C1259)),"Pay Bill",IF(ISNUMBER(SEARCH("Pay Bill",C1259)),"Pay Bill",IF(ISNUMBER(SEARCH("Spotify",C1259)),"Pay Bill",IF(ISNUMBER(SEARCH("M-Shwari",C1259)),"Mshwari",IF(ISNUMBER(SEARCH("Mshwari",C1259)),"Mshwari",IF(ISNUMBER(SEARCH("Withdrawal charge",C1259)),"Fees",IF(ISNUMBER(SEARCH("Customer Withdrawal",C1259)),"Fees",IF(ISNUMBER(SEARCH("charge",C1259)),"Fees","Other")))))))))))))))))))))))))</f>
        <v>Merchant Payment</v>
      </c>
      <c r="R1259" s="1" t="str">
        <f aca="false">TEXT(B1259,"MMM YYYY")</f>
        <v>May 2026</v>
      </c>
    </row>
    <row r="1260" customFormat="false" ht="13.8" hidden="false" customHeight="false" outlineLevel="0" collapsed="false">
      <c r="A1260" s="4" t="s">
        <v>2587</v>
      </c>
      <c r="B1260" s="4" t="s">
        <v>2588</v>
      </c>
      <c r="C1260" s="4" t="s">
        <v>192</v>
      </c>
      <c r="D1260" s="4" t="s">
        <v>18</v>
      </c>
      <c r="E1260" s="4" t="n">
        <v>2000</v>
      </c>
      <c r="F1260" s="4"/>
      <c r="G1260" s="4" t="n">
        <v>2465.78</v>
      </c>
      <c r="L1260" s="1" t="str">
        <f aca="false">IF(ISNUMBER(SEARCH("Bundle",C1260)),"Bundles",IF(ISNUMBER(SEARCH("Airtime",C1260)),"Bundles",IF(ISNUMBER(SEARCH("Merchant",C1260)),"Merchant Payment",IF(ISNUMBER(SEARCH("Offnet C2B",C1260)),"Merchant Payment",IF(ISNUMBER(SEARCH("Offnet B2C",C1260)),"Merchant Payment",IF(ISNUMBER(SEARCH("Customer Payment to Small",C1260)),"Merchant Payment",IF(ISNUMBER(SEARCH("Payment to Small Business",C1260)),"Merchant Payment",IF(ISNUMBER(SEARCH("Sent to",C1260)),"Sent to Person",IF(ISNUMBER(SEARCH("Customer Transfer to",C1260)),"Sent to Person",IF(ISNUMBER(SEARCH("Business Payment",C1260)),"Money In",IF(ISNUMBER(SEARCH("Funds Received",C1260)),"Money In",IF(ISNUMBER(SEARCH("Receive International",C1260)),"Money In",IF(ISNUMBER(SEARCH("Send Money Reversal",C1260)),"Money In",IF(ISNUMBER(SEARCH("Pay Utility Reversal",C1260)),"Money In",IF(ISNUMBER(SEARCH("Customer Transfer",C1260)),"Money In",IF(ISNUMBER(SEARCH("Ziidi",C1260)),"Investment",IF(ISNUMBER(SEARCH("Nabo",C1260)),"Investment",IF(ISNUMBER(SEARCH("Paybill Online",C1260)),"Pay Bill",IF(ISNUMBER(SEARCH("Pay Bill",C1260)),"Pay Bill",IF(ISNUMBER(SEARCH("Spotify",C1260)),"Pay Bill",IF(ISNUMBER(SEARCH("M-Shwari",C1260)),"Mshwari",IF(ISNUMBER(SEARCH("Mshwari",C1260)),"Mshwari",IF(ISNUMBER(SEARCH("Withdrawal charge",C1260)),"Fees",IF(ISNUMBER(SEARCH("Customer Withdrawal",C1260)),"Fees",IF(ISNUMBER(SEARCH("charge",C1260)),"Fees","Other")))))))))))))))))))))))))</f>
        <v>Mshwari</v>
      </c>
      <c r="R1260" s="1" t="str">
        <f aca="false">TEXT(B1260,"MMM YYYY")</f>
        <v>May 2026</v>
      </c>
    </row>
    <row r="1261" customFormat="false" ht="13.8" hidden="false" customHeight="false" outlineLevel="0" collapsed="false">
      <c r="A1261" s="4" t="s">
        <v>2589</v>
      </c>
      <c r="B1261" s="4" t="s">
        <v>2590</v>
      </c>
      <c r="C1261" s="4" t="s">
        <v>2591</v>
      </c>
      <c r="D1261" s="4" t="s">
        <v>18</v>
      </c>
      <c r="E1261" s="4"/>
      <c r="F1261" s="4" t="n">
        <v>1190</v>
      </c>
      <c r="G1261" s="4" t="n">
        <v>1275.78</v>
      </c>
      <c r="L1261" s="1" t="str">
        <f aca="false">IF(ISNUMBER(SEARCH("Bundle",C1261)),"Bundles",IF(ISNUMBER(SEARCH("Airtime",C1261)),"Bundles",IF(ISNUMBER(SEARCH("Merchant",C1261)),"Merchant Payment",IF(ISNUMBER(SEARCH("Offnet C2B",C1261)),"Merchant Payment",IF(ISNUMBER(SEARCH("Offnet B2C",C1261)),"Merchant Payment",IF(ISNUMBER(SEARCH("Customer Payment to Small",C1261)),"Merchant Payment",IF(ISNUMBER(SEARCH("Payment to Small Business",C1261)),"Merchant Payment",IF(ISNUMBER(SEARCH("Sent to",C1261)),"Sent to Person",IF(ISNUMBER(SEARCH("Customer Transfer to",C1261)),"Sent to Person",IF(ISNUMBER(SEARCH("Business Payment",C1261)),"Money In",IF(ISNUMBER(SEARCH("Funds Received",C1261)),"Money In",IF(ISNUMBER(SEARCH("Receive International",C1261)),"Money In",IF(ISNUMBER(SEARCH("Send Money Reversal",C1261)),"Money In",IF(ISNUMBER(SEARCH("Pay Utility Reversal",C1261)),"Money In",IF(ISNUMBER(SEARCH("Customer Transfer",C1261)),"Money In",IF(ISNUMBER(SEARCH("Ziidi",C1261)),"Investment",IF(ISNUMBER(SEARCH("Nabo",C1261)),"Investment",IF(ISNUMBER(SEARCH("Paybill Online",C1261)),"Pay Bill",IF(ISNUMBER(SEARCH("Pay Bill",C1261)),"Pay Bill",IF(ISNUMBER(SEARCH("Spotify",C1261)),"Pay Bill",IF(ISNUMBER(SEARCH("M-Shwari",C1261)),"Mshwari",IF(ISNUMBER(SEARCH("Mshwari",C1261)),"Mshwari",IF(ISNUMBER(SEARCH("Withdrawal charge",C1261)),"Fees",IF(ISNUMBER(SEARCH("Customer Withdrawal",C1261)),"Fees",IF(ISNUMBER(SEARCH("charge",C1261)),"Fees","Other")))))))))))))))))))))))))</f>
        <v>Merchant Payment</v>
      </c>
      <c r="R1261" s="1" t="str">
        <f aca="false">TEXT(B1261,"MMM YYYY")</f>
        <v>May 2026</v>
      </c>
    </row>
    <row r="1262" customFormat="false" ht="13.8" hidden="false" customHeight="false" outlineLevel="0" collapsed="false">
      <c r="A1262" s="4" t="s">
        <v>2592</v>
      </c>
      <c r="B1262" s="4" t="s">
        <v>2593</v>
      </c>
      <c r="C1262" s="4" t="s">
        <v>29</v>
      </c>
      <c r="D1262" s="4" t="s">
        <v>18</v>
      </c>
      <c r="E1262" s="4"/>
      <c r="F1262" s="4" t="n">
        <v>10</v>
      </c>
      <c r="G1262" s="4" t="n">
        <v>1265.78</v>
      </c>
      <c r="L1262" s="1" t="str">
        <f aca="false">IF(ISNUMBER(SEARCH("Bundle",C1262)),"Bundles",IF(ISNUMBER(SEARCH("Airtime",C1262)),"Bundles",IF(ISNUMBER(SEARCH("Merchant",C1262)),"Merchant Payment",IF(ISNUMBER(SEARCH("Offnet C2B",C1262)),"Merchant Payment",IF(ISNUMBER(SEARCH("Offnet B2C",C1262)),"Merchant Payment",IF(ISNUMBER(SEARCH("Customer Payment to Small",C1262)),"Merchant Payment",IF(ISNUMBER(SEARCH("Payment to Small Business",C1262)),"Merchant Payment",IF(ISNUMBER(SEARCH("Sent to",C1262)),"Sent to Person",IF(ISNUMBER(SEARCH("Customer Transfer to",C1262)),"Sent to Person",IF(ISNUMBER(SEARCH("Business Payment",C1262)),"Money In",IF(ISNUMBER(SEARCH("Funds Received",C1262)),"Money In",IF(ISNUMBER(SEARCH("Receive International",C1262)),"Money In",IF(ISNUMBER(SEARCH("Send Money Reversal",C1262)),"Money In",IF(ISNUMBER(SEARCH("Pay Utility Reversal",C1262)),"Money In",IF(ISNUMBER(SEARCH("Customer Transfer",C1262)),"Money In",IF(ISNUMBER(SEARCH("Ziidi",C1262)),"Investment",IF(ISNUMBER(SEARCH("Nabo",C1262)),"Investment",IF(ISNUMBER(SEARCH("Paybill Online",C1262)),"Pay Bill",IF(ISNUMBER(SEARCH("Pay Bill",C1262)),"Pay Bill",IF(ISNUMBER(SEARCH("Spotify",C1262)),"Pay Bill",IF(ISNUMBER(SEARCH("M-Shwari",C1262)),"Mshwari",IF(ISNUMBER(SEARCH("Mshwari",C1262)),"Mshwari",IF(ISNUMBER(SEARCH("Withdrawal charge",C1262)),"Fees",IF(ISNUMBER(SEARCH("Customer Withdrawal",C1262)),"Fees",IF(ISNUMBER(SEARCH("charge",C1262)),"Fees","Other")))))))))))))))))))))))))</f>
        <v>Bundles</v>
      </c>
      <c r="R1262" s="1" t="str">
        <f aca="false">TEXT(B1262,"MMM YYYY")</f>
        <v>May 2026</v>
      </c>
    </row>
    <row r="1263" customFormat="false" ht="13.8" hidden="false" customHeight="false" outlineLevel="0" collapsed="false">
      <c r="A1263" s="4" t="s">
        <v>2594</v>
      </c>
      <c r="B1263" s="4" t="s">
        <v>2595</v>
      </c>
      <c r="C1263" s="4" t="s">
        <v>29</v>
      </c>
      <c r="D1263" s="4" t="s">
        <v>18</v>
      </c>
      <c r="E1263" s="4"/>
      <c r="F1263" s="4" t="n">
        <v>10</v>
      </c>
      <c r="G1263" s="4" t="n">
        <v>1255.78</v>
      </c>
      <c r="L1263" s="1" t="str">
        <f aca="false">IF(ISNUMBER(SEARCH("Bundle",C1263)),"Bundles",IF(ISNUMBER(SEARCH("Airtime",C1263)),"Bundles",IF(ISNUMBER(SEARCH("Merchant",C1263)),"Merchant Payment",IF(ISNUMBER(SEARCH("Offnet C2B",C1263)),"Merchant Payment",IF(ISNUMBER(SEARCH("Offnet B2C",C1263)),"Merchant Payment",IF(ISNUMBER(SEARCH("Customer Payment to Small",C1263)),"Merchant Payment",IF(ISNUMBER(SEARCH("Payment to Small Business",C1263)),"Merchant Payment",IF(ISNUMBER(SEARCH("Sent to",C1263)),"Sent to Person",IF(ISNUMBER(SEARCH("Customer Transfer to",C1263)),"Sent to Person",IF(ISNUMBER(SEARCH("Business Payment",C1263)),"Money In",IF(ISNUMBER(SEARCH("Funds Received",C1263)),"Money In",IF(ISNUMBER(SEARCH("Receive International",C1263)),"Money In",IF(ISNUMBER(SEARCH("Send Money Reversal",C1263)),"Money In",IF(ISNUMBER(SEARCH("Pay Utility Reversal",C1263)),"Money In",IF(ISNUMBER(SEARCH("Customer Transfer",C1263)),"Money In",IF(ISNUMBER(SEARCH("Ziidi",C1263)),"Investment",IF(ISNUMBER(SEARCH("Nabo",C1263)),"Investment",IF(ISNUMBER(SEARCH("Paybill Online",C1263)),"Pay Bill",IF(ISNUMBER(SEARCH("Pay Bill",C1263)),"Pay Bill",IF(ISNUMBER(SEARCH("Spotify",C1263)),"Pay Bill",IF(ISNUMBER(SEARCH("M-Shwari",C1263)),"Mshwari",IF(ISNUMBER(SEARCH("Mshwari",C1263)),"Mshwari",IF(ISNUMBER(SEARCH("Withdrawal charge",C1263)),"Fees",IF(ISNUMBER(SEARCH("Customer Withdrawal",C1263)),"Fees",IF(ISNUMBER(SEARCH("charge",C1263)),"Fees","Other")))))))))))))))))))))))))</f>
        <v>Bundles</v>
      </c>
      <c r="R1263" s="1" t="str">
        <f aca="false">TEXT(B1263,"MMM YYYY")</f>
        <v>May 2026</v>
      </c>
    </row>
    <row r="1264" customFormat="false" ht="13.8" hidden="false" customHeight="false" outlineLevel="0" collapsed="false">
      <c r="A1264" s="4" t="s">
        <v>2596</v>
      </c>
      <c r="B1264" s="4" t="s">
        <v>2597</v>
      </c>
      <c r="C1264" s="4" t="s">
        <v>29</v>
      </c>
      <c r="D1264" s="4" t="s">
        <v>18</v>
      </c>
      <c r="E1264" s="4"/>
      <c r="F1264" s="4" t="n">
        <v>10</v>
      </c>
      <c r="G1264" s="4" t="n">
        <v>1245.78</v>
      </c>
      <c r="L1264" s="1" t="str">
        <f aca="false">IF(ISNUMBER(SEARCH("Bundle",C1264)),"Bundles",IF(ISNUMBER(SEARCH("Airtime",C1264)),"Bundles",IF(ISNUMBER(SEARCH("Merchant",C1264)),"Merchant Payment",IF(ISNUMBER(SEARCH("Offnet C2B",C1264)),"Merchant Payment",IF(ISNUMBER(SEARCH("Offnet B2C",C1264)),"Merchant Payment",IF(ISNUMBER(SEARCH("Customer Payment to Small",C1264)),"Merchant Payment",IF(ISNUMBER(SEARCH("Payment to Small Business",C1264)),"Merchant Payment",IF(ISNUMBER(SEARCH("Sent to",C1264)),"Sent to Person",IF(ISNUMBER(SEARCH("Customer Transfer to",C1264)),"Sent to Person",IF(ISNUMBER(SEARCH("Business Payment",C1264)),"Money In",IF(ISNUMBER(SEARCH("Funds Received",C1264)),"Money In",IF(ISNUMBER(SEARCH("Receive International",C1264)),"Money In",IF(ISNUMBER(SEARCH("Send Money Reversal",C1264)),"Money In",IF(ISNUMBER(SEARCH("Pay Utility Reversal",C1264)),"Money In",IF(ISNUMBER(SEARCH("Customer Transfer",C1264)),"Money In",IF(ISNUMBER(SEARCH("Ziidi",C1264)),"Investment",IF(ISNUMBER(SEARCH("Nabo",C1264)),"Investment",IF(ISNUMBER(SEARCH("Paybill Online",C1264)),"Pay Bill",IF(ISNUMBER(SEARCH("Pay Bill",C1264)),"Pay Bill",IF(ISNUMBER(SEARCH("Spotify",C1264)),"Pay Bill",IF(ISNUMBER(SEARCH("M-Shwari",C1264)),"Mshwari",IF(ISNUMBER(SEARCH("Mshwari",C1264)),"Mshwari",IF(ISNUMBER(SEARCH("Withdrawal charge",C1264)),"Fees",IF(ISNUMBER(SEARCH("Customer Withdrawal",C1264)),"Fees",IF(ISNUMBER(SEARCH("charge",C1264)),"Fees","Other")))))))))))))))))))))))))</f>
        <v>Bundles</v>
      </c>
      <c r="R1264" s="1" t="str">
        <f aca="false">TEXT(B1264,"MMM YYYY")</f>
        <v>May 2026</v>
      </c>
    </row>
    <row r="1265" customFormat="false" ht="13.8" hidden="false" customHeight="false" outlineLevel="0" collapsed="false">
      <c r="A1265" s="4" t="s">
        <v>2598</v>
      </c>
      <c r="B1265" s="4" t="s">
        <v>2599</v>
      </c>
      <c r="C1265" s="4" t="s">
        <v>29</v>
      </c>
      <c r="D1265" s="4" t="s">
        <v>18</v>
      </c>
      <c r="E1265" s="4"/>
      <c r="F1265" s="4" t="n">
        <v>10</v>
      </c>
      <c r="G1265" s="4" t="n">
        <v>1235.78</v>
      </c>
      <c r="L1265" s="1" t="str">
        <f aca="false">IF(ISNUMBER(SEARCH("Bundle",C1265)),"Bundles",IF(ISNUMBER(SEARCH("Airtime",C1265)),"Bundles",IF(ISNUMBER(SEARCH("Merchant",C1265)),"Merchant Payment",IF(ISNUMBER(SEARCH("Offnet C2B",C1265)),"Merchant Payment",IF(ISNUMBER(SEARCH("Offnet B2C",C1265)),"Merchant Payment",IF(ISNUMBER(SEARCH("Customer Payment to Small",C1265)),"Merchant Payment",IF(ISNUMBER(SEARCH("Payment to Small Business",C1265)),"Merchant Payment",IF(ISNUMBER(SEARCH("Sent to",C1265)),"Sent to Person",IF(ISNUMBER(SEARCH("Customer Transfer to",C1265)),"Sent to Person",IF(ISNUMBER(SEARCH("Business Payment",C1265)),"Money In",IF(ISNUMBER(SEARCH("Funds Received",C1265)),"Money In",IF(ISNUMBER(SEARCH("Receive International",C1265)),"Money In",IF(ISNUMBER(SEARCH("Send Money Reversal",C1265)),"Money In",IF(ISNUMBER(SEARCH("Pay Utility Reversal",C1265)),"Money In",IF(ISNUMBER(SEARCH("Customer Transfer",C1265)),"Money In",IF(ISNUMBER(SEARCH("Ziidi",C1265)),"Investment",IF(ISNUMBER(SEARCH("Nabo",C1265)),"Investment",IF(ISNUMBER(SEARCH("Paybill Online",C1265)),"Pay Bill",IF(ISNUMBER(SEARCH("Pay Bill",C1265)),"Pay Bill",IF(ISNUMBER(SEARCH("Spotify",C1265)),"Pay Bill",IF(ISNUMBER(SEARCH("M-Shwari",C1265)),"Mshwari",IF(ISNUMBER(SEARCH("Mshwari",C1265)),"Mshwari",IF(ISNUMBER(SEARCH("Withdrawal charge",C1265)),"Fees",IF(ISNUMBER(SEARCH("Customer Withdrawal",C1265)),"Fees",IF(ISNUMBER(SEARCH("charge",C1265)),"Fees","Other")))))))))))))))))))))))))</f>
        <v>Bundles</v>
      </c>
      <c r="R1265" s="1" t="str">
        <f aca="false">TEXT(B1265,"MMM YYYY")</f>
        <v>May 2026</v>
      </c>
    </row>
    <row r="1266" customFormat="false" ht="13.8" hidden="false" customHeight="false" outlineLevel="0" collapsed="false">
      <c r="A1266" s="4" t="s">
        <v>2600</v>
      </c>
      <c r="B1266" s="4" t="s">
        <v>2601</v>
      </c>
      <c r="C1266" s="4" t="s">
        <v>29</v>
      </c>
      <c r="D1266" s="4" t="s">
        <v>18</v>
      </c>
      <c r="E1266" s="4"/>
      <c r="F1266" s="4" t="n">
        <v>10</v>
      </c>
      <c r="G1266" s="4" t="n">
        <v>1225.78</v>
      </c>
      <c r="L1266" s="1" t="str">
        <f aca="false">IF(ISNUMBER(SEARCH("Bundle",C1266)),"Bundles",IF(ISNUMBER(SEARCH("Airtime",C1266)),"Bundles",IF(ISNUMBER(SEARCH("Merchant",C1266)),"Merchant Payment",IF(ISNUMBER(SEARCH("Offnet C2B",C1266)),"Merchant Payment",IF(ISNUMBER(SEARCH("Offnet B2C",C1266)),"Merchant Payment",IF(ISNUMBER(SEARCH("Customer Payment to Small",C1266)),"Merchant Payment",IF(ISNUMBER(SEARCH("Payment to Small Business",C1266)),"Merchant Payment",IF(ISNUMBER(SEARCH("Sent to",C1266)),"Sent to Person",IF(ISNUMBER(SEARCH("Customer Transfer to",C1266)),"Sent to Person",IF(ISNUMBER(SEARCH("Business Payment",C1266)),"Money In",IF(ISNUMBER(SEARCH("Funds Received",C1266)),"Money In",IF(ISNUMBER(SEARCH("Receive International",C1266)),"Money In",IF(ISNUMBER(SEARCH("Send Money Reversal",C1266)),"Money In",IF(ISNUMBER(SEARCH("Pay Utility Reversal",C1266)),"Money In",IF(ISNUMBER(SEARCH("Customer Transfer",C1266)),"Money In",IF(ISNUMBER(SEARCH("Ziidi",C1266)),"Investment",IF(ISNUMBER(SEARCH("Nabo",C1266)),"Investment",IF(ISNUMBER(SEARCH("Paybill Online",C1266)),"Pay Bill",IF(ISNUMBER(SEARCH("Pay Bill",C1266)),"Pay Bill",IF(ISNUMBER(SEARCH("Spotify",C1266)),"Pay Bill",IF(ISNUMBER(SEARCH("M-Shwari",C1266)),"Mshwari",IF(ISNUMBER(SEARCH("Mshwari",C1266)),"Mshwari",IF(ISNUMBER(SEARCH("Withdrawal charge",C1266)),"Fees",IF(ISNUMBER(SEARCH("Customer Withdrawal",C1266)),"Fees",IF(ISNUMBER(SEARCH("charge",C1266)),"Fees","Other")))))))))))))))))))))))))</f>
        <v>Bundles</v>
      </c>
      <c r="R1266" s="1" t="str">
        <f aca="false">TEXT(B1266,"MMM YYYY")</f>
        <v>May 2026</v>
      </c>
    </row>
    <row r="1267" customFormat="false" ht="13.8" hidden="false" customHeight="false" outlineLevel="0" collapsed="false">
      <c r="A1267" s="4" t="s">
        <v>2602</v>
      </c>
      <c r="B1267" s="4" t="s">
        <v>2603</v>
      </c>
      <c r="C1267" s="4" t="s">
        <v>29</v>
      </c>
      <c r="D1267" s="4" t="s">
        <v>18</v>
      </c>
      <c r="E1267" s="4"/>
      <c r="F1267" s="4" t="n">
        <v>20</v>
      </c>
      <c r="G1267" s="4" t="n">
        <v>1205.78</v>
      </c>
      <c r="L1267" s="1" t="str">
        <f aca="false">IF(ISNUMBER(SEARCH("Bundle",C1267)),"Bundles",IF(ISNUMBER(SEARCH("Airtime",C1267)),"Bundles",IF(ISNUMBER(SEARCH("Merchant",C1267)),"Merchant Payment",IF(ISNUMBER(SEARCH("Offnet C2B",C1267)),"Merchant Payment",IF(ISNUMBER(SEARCH("Offnet B2C",C1267)),"Merchant Payment",IF(ISNUMBER(SEARCH("Customer Payment to Small",C1267)),"Merchant Payment",IF(ISNUMBER(SEARCH("Payment to Small Business",C1267)),"Merchant Payment",IF(ISNUMBER(SEARCH("Sent to",C1267)),"Sent to Person",IF(ISNUMBER(SEARCH("Customer Transfer to",C1267)),"Sent to Person",IF(ISNUMBER(SEARCH("Business Payment",C1267)),"Money In",IF(ISNUMBER(SEARCH("Funds Received",C1267)),"Money In",IF(ISNUMBER(SEARCH("Receive International",C1267)),"Money In",IF(ISNUMBER(SEARCH("Send Money Reversal",C1267)),"Money In",IF(ISNUMBER(SEARCH("Pay Utility Reversal",C1267)),"Money In",IF(ISNUMBER(SEARCH("Customer Transfer",C1267)),"Money In",IF(ISNUMBER(SEARCH("Ziidi",C1267)),"Investment",IF(ISNUMBER(SEARCH("Nabo",C1267)),"Investment",IF(ISNUMBER(SEARCH("Paybill Online",C1267)),"Pay Bill",IF(ISNUMBER(SEARCH("Pay Bill",C1267)),"Pay Bill",IF(ISNUMBER(SEARCH("Spotify",C1267)),"Pay Bill",IF(ISNUMBER(SEARCH("M-Shwari",C1267)),"Mshwari",IF(ISNUMBER(SEARCH("Mshwari",C1267)),"Mshwari",IF(ISNUMBER(SEARCH("Withdrawal charge",C1267)),"Fees",IF(ISNUMBER(SEARCH("Customer Withdrawal",C1267)),"Fees",IF(ISNUMBER(SEARCH("charge",C1267)),"Fees","Other")))))))))))))))))))))))))</f>
        <v>Bundles</v>
      </c>
      <c r="R1267" s="1" t="str">
        <f aca="false">TEXT(B1267,"MMM YYYY")</f>
        <v>May 2026</v>
      </c>
    </row>
    <row r="1268" customFormat="false" ht="13.8" hidden="false" customHeight="false" outlineLevel="0" collapsed="false">
      <c r="A1268" s="4" t="s">
        <v>2604</v>
      </c>
      <c r="B1268" s="4" t="s">
        <v>2605</v>
      </c>
      <c r="C1268" s="4" t="s">
        <v>29</v>
      </c>
      <c r="D1268" s="4" t="s">
        <v>18</v>
      </c>
      <c r="E1268" s="4"/>
      <c r="F1268" s="4" t="n">
        <v>10</v>
      </c>
      <c r="G1268" s="4" t="n">
        <v>1195.78</v>
      </c>
      <c r="L1268" s="1" t="str">
        <f aca="false">IF(ISNUMBER(SEARCH("Bundle",C1268)),"Bundles",IF(ISNUMBER(SEARCH("Merchant",C1268)),"Merchant Payment",IF(ISNUMBER(SEARCH("Offnet C2B",C1268)),"Merchant Payment",IF(ISNUMBER(SEARCH("Customer Payment to Small",C1268)),"Merchant Payment",IF(ISNUMBER(SEARCH("Payment to Small Business",C1268)),"Merchant Payment",IF(ISNUMBER(SEARCH("Sent to",C1268)),"Sent to Person",IF(ISNUMBER(SEARCH("Customer Transfer to",C1268)),"Sent to Person",IF(ISNUMBER(SEARCH("Business Payment",C1268)),"Money In",IF(ISNUMBER(SEARCH("Funds Received",C1268)),"Money In",IF(ISNUMBER(SEARCH("Customer Transfer",C1268)),"Money In",IF(ISNUMBER(SEARCH("Ziidi",C1268)),"Investment",IF(ISNUMBER(SEARCH("Nabo",C1268)),"Investment",IF(ISNUMBER(SEARCH("Paybill Online",C1268)),"Pay Bill",IF(ISNUMBER(SEARCH("Pay Bill",C1268)),"Pay Bill",IF(ISNUMBER(SEARCH("Spotify",C1268)),"Pay Bill",IF(ISNUMBER(SEARCH("M-Shwari",C1268)),"Mshwari",IF(ISNUMBER(SEARCH("Mshwari",C1268)),"Mshwari",IF(ISNUMBER(SEARCH("Withdrawal charge",C1268)),"Fees",IF(ISNUMBER(SEARCH("Customer Withdrawal",C1268)),"Fees",IF(ISNUMBER(SEARCH("charge",C1268)),"Fees","Other"))))))))))))))))))))</f>
        <v>Bundles</v>
      </c>
      <c r="R1268" s="1" t="str">
        <f aca="false">TEXT(B1268,"MMM YYYY")</f>
        <v>May 2026</v>
      </c>
    </row>
    <row r="1269" customFormat="false" ht="13.8" hidden="false" customHeight="false" outlineLevel="0" collapsed="false">
      <c r="L1269" s="1" t="str">
        <f aca="false">IF(ISNUMBER(SEARCH("Bundle",C1269)),"Bundles",IF(ISNUMBER(SEARCH("Merchant",C1269)),"Merchant Payment",IF(ISNUMBER(SEARCH("Offnet C2B",C1269)),"Merchant Payment",IF(ISNUMBER(SEARCH("Customer Payment to Small",C1269)),"Merchant Payment",IF(ISNUMBER(SEARCH("Payment to Small Business",C1269)),"Merchant Payment",IF(ISNUMBER(SEARCH("Sent to",C1269)),"Sent to Person",IF(ISNUMBER(SEARCH("Customer Transfer to",C1269)),"Sent to Person",IF(ISNUMBER(SEARCH("Business Payment",C1269)),"Money In",IF(ISNUMBER(SEARCH("Funds Received",C1269)),"Money In",IF(ISNUMBER(SEARCH("Customer Transfer",C1269)),"Money In",IF(ISNUMBER(SEARCH("Ziidi",C1269)),"Investment",IF(ISNUMBER(SEARCH("Nabo",C1269)),"Investment",IF(ISNUMBER(SEARCH("Paybill Online",C1269)),"Pay Bill",IF(ISNUMBER(SEARCH("Pay Bill",C1269)),"Pay Bill",IF(ISNUMBER(SEARCH("Spotify",C1269)),"Pay Bill",IF(ISNUMBER(SEARCH("M-Shwari",C1269)),"Mshwari",IF(ISNUMBER(SEARCH("Mshwari",C1269)),"Mshwari",IF(ISNUMBER(SEARCH("Withdrawal charge",C1269)),"Fees",IF(ISNUMBER(SEARCH("Customer Withdrawal",C1269)),"Fees",IF(ISNUMBER(SEARCH("charge",C1269)),"Fees","Other"))))))))))))))))))))</f>
        <v>Other</v>
      </c>
      <c r="R1269" s="1" t="str">
        <f aca="false">TEXT(B1269,"MMM YYYY")</f>
        <v>Dec 1899</v>
      </c>
    </row>
  </sheetData>
  <autoFilter ref="I1:L1268"/>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4"/>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H18" activeCellId="0" sqref="H18"/>
    </sheetView>
  </sheetViews>
  <sheetFormatPr defaultColWidth="11.53515625" defaultRowHeight="12.8" customHeight="false" zeroHeight="false" outlineLevelRow="0" outlineLevelCol="0"/>
  <sheetData>
    <row r="1" customFormat="false" ht="13.8" hidden="false" customHeight="false" outlineLevel="0" collapsed="false"/>
    <row r="2" customFormat="false" ht="13.8" hidden="false" customHeight="false" outlineLevel="0" collapsed="false">
      <c r="B2" s="1" t="s">
        <v>2606</v>
      </c>
    </row>
    <row r="3" customFormat="false" ht="13.8" hidden="false" customHeight="false" outlineLevel="0" collapsed="false"/>
    <row r="4" customFormat="false" ht="13.8" hidden="false" customHeight="false" outlineLevel="0" collapsed="false">
      <c r="B4" s="1" t="s">
        <v>2607</v>
      </c>
    </row>
    <row r="5" customFormat="false" ht="13.8" hidden="false" customHeight="false" outlineLevel="0" collapsed="false">
      <c r="C5" s="8" t="n">
        <f aca="false">SUM(Data!E:E)</f>
        <v>165120.13</v>
      </c>
    </row>
    <row r="6" customFormat="false" ht="13.8" hidden="false" customHeight="false" outlineLevel="0" collapsed="false">
      <c r="B6" s="1" t="s">
        <v>8</v>
      </c>
      <c r="C6" s="8" t="n">
        <f aca="false">SUM(Data!F:F)</f>
        <v>161561.22</v>
      </c>
    </row>
    <row r="7" customFormat="false" ht="13.8" hidden="false" customHeight="false" outlineLevel="0" collapsed="false">
      <c r="B7" s="1" t="s">
        <v>2608</v>
      </c>
      <c r="C7" s="8" t="n">
        <f aca="false">C5-C6</f>
        <v>3558.91</v>
      </c>
    </row>
    <row r="8" customFormat="false" ht="13.8" hidden="false" customHeight="false" outlineLevel="0" collapsed="false"/>
    <row r="9" customFormat="false" ht="13.8" hidden="false" customHeight="false" outlineLevel="0" collapsed="false">
      <c r="B9" s="1" t="s">
        <v>2609</v>
      </c>
    </row>
    <row r="10" customFormat="false" ht="13.8" hidden="false" customHeight="false" outlineLevel="0" collapsed="false">
      <c r="C10" s="8" t="n">
        <f aca="false">SUMIF(Data!L:L,"Bundles",Data!F:F)</f>
        <v>11302</v>
      </c>
    </row>
    <row r="11" customFormat="false" ht="13.8" hidden="false" customHeight="false" outlineLevel="0" collapsed="false">
      <c r="C11" s="8" t="n">
        <f aca="false">SUMIF(Data!L:L,"Merchant Payment",Data!F:F)</f>
        <v>36852</v>
      </c>
    </row>
    <row r="12" customFormat="false" ht="13.8" hidden="false" customHeight="false" outlineLevel="0" collapsed="false">
      <c r="C12" s="8" t="n">
        <f aca="false">SUMIF(Data!L:L,"Pay Bill",Data!F:F)</f>
        <v>16212</v>
      </c>
    </row>
    <row r="13" customFormat="false" ht="13.8" hidden="false" customHeight="false" outlineLevel="0" collapsed="false">
      <c r="C13" s="8" t="n">
        <f aca="false">SUMIF(Data!L:L,"Sent to Person",Data!F:F)</f>
        <v>25295</v>
      </c>
    </row>
    <row r="14" customFormat="false" ht="13.8" hidden="false" customHeight="false" outlineLevel="0" collapsed="false">
      <c r="C14" s="8" t="n">
        <f aca="false">SUMIF(Data!L:L,"Fees",Data!F:F)</f>
        <v>1780</v>
      </c>
    </row>
    <row r="15" customFormat="false" ht="13.8" hidden="false" customHeight="false" outlineLevel="0" collapsed="false">
      <c r="C15" s="8" t="n">
        <f aca="false">SUMIF(Data!L:L,"Mshwari",Data!F:F)</f>
        <v>42300</v>
      </c>
    </row>
    <row r="16" customFormat="false" ht="13.8" hidden="false" customHeight="false" outlineLevel="0" collapsed="false">
      <c r="C16" s="8" t="n">
        <f aca="false">SUMIF(Data!L:L,"Investment",Data!F:F)</f>
        <v>27313.22</v>
      </c>
    </row>
    <row r="17" customFormat="false" ht="13.8" hidden="false" customHeight="false" outlineLevel="0" collapsed="false">
      <c r="B17" s="1" t="s">
        <v>2610</v>
      </c>
      <c r="C17" s="0" t="s">
        <v>2611</v>
      </c>
      <c r="D17" s="0" t="s">
        <v>11</v>
      </c>
      <c r="E17" s="0" t="s">
        <v>9</v>
      </c>
    </row>
    <row r="18" customFormat="false" ht="13.8" hidden="false" customHeight="false" outlineLevel="0" collapsed="false">
      <c r="B18" s="9" t="s">
        <v>2612</v>
      </c>
      <c r="C18" s="8" t="n">
        <f aca="false">SUMIF(Data!R:R,B18,Data!E:E)</f>
        <v>23948</v>
      </c>
      <c r="D18" s="8" t="n">
        <f aca="false">SUMIF(Data!R:R,B18,Data!F:F)</f>
        <v>21552</v>
      </c>
      <c r="E18" s="8" t="n">
        <f aca="false">C18-D18</f>
        <v>2396</v>
      </c>
    </row>
    <row r="19" customFormat="false" ht="13.8" hidden="false" customHeight="false" outlineLevel="0" collapsed="false">
      <c r="B19" s="9" t="s">
        <v>2613</v>
      </c>
      <c r="C19" s="8" t="n">
        <f aca="false">SUMIF(Data!R:R,B19,Data!E:E)</f>
        <v>49631</v>
      </c>
      <c r="D19" s="8" t="n">
        <f aca="false">SUMIF(Data!R:R,B19,Data!F:F)</f>
        <v>47979</v>
      </c>
      <c r="E19" s="8" t="n">
        <f aca="false">C19-D19</f>
        <v>1652</v>
      </c>
    </row>
    <row r="20" customFormat="false" ht="13.8" hidden="false" customHeight="false" outlineLevel="0" collapsed="false">
      <c r="B20" s="9" t="s">
        <v>2614</v>
      </c>
      <c r="C20" s="8" t="n">
        <f aca="false">SUMIF(Data!R:R,B20,Data!E:E)</f>
        <v>35435</v>
      </c>
      <c r="D20" s="8" t="n">
        <f aca="false">SUMIF(Data!R:R,B20,Data!F:F)</f>
        <v>35418.22</v>
      </c>
      <c r="E20" s="8" t="n">
        <f aca="false">C20-D20</f>
        <v>16.7799999999988</v>
      </c>
    </row>
    <row r="21" customFormat="false" ht="13.8" hidden="false" customHeight="false" outlineLevel="0" collapsed="false">
      <c r="B21" s="9" t="s">
        <v>2615</v>
      </c>
      <c r="C21" s="8" t="n">
        <f aca="false">SUMIF(Data!R:R,B21,Data!E:E)</f>
        <v>31579</v>
      </c>
      <c r="D21" s="8" t="n">
        <f aca="false">SUMIF(Data!R:R,B21,Data!F:F)</f>
        <v>31669</v>
      </c>
      <c r="E21" s="8" t="n">
        <f aca="false">C21-D21</f>
        <v>-90</v>
      </c>
    </row>
    <row r="22" customFormat="false" ht="13.8" hidden="false" customHeight="false" outlineLevel="0" collapsed="false">
      <c r="B22" s="9" t="s">
        <v>2616</v>
      </c>
      <c r="C22" s="8" t="n">
        <f aca="false">SUMIF(Data!R:R,B22,Data!E:E)</f>
        <v>23720</v>
      </c>
      <c r="D22" s="8" t="n">
        <f aca="false">SUMIF(Data!R:R,B22,Data!F:F)</f>
        <v>22867</v>
      </c>
      <c r="E22" s="8" t="n">
        <f aca="false">C22-D22</f>
        <v>853</v>
      </c>
    </row>
    <row r="23" customFormat="false" ht="13.8" hidden="false" customHeight="false" outlineLevel="0" collapsed="false">
      <c r="B23" s="0" t="s">
        <v>2617</v>
      </c>
      <c r="C23" s="8" t="n">
        <f aca="false">SUMIF(Data!R:R,B23,Data!E:E)</f>
        <v>807.13</v>
      </c>
      <c r="D23" s="8" t="n">
        <f aca="false">SUMIF(Data!R:R,B23,Data!F:F)</f>
        <v>2007</v>
      </c>
    </row>
    <row r="24" customFormat="false" ht="13.8" hidden="false" customHeight="false" outlineLevel="0" collapsed="false">
      <c r="B24" s="0" t="s">
        <v>2618</v>
      </c>
      <c r="C24" s="8" t="n">
        <f aca="false">SUM(C18:C23)</f>
        <v>165120.13</v>
      </c>
      <c r="D24" s="8" t="n">
        <f aca="false">SUM(D18:D23)</f>
        <v>161492.22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Roman"&amp;12&amp;Kffffff&amp;A</oddHeader>
    <oddFooter>&amp;C&amp;"Times New Roman"&amp;12&amp;KffffffPage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8969</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2026-06-12T18:44:36Z</dcterms:created>
  <dc:creator>mpesa2csv</dc:creator>
  <dc:description/>
  <dc:language>en-US</dc:language>
  <cp:lastModifiedBy/>
  <dcterms:modified xsi:type="dcterms:W3CDTF">2026-10-21T03:09:43Z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